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ve\Documents\drapak.ca\cpg\supporting\"/>
    </mc:Choice>
  </mc:AlternateContent>
  <bookViews>
    <workbookView xWindow="0" yWindow="0" windowWidth="24000" windowHeight="9630"/>
  </bookViews>
  <sheets>
    <sheet name="BusStops" sheetId="1" r:id="rId1"/>
  </sheets>
  <calcPr calcId="0"/>
</workbook>
</file>

<file path=xl/calcChain.xml><?xml version="1.0" encoding="utf-8"?>
<calcChain xmlns="http://schemas.openxmlformats.org/spreadsheetml/2006/main">
  <c r="B2514" i="1" l="1"/>
  <c r="A2514" i="1"/>
  <c r="A2512" i="1"/>
  <c r="A2513" i="1" s="1"/>
  <c r="B2513" i="1"/>
  <c r="B251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" i="1"/>
</calcChain>
</file>

<file path=xl/sharedStrings.xml><?xml version="1.0" encoding="utf-8"?>
<sst xmlns="http://schemas.openxmlformats.org/spreadsheetml/2006/main" count="17607" uniqueCount="5063">
  <si>
    <t>X</t>
  </si>
  <si>
    <t>Y</t>
  </si>
  <si>
    <t>OBJECTID</t>
  </si>
  <si>
    <t>FCODE</t>
  </si>
  <si>
    <t>SOURCE</t>
  </si>
  <si>
    <t>SACC</t>
  </si>
  <si>
    <t>SDATE</t>
  </si>
  <si>
    <t>GOTIME</t>
  </si>
  <si>
    <t>LOCATION</t>
  </si>
  <si>
    <t>GLOBALID</t>
  </si>
  <si>
    <t>LTAR</t>
  </si>
  <si>
    <t>Bus Stop Non-Standard</t>
  </si>
  <si>
    <t>TRANSIT</t>
  </si>
  <si>
    <t>Interactive</t>
  </si>
  <si>
    <t>2009-01-02T04:00:00.000Z</t>
  </si>
  <si>
    <t>KINCARDINE DR FS GREENOCH &lt;SB&gt;</t>
  </si>
  <si>
    <t>f4683980-f3d4-4115-940a-e893cd60dd0c</t>
  </si>
  <si>
    <t>Yes</t>
  </si>
  <si>
    <t>Bus Stop Shelter Non-Standard</t>
  </si>
  <si>
    <t>2010-06-04T03:00:00.000Z</t>
  </si>
  <si>
    <t>KING ST FS PORTLAND ST &lt;NB&gt;</t>
  </si>
  <si>
    <t>2d8641c8-d786-498b-9946-c13c112fc6d8</t>
  </si>
  <si>
    <t>Bus Stop Shelter Accessible</t>
  </si>
  <si>
    <t>CRANBERRY CR AT CIVIC 43</t>
  </si>
  <si>
    <t>0252db20-9fb7-42de-be17-d6e6f7fbd522</t>
  </si>
  <si>
    <t>Derived</t>
  </si>
  <si>
    <t>2007-10-30T03:00:00.000Z</t>
  </si>
  <si>
    <t>CRANBERRY CR FS VALKYRIE CR</t>
  </si>
  <si>
    <t>7b5c003e-6ddd-4ed2-925f-0320ccebf726</t>
  </si>
  <si>
    <t>Bus Stop Accessible</t>
  </si>
  <si>
    <t>CRANBERRY CR AT CIVIC 27</t>
  </si>
  <si>
    <t>ca546b67-07ca-4613-b0a9-17dd71e8c811</t>
  </si>
  <si>
    <t>CRANBERRY CR NS CIVIC 56</t>
  </si>
  <si>
    <t>dafd6b9d-6452-4686-ad2e-a78593463997</t>
  </si>
  <si>
    <t>CRANBERRY CR NS LAPIERRE CR</t>
  </si>
  <si>
    <t>435e9632-6aa1-4ac2-84a7-b0194fb2e463</t>
  </si>
  <si>
    <t>CRANBERRY CR OPP CIVIC 132</t>
  </si>
  <si>
    <t>954b5f92-be6f-422e-ad17-6515803fa056</t>
  </si>
  <si>
    <t>CRICHTON AVE NS OAK ST &lt;SB&gt;</t>
  </si>
  <si>
    <t>4c2ff781-485e-4ea3-ba1b-dd8ba54c5c90</t>
  </si>
  <si>
    <t>CRICHTON AVE FS CIVIC 63 &lt;SB&gt;</t>
  </si>
  <si>
    <t>922a1b81-0174-4da0-aba3-f0fb75251f16</t>
  </si>
  <si>
    <t>CRICHTON AVE FS CIVIC 85 &lt;WB&gt;</t>
  </si>
  <si>
    <t>cba96108-861b-4eae-949f-1c148874f58f</t>
  </si>
  <si>
    <t>CRICHTON AVE FS LAKESIDE TERR &lt;NB&gt;</t>
  </si>
  <si>
    <t>ed9c44b5-7c35-4674-b7f4-c80df212a1fc</t>
  </si>
  <si>
    <t>CRICHTON AVE FS OAKDALE CR &lt;NB&gt;</t>
  </si>
  <si>
    <t>e551181b-368c-4121-84e7-160a293542c6</t>
  </si>
  <si>
    <t>CRICHTON AVE AT CIVIC 121 &lt;WB&gt;</t>
  </si>
  <si>
    <t>6f2caaff-8872-4805-8cb9-728c14755fcd</t>
  </si>
  <si>
    <t>CRICHTON AVE AT CIVIC 201 &lt;WB&gt;</t>
  </si>
  <si>
    <t>58095a31-73b5-4da8-a8df-af74954c9330</t>
  </si>
  <si>
    <t>CRICHTON AVE AT CIVIC 90 &lt;EB&gt;</t>
  </si>
  <si>
    <t>bf53bf2e-a61b-4809-9ea4-e1285a843e1d</t>
  </si>
  <si>
    <t>CRICHTON AVE NS DAHLIA ST &lt;NB&gt;</t>
  </si>
  <si>
    <t>4f865441-5650-4145-a4df-7fbc990e25fa</t>
  </si>
  <si>
    <t>CRICHTON AVE FS OAK ST &lt;EB&gt;</t>
  </si>
  <si>
    <t>da76c65f-c105-451b-8fca-0887ef1b6754</t>
  </si>
  <si>
    <t>CRICHTON AVE NS ST.PETERS CHURCH</t>
  </si>
  <si>
    <t>013e697b-fee2-487e-9df0-1075f339c14c</t>
  </si>
  <si>
    <t>CRICHTON AVE OPP ST.PETERS CHURCH</t>
  </si>
  <si>
    <t>80f23b24-aec6-414e-b561-04ba1973b7f8</t>
  </si>
  <si>
    <t>CRYSTAL DR DR AT HIGHLAND MANOR</t>
  </si>
  <si>
    <t>9711416e-63ca-462e-8206-b9581315702b</t>
  </si>
  <si>
    <t>Bus Stop Shelter Inaccessible</t>
  </si>
  <si>
    <t>2012-06-07T03:00:00.000Z</t>
  </si>
  <si>
    <t>CRYSTAL DR DR NS PRIMROSE ST ST [IB]</t>
  </si>
  <si>
    <t>ee306b89-fc24-4908-993d-849dee034057</t>
  </si>
  <si>
    <t>CUMBERLAND DR FS COLBY DR</t>
  </si>
  <si>
    <t>1a3b5431-477d-42bc-862e-94e7979a16cc</t>
  </si>
  <si>
    <t>CUMBERLAND DR NS COLE HARBOUR RD</t>
  </si>
  <si>
    <t>648f70de-ef1e-4018-88c3-45a726970b5f</t>
  </si>
  <si>
    <t>CUNARD ST FS JUNE ST</t>
  </si>
  <si>
    <t>d4f89ae6-87ae-4c93-a8b0-6e1857bf8dd2</t>
  </si>
  <si>
    <t>2012-05-07T03:00:00.000Z</t>
  </si>
  <si>
    <t>CUNARD ST &lt;NS&gt; WINDSOR ST</t>
  </si>
  <si>
    <t>5fc95036-4315-4be3-982c-b05a5e35de76</t>
  </si>
  <si>
    <t>CUNARD ST OPP HUNTER ST</t>
  </si>
  <si>
    <t>fc42d2d4-e746-40db-842b-31f2c9e6c5a8</t>
  </si>
  <si>
    <t>JOHNSON RD FS CIVIC 16</t>
  </si>
  <si>
    <t>eae69a19-b5a9-49be-8899-db175400541f</t>
  </si>
  <si>
    <t>EISENER NS CIVIC 118</t>
  </si>
  <si>
    <t>16e2c077-22a5-486d-a5c1-79fe5ba0f25f</t>
  </si>
  <si>
    <t>EISENER BLVD OPP CINEMAS</t>
  </si>
  <si>
    <t>254d2462-b4bf-41a1-a1c7-ad81e811d986</t>
  </si>
  <si>
    <t>DUNBRACK ST NS MAIN AVE &lt;SB&gt;</t>
  </si>
  <si>
    <t>c49e430e-fc34-481a-8327-fbebe1671237</t>
  </si>
  <si>
    <t>DUNBRACK ST OPP BIRKDALE CR</t>
  </si>
  <si>
    <t>862f0e25-1ba8-4dbb-a115-f4e5f25ce576</t>
  </si>
  <si>
    <t>DUNBRACK ST OPP NORTHCLIFFE CTR</t>
  </si>
  <si>
    <t>2da60a43-6bc9-4ba0-9b5a-d6dc8b7de950</t>
  </si>
  <si>
    <t>DUNBRACK ST OPP FARNHAM GATE RD</t>
  </si>
  <si>
    <t>abafcb76-b6f1-4e89-b65e-b57092279b27</t>
  </si>
  <si>
    <t>OLD SAMBRO RD RD OPP SCHNARE</t>
  </si>
  <si>
    <t>7d9bcd23-c23f-4828-b37d-6909e265fbab</t>
  </si>
  <si>
    <t>DUTCH VILLAGE RD AT ANDREW ST</t>
  </si>
  <si>
    <t>27307474-16b2-42c4-a9aa-9c90227d394b</t>
  </si>
  <si>
    <t>JOSEPH HOWE DR AT CIVIC 3109</t>
  </si>
  <si>
    <t>aa8cb513-c014-400a-bc28-42783c9f970f</t>
  </si>
  <si>
    <t>DUTCH VILLAGE RD NS DEAL ST</t>
  </si>
  <si>
    <t>684950fa-1ec4-4695-b5f7-99839e54af61</t>
  </si>
  <si>
    <t>JOSEPH HOWE DR SB NS MUMFORD RD</t>
  </si>
  <si>
    <t>cd8f75c4-b898-43b0-b7ec-8cbc1361d26f</t>
  </si>
  <si>
    <t>Bus Stop Inaccessible</t>
  </si>
  <si>
    <t>DUTCH VILLAGE RD NS ROSEDALE AVE</t>
  </si>
  <si>
    <t>ff3bf1a3-cf5a-4248-a19e-7d5d62381ead</t>
  </si>
  <si>
    <t>DUTCH VILLAGE RD NS RUFUS AVE</t>
  </si>
  <si>
    <t>a3c9121c-d1c6-40d9-b99c-67f43a82bd1a</t>
  </si>
  <si>
    <t>DUTCH VILLAGE RD WB OPP PERCY ST</t>
  </si>
  <si>
    <t>090bb3a4-6939-4135-b489-76e8eacd6e27</t>
  </si>
  <si>
    <t>CHAIN LAKE DR AT BL CORPORATE CENTRE</t>
  </si>
  <si>
    <t>deb0bbf1-cb27-4c31-806f-6bfc2441d7ad</t>
  </si>
  <si>
    <t>CHAIN LAKE DR AT BURGER KING [OB]</t>
  </si>
  <si>
    <t>ffc99e66-4557-4301-b7f9-c6a0b6c6d8e7</t>
  </si>
  <si>
    <t>CHAIN LAKE DR AT CIVIC 115 (TELL TEC)</t>
  </si>
  <si>
    <t>169b45e7-2f20-47ce-ba75-321f0b6ffae9</t>
  </si>
  <si>
    <t>NOVALEA DR NS LEEDS ST &lt;SB&gt; TO VIC MANOR</t>
  </si>
  <si>
    <t>d7d709c1-a127-443f-9202-e464e4e4dae5</t>
  </si>
  <si>
    <t>NOVALEA DR NS VESTRY &lt;NB&gt;</t>
  </si>
  <si>
    <t>58ab4c86-9da2-4696-a605-df7c16b3b770</t>
  </si>
  <si>
    <t>NOVALEA DR OPP CABOT PLACE &lt;NB&gt;</t>
  </si>
  <si>
    <t>1e273dd6-533f-40d5-9917-91909e8b14f1</t>
  </si>
  <si>
    <t>NOVALEA DR OPP LEEDS ST &lt;NB&gt;</t>
  </si>
  <si>
    <t>4975c9c5-07c0-482e-8aa8-f8ebc03201d2</t>
  </si>
  <si>
    <t>NOVALEA DR OPP LIVINGSTONE &lt;NB&gt;</t>
  </si>
  <si>
    <t>e29a1258-28f9-49b0-b8f6-5ae8c746a29a</t>
  </si>
  <si>
    <t>NOVALEA DR OPP SAMUEL P MANOR &lt;NB&gt; 2G</t>
  </si>
  <si>
    <t>8a144645-84bf-4238-abce-6be6303c69e9</t>
  </si>
  <si>
    <t>NOVALEA DR OPP SAMUEL PRINCE 2R</t>
  </si>
  <si>
    <t>0928f493-6917-43dd-8c79-42489a38a28e</t>
  </si>
  <si>
    <t>NOVALEA DR OPP STANLEY PLACE &lt;NB&gt;</t>
  </si>
  <si>
    <t>a9f0ec7c-6ac2-4fab-ad98-6ee098121ef7</t>
  </si>
  <si>
    <t>NOVALEA DR FS OPP VESTRY &lt;SB&gt;</t>
  </si>
  <si>
    <t>d55a1a65-9f8a-479e-a1bb-8ce5e739e75f</t>
  </si>
  <si>
    <t>JOHNSON RD AT CIVIC 114</t>
  </si>
  <si>
    <t>63c659fe-3366-482f-babc-8d21b2bdfe48</t>
  </si>
  <si>
    <t>JOHNSON RD AT CIVIC 80</t>
  </si>
  <si>
    <t>59d95fa1-5f80-440e-97ea-7d1d72e6b9fc</t>
  </si>
  <si>
    <t>JOHNSON RD NS CIVIC 50</t>
  </si>
  <si>
    <t>3980b79a-98c7-4574-a0d8-acc18526c877</t>
  </si>
  <si>
    <t>JOSEPH HOWE DR AT CRAIGMORE DR</t>
  </si>
  <si>
    <t>e9c23680-6708-4b25-a5b4-1e5a5ee38044</t>
  </si>
  <si>
    <t>JOSEPH HOWE DR NS ASCOT AVE</t>
  </si>
  <si>
    <t>6cbd3f4a-637b-4f01-ad6a-c2455bcbc509</t>
  </si>
  <si>
    <t>JOSEPH HOWE DR NS CLINTON AVE</t>
  </si>
  <si>
    <t>66f058fb-b366-4d15-9e0b-5f727597e86b</t>
  </si>
  <si>
    <t>JOSEPH HOWE DR NS LEXINGTON AVE</t>
  </si>
  <si>
    <t>d42a5256-ba8f-41c4-8fb4-984b73600bd6</t>
  </si>
  <si>
    <t>AUBURN DR FS LEANDER DR</t>
  </si>
  <si>
    <t>e2daa9dd-8fd4-481d-9c73-f635b5f33848</t>
  </si>
  <si>
    <t>AUBURN DR AT CIVIC 60</t>
  </si>
  <si>
    <t>60009a70-2478-4ad0-8fe0-831b5629b499</t>
  </si>
  <si>
    <t>AUBURN DR AT AUBURN HIGH SCHOOL</t>
  </si>
  <si>
    <t>981709df-41ef-4fb0-ae6d-c0a695ecc919</t>
  </si>
  <si>
    <t>AUBURN DR AT CIVIC 23</t>
  </si>
  <si>
    <t>4812336a-ba05-449b-8a12-7e2eedeb2d48</t>
  </si>
  <si>
    <t>AUBURN DR AT CIVIC 325</t>
  </si>
  <si>
    <t>c5caae63-fe8a-4718-84b1-afa8db0065cf</t>
  </si>
  <si>
    <t>AUBURN DR AT CIVIC 188</t>
  </si>
  <si>
    <t>8dda31a3-6067-4256-a0ba-1a7ce9bafea7</t>
  </si>
  <si>
    <t>2007-11-01T03:00:00.000Z</t>
  </si>
  <si>
    <t>AUBURN DR NS CIVIC 187</t>
  </si>
  <si>
    <t>9884ffde-a32b-4e43-b104-c2cc9171531c</t>
  </si>
  <si>
    <t>AUBURN DR NS CIVIC 249</t>
  </si>
  <si>
    <t>87917eb6-d0da-47d9-8c8f-5a4cf56572cb</t>
  </si>
  <si>
    <t>AUBURN DR NS CIVIC 426</t>
  </si>
  <si>
    <t>bf351374-bbb3-48cc-b0e7-9d6e3498cf82</t>
  </si>
  <si>
    <t>AUBURN DR NS HIRANDALE CR</t>
  </si>
  <si>
    <t>0a722585-ee0d-448c-a1f5-05b0bd5724e5</t>
  </si>
  <si>
    <t>AUBURN DR OPP CIVIC 122</t>
  </si>
  <si>
    <t>1fa1f37b-3360-4c82-b14c-d5f117423607</t>
  </si>
  <si>
    <t>AVENUE DU PORTAGE NS CIVIC 138</t>
  </si>
  <si>
    <t>d15aec0c-5292-45dc-8ac5-1f2086880657</t>
  </si>
  <si>
    <t>BAFFIN BLVD NS HUDSON WAY</t>
  </si>
  <si>
    <t>85edba81-dddd-408a-90a5-b8181901c2ff</t>
  </si>
  <si>
    <t>BARRINGTON ST NS PRINCE ST</t>
  </si>
  <si>
    <t>ec62b42d-aa76-4e99-883a-60809c17f0d0</t>
  </si>
  <si>
    <t>BARRINGTON ST &lt;NB&gt; AT CIVIC 1663</t>
  </si>
  <si>
    <t>51a8c2ca-4b52-4e31-bd7e-455d73995de8</t>
  </si>
  <si>
    <t>BARRINGTON ST &lt;SB&gt; AT SCOTIA SQUARE (LINK)</t>
  </si>
  <si>
    <t>3ba258b0-397e-405c-a2fd-76cd6bef70e1</t>
  </si>
  <si>
    <t>BARRINGTON ST &lt;NB&gt; OPP SCOTIA SQUARE</t>
  </si>
  <si>
    <t>df46eaea-e7cc-49c2-913a-3ad0b8d893b0</t>
  </si>
  <si>
    <t>BARRINGTON ST &lt; SB&gt; FS ARTZ ST</t>
  </si>
  <si>
    <t>ff90cffd-bcca-41a5-9073-1c334040d65c</t>
  </si>
  <si>
    <t>BARRINGTON ST &lt;NB&gt; FS CORNWALLIS ST</t>
  </si>
  <si>
    <t>7c533d63-47ce-49e6-a43c-690b9e05179f</t>
  </si>
  <si>
    <t>BARRINGTON ST &lt;SB&gt; FS DEVONSHIRE ST</t>
  </si>
  <si>
    <t>1ff467c0-01e3-48c5-8898-b3826e32e2c9</t>
  </si>
  <si>
    <t>BARRINGTON ST &lt;NB&gt; FS FLEET CLUB</t>
  </si>
  <si>
    <t>bdc9601a-a86d-47b0-902b-498c1cd7dad9</t>
  </si>
  <si>
    <t>PLEASANT ST NS ULTRAMAR BULK &lt;NB&gt;</t>
  </si>
  <si>
    <t>ce728237-f845-4a9f-aea4-fc938c70791c</t>
  </si>
  <si>
    <t>PLEASANT ST NS OPP STEPHEN &lt;NB&gt;</t>
  </si>
  <si>
    <t>9861d23b-4e1f-45bb-b591-9f9d523b9add</t>
  </si>
  <si>
    <t>PLEASANT ST OPP ALBACORE &lt;NB&gt;</t>
  </si>
  <si>
    <t>7359e83d-b144-4a43-bea2-37569a154704</t>
  </si>
  <si>
    <t>PLEASANT ST OPP BAYDEN POWELL CTR</t>
  </si>
  <si>
    <t>d3fefe7a-c3f4-45b5-8be6-41364a9be9cb</t>
  </si>
  <si>
    <t>2007-10-31T03:00:00.000Z</t>
  </si>
  <si>
    <t>PLEASANT ST OPP CAMERON ST &lt;SB&gt;</t>
  </si>
  <si>
    <t>5c07a1c8-ce61-4cfa-af09-958e1472ed3e</t>
  </si>
  <si>
    <t>PLEASANT ST OPP CARLETON ST &lt;SB&gt;</t>
  </si>
  <si>
    <t>196e0c10-bf9e-42cf-b043-d93d6025ec61</t>
  </si>
  <si>
    <t>PLEASANT ST OPP CIVIC 1080 &lt;SB&gt;</t>
  </si>
  <si>
    <t>58af1096-b9ae-4509-9271-6f6539fdcc98</t>
  </si>
  <si>
    <t>PLEASANT ST OPP CIVIC 129 &lt;SB&gt;</t>
  </si>
  <si>
    <t>d6a33bd1-b4c6-4fd1-88b2-d9e6031320e2</t>
  </si>
  <si>
    <t>PLEASANT ST OPP CIVIC 148 &lt;NB&gt;</t>
  </si>
  <si>
    <t>269888a2-a2e2-4cb2-b6ad-f30b69bc1ea0</t>
  </si>
  <si>
    <t>WAVERLEY RD AT CIVIC 1007</t>
  </si>
  <si>
    <t>8fba624f-68f7-48c8-83ff-c0842d6ba8f3</t>
  </si>
  <si>
    <t>WAVERLEY RD AT CIVIC 221</t>
  </si>
  <si>
    <t>00af97bd-b21f-4d4e-8f27-132fa48d23d3</t>
  </si>
  <si>
    <t>WAVERLEY RD AT CIVIC 306</t>
  </si>
  <si>
    <t>eec5a829-f436-44c7-b19c-59481d1648ef</t>
  </si>
  <si>
    <t>WAVERLEY RD AT CIVIC 342</t>
  </si>
  <si>
    <t>235e8a93-eeb6-4db9-926e-a28913f9a66f</t>
  </si>
  <si>
    <t>WAVERLEY RD AT CIVIC 365</t>
  </si>
  <si>
    <t>28184e87-6dd8-4d89-bab9-038e3b530a97</t>
  </si>
  <si>
    <t>WAVERLEY RD AT CIVIC 409</t>
  </si>
  <si>
    <t>fcc4077a-9ef2-41c4-8487-06cd752d48a6</t>
  </si>
  <si>
    <t>WAVERLEY RD AT CIVIC 468</t>
  </si>
  <si>
    <t>31073f21-23e4-4f99-aff3-36ee3e1426ea</t>
  </si>
  <si>
    <t>WAVERLEY RD AT CIVIC 732</t>
  </si>
  <si>
    <t>2e72c8df-017a-407b-bccd-e99c8c35a540</t>
  </si>
  <si>
    <t>WAVERLEY RD AT CIVIC 742</t>
  </si>
  <si>
    <t>3ab7c36e-1747-4dbc-adae-e29fb07c85a8</t>
  </si>
  <si>
    <t>WAVERLEY RD AT CIVIC 804</t>
  </si>
  <si>
    <t>2a5845f8-f70d-4c9b-a51b-2021b8fe0f57</t>
  </si>
  <si>
    <t>WAVERLEY RD AT TURNING LOOP</t>
  </si>
  <si>
    <t>70b147be-6dcb-4af4-a67b-476a56e002e4</t>
  </si>
  <si>
    <t>BRAEMAR DR  OPP CIVIC 105</t>
  </si>
  <si>
    <t>5de2110b-f847-4691-a5e5-972bf52470c8</t>
  </si>
  <si>
    <t>WAVERLEY RD NS CIVIC 1053</t>
  </si>
  <si>
    <t>c8d9e527-0225-4512-b81b-49782e0dc762</t>
  </si>
  <si>
    <t>WAVERLEY RD NS CIVIC 272</t>
  </si>
  <si>
    <t>a246261f-79f5-4ac1-a95e-bd7e3a3557e0</t>
  </si>
  <si>
    <t>WAVERLEY RD NS CIVIC 457</t>
  </si>
  <si>
    <t>ac124fa4-70d8-4f8b-bc22-c6c1c525f0ff</t>
  </si>
  <si>
    <t>WAVERLEY RD NS LAKE CHARLES</t>
  </si>
  <si>
    <t>d66876e1-d0db-41f5-a6fe-485277b3c496</t>
  </si>
  <si>
    <t>WAVERLEY RD NS MONTEBELLO DR</t>
  </si>
  <si>
    <t>17ad3d6d-0eb4-45aa-b2ad-a4be72de41ba</t>
  </si>
  <si>
    <t>HAMMONDS PLAINS RD NS LAKE DR</t>
  </si>
  <si>
    <t>ce88f297-a454-4a1e-8d8a-760a37101d2c</t>
  </si>
  <si>
    <t>HAMMONDS PLAINS RD NS NORTHWOOD RD</t>
  </si>
  <si>
    <t>fa36581a-2aea-457f-bfec-52451040456a</t>
  </si>
  <si>
    <t>HAMMONDS PLAINS RD NS OPP NOTTINGHAM DR</t>
  </si>
  <si>
    <t>0252f494-0bd5-4b46-97d1-daed76fbff95</t>
  </si>
  <si>
    <t>HAMMONDS PLAINS RD OPP FS CIVIC 1881</t>
  </si>
  <si>
    <t>4fa41f86-d4e9-40ed-abcd-621f78364385</t>
  </si>
  <si>
    <t>HAMMONDS PLAINS RD OPP FS CIVIC 2465</t>
  </si>
  <si>
    <t>6aafc4ad-46b9-40c5-be84-c53956929620</t>
  </si>
  <si>
    <t>HAMMONDS PLAINS RD FS GATEHOUSE RUN</t>
  </si>
  <si>
    <t>a239803f-ab29-4727-b811-86e895b56727</t>
  </si>
  <si>
    <t>HAMMONDS PLAINS RD OPP ROCKCLIFFE CR</t>
  </si>
  <si>
    <t>50153edd-3760-4e2c-aca5-716bd9dcbed7</t>
  </si>
  <si>
    <t>HARRIS RD AT CIVIC 7</t>
  </si>
  <si>
    <t>91048c44-130a-4560-aad9-619f7f82ba0e</t>
  </si>
  <si>
    <t>HARRIS RD OPP CIVIC 7</t>
  </si>
  <si>
    <t>0c63fb21-46b5-46ce-becf-e38b0f62673e</t>
  </si>
  <si>
    <t>HARTLEN ST FS MAIN ST</t>
  </si>
  <si>
    <t>43270776-479b-4f1a-ad99-d5ae83ecf2b4</t>
  </si>
  <si>
    <t>HARTLEN ST NS MAIN ST</t>
  </si>
  <si>
    <t>b138557c-a137-4de5-9cef-f56c06a3e27e</t>
  </si>
  <si>
    <t>HAWTHORNE ST FS PRINCE ALBERT RD</t>
  </si>
  <si>
    <t>0ba869fb-83f2-4fbc-b6fd-083afbb7d87a</t>
  </si>
  <si>
    <t>HAWTHORNE ST AT CIVIC 113</t>
  </si>
  <si>
    <t>d5a4cb4e-723f-4d04-ab30-dcb84b68b5a5</t>
  </si>
  <si>
    <t>2012-11-05T04:00:00.000Z</t>
  </si>
  <si>
    <t>HORSESHOE LAKE DR CIVIC 255</t>
  </si>
  <si>
    <t>2ff84d76-15b4-494e-af36-820220bb52cc</t>
  </si>
  <si>
    <t>CHAIN LAKE DR DR AT GREYSTONE COURT</t>
  </si>
  <si>
    <t>ae40ac20-9951-4771-a0ea-f164409af452</t>
  </si>
  <si>
    <t>CHAIN LAKE DR AT SUZIE LAKE CR</t>
  </si>
  <si>
    <t>4373f19d-b198-48ee-9346-e9d7278a43d1</t>
  </si>
  <si>
    <t>CHAIN LAKE DR  NS LAKELANDS BLVD (0B)</t>
  </si>
  <si>
    <t>be85af44-6f09-4240-bcc0-c35ebf5d64d9</t>
  </si>
  <si>
    <t>CHAIN LAKE DR  NS MCQUADE CRES</t>
  </si>
  <si>
    <t>b58520a6-282f-4bc7-abc9-cdabd52d47a7</t>
  </si>
  <si>
    <t>HORSESHOE LAKE DR CIVIC 280</t>
  </si>
  <si>
    <t>25b24ef3-858e-455e-ae06-858769412107</t>
  </si>
  <si>
    <t>CHAIN LAKE DR OPP COSTCO</t>
  </si>
  <si>
    <t>60e53db1-db96-46fb-862a-3d4f9a668b52</t>
  </si>
  <si>
    <t>CHAIN LAKE DR IB AT SUZIE LAKE CR</t>
  </si>
  <si>
    <t>e22d2aae-2e17-4ea3-83d7-cdf6d939ef3a</t>
  </si>
  <si>
    <t>CHAIN LAKE DR AT ATLANTIC TENNIS COURTS</t>
  </si>
  <si>
    <t>87401023-e92c-4df4-9cf6-25bbe3321b16</t>
  </si>
  <si>
    <t>CHAIN LAKE DR  FS SUSIE LAKE CR [OB]</t>
  </si>
  <si>
    <t>259d1d18-d719-4908-8936-a123558b8038</t>
  </si>
  <si>
    <t>CHAIN LAKE DR [IB] FS OLAND CT</t>
  </si>
  <si>
    <t>7ace6c78-b11c-4827-923b-c51ba098d8d1</t>
  </si>
  <si>
    <t>CHAIN LAKE DR [IB] AT SUPERSTORE</t>
  </si>
  <si>
    <t>2ea7b7c2-d001-4f78-a723-c203d93246c5</t>
  </si>
  <si>
    <t>WAVERLEY RD  FS BRAEMAR APTS</t>
  </si>
  <si>
    <t>313272f9-2867-47f1-b674-5bdc8d4adb43</t>
  </si>
  <si>
    <t>WAVERLEY RD  AT CIVIC 1008</t>
  </si>
  <si>
    <t>0f3f3b9e-2636-42d7-9f18-6147bd00b56b</t>
  </si>
  <si>
    <t>WAVERLEY RD  OPP CIVIC 221</t>
  </si>
  <si>
    <t>85042717-c09a-446f-a88f-22f4987a5abd</t>
  </si>
  <si>
    <t>WAVERLEY RD  OPP CIVIC 867</t>
  </si>
  <si>
    <t>a4f358d8-8484-4a9f-a42e-fadc23b4a1e8</t>
  </si>
  <si>
    <t>WAVERLEY RD OPP CIVIC 1053</t>
  </si>
  <si>
    <t>3367b432-b876-4dec-a6f8-d843803aa7de</t>
  </si>
  <si>
    <t>WAVERLEY RD OPP CIVIC 359</t>
  </si>
  <si>
    <t>25abe9ea-b496-4fb1-9e7e-8f1f3b3bcd83</t>
  </si>
  <si>
    <t>WAVERLEY RD OPP CIVIC 453</t>
  </si>
  <si>
    <t>7cb9114b-c88a-42ce-b0d1-76703d525771</t>
  </si>
  <si>
    <t>WAVERLEY RD OPP CIVIC 710</t>
  </si>
  <si>
    <t>8f922d5d-e1de-4af1-9e77-c7b61758828b</t>
  </si>
  <si>
    <t>WAVERLEY RD OPP CIVIC 725</t>
  </si>
  <si>
    <t>3c2cea88-9631-47e0-a818-6d10e369d3a8</t>
  </si>
  <si>
    <t>WAVERLEY RD  AT CIVIC 408</t>
  </si>
  <si>
    <t>d4e93a8d-6ba5-46bb-9db1-b04920fd0cb4</t>
  </si>
  <si>
    <t>WAVERLEY RD  AT CIVIC 706</t>
  </si>
  <si>
    <t>b6246d10-8f3a-48a6-98a6-36b1adb30502</t>
  </si>
  <si>
    <t>WEDGEWOOD AVE FS EDWARD LAURIE DR</t>
  </si>
  <si>
    <t>13c36eb2-266c-4ca1-b1f7-2aa9ecfa5e56</t>
  </si>
  <si>
    <t>WEDGEWOOD AVE NS BEECHWOOD TERR</t>
  </si>
  <si>
    <t>20a3a9bf-8f9e-4267-9228-51426f4d93d2</t>
  </si>
  <si>
    <t>WEDGEWOOD AVE OPP CIVIC 17</t>
  </si>
  <si>
    <t>4a76a007-b2a6-424a-b45f-2747d11f28f6</t>
  </si>
  <si>
    <t>WEDGEWOOD AVE OPP CIVIC 47</t>
  </si>
  <si>
    <t>bed84c0a-afe7-4668-a4f8-e68d4b692a7c</t>
  </si>
  <si>
    <t>WEYBURN RD FS CIVIC 32</t>
  </si>
  <si>
    <t>bc8be615-e372-4853-b394-818cde61eb4b</t>
  </si>
  <si>
    <t>WEYBURN RD FS MAIN ST</t>
  </si>
  <si>
    <t>300ff035-a074-4383-a143-5d62c2660935</t>
  </si>
  <si>
    <t>WEYBURN RD NS ATHABASKAN LN</t>
  </si>
  <si>
    <t>84db3112-7681-414e-a8bb-3e42f0c9d7a5</t>
  </si>
  <si>
    <t>MT EDWARD RD OPP STEWART HARRIS DR</t>
  </si>
  <si>
    <t>53250b1c-8df9-4d36-ba8a-a6d24ba39f49</t>
  </si>
  <si>
    <t>DORTHEA DR FS SWANTON DR</t>
  </si>
  <si>
    <t>e673cc6c-a14a-43fe-a693-bd24cb1606ef</t>
  </si>
  <si>
    <t>DORTHEA DR CIVIC 58</t>
  </si>
  <si>
    <t>7117c542-3ea2-40f7-abc6-550d81344db3</t>
  </si>
  <si>
    <t>DORTHEA DR CIVIC 26</t>
  </si>
  <si>
    <t>5dbf257f-c791-4969-bd93-a1fcff657d50</t>
  </si>
  <si>
    <t>YOUNG ST &lt;EB&gt; AT COAST TIRE</t>
  </si>
  <si>
    <t>1da48830-3935-43da-abea-2f21509a3c7b</t>
  </si>
  <si>
    <t>LANCASTER DR NS ST. PAUL AVE</t>
  </si>
  <si>
    <t>a26daf30-472b-43df-903e-a30a31205409</t>
  </si>
  <si>
    <t>LEIBLIN DR. AT SPORTSFIELD</t>
  </si>
  <si>
    <t>53231cc6-5328-408b-ad99-5280350871f7</t>
  </si>
  <si>
    <t>BEDFORD HIGHWAY OPP MOIRS MILL RD</t>
  </si>
  <si>
    <t>c4d22fc3-966a-496a-beb4-05d131ab17e3</t>
  </si>
  <si>
    <t>BEDFORD HIGHWAY OPP MEADOWBROOK DR</t>
  </si>
  <si>
    <t>fd76ee1a-9efd-46b6-8f01-66364ea5a6f4</t>
  </si>
  <si>
    <t>PARKLAND DR FS HEATHSIDE</t>
  </si>
  <si>
    <t>76c6d34c-9073-4fc9-8589-6db0e565facd</t>
  </si>
  <si>
    <t>PARKLAND DR OPP CIVIC 634</t>
  </si>
  <si>
    <t>5bc33a19-cb3b-4f91-a811-f40475e2fe74</t>
  </si>
  <si>
    <t>HERRING COVE RD FS COWIE HILL RD</t>
  </si>
  <si>
    <t>bdbdccdf-b087-4a28-8557-c6592dd16d09</t>
  </si>
  <si>
    <t>HERRING COVE RD FS DENTITH RD</t>
  </si>
  <si>
    <t>8b377489-6289-4008-b245-92efb58ea0bd</t>
  </si>
  <si>
    <t>HERRING COVE RD FS DRYSALE RD</t>
  </si>
  <si>
    <t>ee5658f9-1393-44c6-86bf-4d51b8de4724</t>
  </si>
  <si>
    <t>HERRING COVE RD FS FOTHERBY AVE</t>
  </si>
  <si>
    <t>1cd16766-50ec-426e-9c95-017249f934ad</t>
  </si>
  <si>
    <t>HERRING COVE RD FS GLENORA AVE</t>
  </si>
  <si>
    <t>139fb7d2-32a3-4aed-af49-f639657f6dc5</t>
  </si>
  <si>
    <t>HERRING COVE RD FS GREEN ACRES RD</t>
  </si>
  <si>
    <t>2a530240-bac0-4402-8e9e-d96d98a492f4</t>
  </si>
  <si>
    <t>HERRING COVE RD OPP GREEN ACRES RD</t>
  </si>
  <si>
    <t>37278fec-0a1a-4a41-98f6-5f7d38050302</t>
  </si>
  <si>
    <t>HERRING COVE RD FS HARTLEN AVE</t>
  </si>
  <si>
    <t>acbc6a89-508b-47f0-8c1a-76814f6f2e6b</t>
  </si>
  <si>
    <t>HERRING COVE RD FS LEVIS ST</t>
  </si>
  <si>
    <t>01c1325f-c40e-480f-8cf6-34f15e831fed</t>
  </si>
  <si>
    <t>HERRING COVE RD FS SARAH DR</t>
  </si>
  <si>
    <t>a8c7b6bc-e1c7-424d-a5ef-fdfd98fb6489</t>
  </si>
  <si>
    <t>HERRING COVE RD FS SUSSEX ST</t>
  </si>
  <si>
    <t>f9435ab8-87e9-4f4f-ae54-e4c6583e3f05</t>
  </si>
  <si>
    <t>HERRING COVE RD FS WILLIAMS LAKE RD</t>
  </si>
  <si>
    <t>2175b753-2274-48ed-abfd-aeac0aff18e2</t>
  </si>
  <si>
    <t>HERRING COVE RD FS WITHROD DR</t>
  </si>
  <si>
    <t>e24149b1-e37e-48f7-9b9d-72dedb3d7592</t>
  </si>
  <si>
    <t>HERRING COVE RD AT CIVIC 135</t>
  </si>
  <si>
    <t>60b9d886-af29-401b-a2f4-076a54f8cb82</t>
  </si>
  <si>
    <t>HERRING COVE RD AT CIVIC 204</t>
  </si>
  <si>
    <t>ed0e3905-9590-47aa-8b93-14d5d747de51</t>
  </si>
  <si>
    <t>HERRING COVE RD AT CIVIC 213</t>
  </si>
  <si>
    <t>ef97c8bc-1070-40d1-a0cb-1db989b21a4f</t>
  </si>
  <si>
    <t>HAWTHORNE ST NS PRINCE ALBERT RD</t>
  </si>
  <si>
    <t>cbe9820b-d0a7-4147-8fc2-a18fe5a7a894</t>
  </si>
  <si>
    <t>HAWTHORNE ST OPP CIVIC 113</t>
  </si>
  <si>
    <t>3cc135c8-ede3-4331-9a79-a6316d11cfd4</t>
  </si>
  <si>
    <t>HEBRIDEAN DR AT CIVIC 78</t>
  </si>
  <si>
    <t>469cfc0f-2a48-4e04-a558-d5c9b922c694</t>
  </si>
  <si>
    <t>HERRING COVE RD AT CIVIC 65</t>
  </si>
  <si>
    <t>edc3dd10-a35e-4362-8de7-3a948ac365c0</t>
  </si>
  <si>
    <t>HERRING COVE RD OPP CLOVIS ST</t>
  </si>
  <si>
    <t>a615047b-2501-4907-a259-2d831b42ec5b</t>
  </si>
  <si>
    <t>HERRING COVE RD AT CIVIC 611</t>
  </si>
  <si>
    <t>51ac2a57-1ea0-4866-a93c-6f44362371e6</t>
  </si>
  <si>
    <t>HERRING COVE RD AT PARKMOOR AVE</t>
  </si>
  <si>
    <t>5e466b6a-b3be-4501-8a3d-080c16f605ed</t>
  </si>
  <si>
    <t>HERRING COVE RD FS HIGHFIELD ST</t>
  </si>
  <si>
    <t>a162f301-5b49-4c8d-b958-75fb8331fcc6</t>
  </si>
  <si>
    <t>HERRING COVE RD AT CIVIC 500</t>
  </si>
  <si>
    <t>3176f786-4bc3-474f-8367-8bf39177c71d</t>
  </si>
  <si>
    <t>HERRING COVE RD FS BRIGHTON AVE</t>
  </si>
  <si>
    <t>80c205a0-9738-4e53-907c-930c0af35ee4</t>
  </si>
  <si>
    <t>HERRING COVE RD FS BRONSON AVE</t>
  </si>
  <si>
    <t>2a602c29-278e-4c2d-a27a-b8f024ce3cee</t>
  </si>
  <si>
    <t>HERRING COVE RD FS CATAMARAN RD</t>
  </si>
  <si>
    <t>67d99234-0a57-4627-90dd-cb0a87c6101f</t>
  </si>
  <si>
    <t>HERRING COVE RD FS CIVIC 349</t>
  </si>
  <si>
    <t>672b4605-7dd1-4903-afc9-0f33fcdbd94d</t>
  </si>
  <si>
    <t>HERRING COVE RD FS CIVIC 609</t>
  </si>
  <si>
    <t>1ab438c0-3188-4adb-a442-1c5d69f51dbf</t>
  </si>
  <si>
    <t>HERRING COVE RD FS CIVIC 642</t>
  </si>
  <si>
    <t>38dbcb2d-805e-4516-9ec1-34da2f7c72bc</t>
  </si>
  <si>
    <t>DOWNS AVE NS MILSOM ST</t>
  </si>
  <si>
    <t>8ff5fe33-9747-439a-9999-3655c4568734</t>
  </si>
  <si>
    <t>DOWNSVIEW OPP WENDYS</t>
  </si>
  <si>
    <t>cd89d850-a488-439b-9613-7c3d0e680c94</t>
  </si>
  <si>
    <t>DUFFUS ST FS BARRINGTON ST</t>
  </si>
  <si>
    <t>e97e20f4-59a8-49a0-b5fb-e6b4a951f5e1</t>
  </si>
  <si>
    <t>DUFFUS ST FS ISLEVILLE ST</t>
  </si>
  <si>
    <t>4f444c25-3387-4549-a5a3-47e3908e5f0a</t>
  </si>
  <si>
    <t>DUFFUS ST FS NOVALEA DR</t>
  </si>
  <si>
    <t>189a1ff3-f9d8-4892-8538-6b084f6e0e91</t>
  </si>
  <si>
    <t>91906aaf-c3a8-4d49-bad7-7129e7d3bbcd</t>
  </si>
  <si>
    <t>DUFFUS ST NS ACADIA ST</t>
  </si>
  <si>
    <t>1eb788aa-1079-45ca-8923-4e8c6efe9088</t>
  </si>
  <si>
    <t>DUFFUS ST NS AGRICOLA ST</t>
  </si>
  <si>
    <t>7a83f3cf-413c-4f62-aa5f-23f6a39b1487</t>
  </si>
  <si>
    <t>DUFFUS ST NS ALBERT ST</t>
  </si>
  <si>
    <t>802add9e-ba14-4839-b8d5-b5e62f23ad24</t>
  </si>
  <si>
    <t>DUFFUS ST NS BARRINGTON ST</t>
  </si>
  <si>
    <t>0b8108eb-2f32-4151-b718-e45b7e3d34b7</t>
  </si>
  <si>
    <t>DUFFUS ST NS DARTMOUTH AVE</t>
  </si>
  <si>
    <t>ca973d86-77a2-4d28-8078-ff2d2704953d</t>
  </si>
  <si>
    <t>DUKE ST &lt;NS&gt; ALBEMARLE ST</t>
  </si>
  <si>
    <t>1f4f10e4-d4bf-47e4-99a1-302e33080344</t>
  </si>
  <si>
    <t>DUKE ST NS MARKET ST &lt;WB&gt;</t>
  </si>
  <si>
    <t>d37722e4-3ec5-4ece-8fef-e5751925dbf8</t>
  </si>
  <si>
    <t>DUNBARTON AVE AT CIVIC 39 &lt;WB&gt;</t>
  </si>
  <si>
    <t>c7e915c1-c7ad-4221-9833-08f3286c305d</t>
  </si>
  <si>
    <t>DUNBARTON AVE NS CIVIC 21 &lt;WB&gt;</t>
  </si>
  <si>
    <t>5aa30f4a-3456-454b-990c-a40a92bc8d48</t>
  </si>
  <si>
    <t>DUNBRACK ST AT FARNHAM GATE</t>
  </si>
  <si>
    <t>d9788d8f-3a15-49ef-8b77-cb09b6afa5b8</t>
  </si>
  <si>
    <t>DUNBRACK ST FS KNIGHTSRIDGE DR</t>
  </si>
  <si>
    <t>97abee43-1513-4544-8853-c9e9b80a9392</t>
  </si>
  <si>
    <t>DUNBRACK ST FS LACEWOOD DR</t>
  </si>
  <si>
    <t>17e9abb3-cba3-4ae6-aa8d-1db7ca20a80e</t>
  </si>
  <si>
    <t>DUNBRACK ST FS LANGBRAE DR</t>
  </si>
  <si>
    <t>ea1594d5-13a4-4fe9-b988-7b778773b795</t>
  </si>
  <si>
    <t>DUNBRACK ST FS MAIN AVE &lt;NB&gt;</t>
  </si>
  <si>
    <t>e094c021-552b-49bd-b54f-33fb026edffe</t>
  </si>
  <si>
    <t>DUNBRACK ST FS LINCOLN CROSS</t>
  </si>
  <si>
    <t>0560753d-3a26-499e-bb45-1a510ba972d1</t>
  </si>
  <si>
    <t>DUNBRACK ST FS RADCLIFFE &lt;SB&gt;</t>
  </si>
  <si>
    <t>d4d7e618-b4d4-4f6d-b405-6623e8563b9a</t>
  </si>
  <si>
    <t>MT EDWARD RD OPP CIVIC 58</t>
  </si>
  <si>
    <t>65465880-816d-4ddd-a19e-ac5e01ec5123</t>
  </si>
  <si>
    <t>DUNBRACK ST FS ROCK HAVEN &lt;NB&gt;</t>
  </si>
  <si>
    <t>6018e116-ebf9-4268-bc14-7630f09fcb4f</t>
  </si>
  <si>
    <t>DUNBRACK ST FS ROSS ST &lt;SB&gt;</t>
  </si>
  <si>
    <t>b315a2e2-9942-4b79-b62c-2a5e451642be</t>
  </si>
  <si>
    <t>DUNBRACK ST FS WILLET ST &lt;SB&gt;</t>
  </si>
  <si>
    <t>984eb1ba-7897-428a-861b-de2917d6bd57</t>
  </si>
  <si>
    <t>DUNBRACK ST AT NORTHCLIFFE</t>
  </si>
  <si>
    <t>bbd2af73-1c1c-4e82-bbb0-c95810969282</t>
  </si>
  <si>
    <t>BARRINGTON ST &lt;NB&gt; OPP RICHMOND ST</t>
  </si>
  <si>
    <t>69e3cda8-1f32-43d1-afb2-6fff0970eb45</t>
  </si>
  <si>
    <t>BARRINGTON ST &lt;SB&gt; NS RICHMOND ST</t>
  </si>
  <si>
    <t>982e22ff-ea3a-431b-b38f-fe6567bdd7f3</t>
  </si>
  <si>
    <t>BARRINGTON ST &lt;NB&gt; NS SACKVILLE ST</t>
  </si>
  <si>
    <t>4d804eb3-7872-4a6b-84f2-380313a2a088</t>
  </si>
  <si>
    <t>BARRINGTON ST &lt;SB&gt; NS SPRING GARDEN RD</t>
  </si>
  <si>
    <t>71d22fa7-f3fc-4b46-a935-1cf44e62f026</t>
  </si>
  <si>
    <t>BARRINGTON ST &lt;NB&gt; NS SPRING GARDEN RD</t>
  </si>
  <si>
    <t>d40dcd21-4de9-4894-a9a9-d76329fb4df4</t>
  </si>
  <si>
    <t>BARRINGTON ST &lt;SB&gt; FS SPRING GARDEN RD</t>
  </si>
  <si>
    <t>ccd68434-86c5-4699-a31b-773406f62b86</t>
  </si>
  <si>
    <t>MT EDWARD RD OPP CIVIC 195</t>
  </si>
  <si>
    <t>d14205d0-47d4-45ba-bfc2-e2cf2984335c</t>
  </si>
  <si>
    <t>CALEDONIA RD NS MAIN ST</t>
  </si>
  <si>
    <t>3ff2e081-949e-40e5-8143-31b70e7a91c1</t>
  </si>
  <si>
    <t>CALEDONIA RD NS PAUL DAVID CT</t>
  </si>
  <si>
    <t>eb8f6190-aabb-42f4-af89-af3209fb9785</t>
  </si>
  <si>
    <t>CALEDONIA RD NS WESTWOOD DR</t>
  </si>
  <si>
    <t>8531584c-1e83-4e8b-9cb7-23e8e4542571</t>
  </si>
  <si>
    <t>CALEDONIA RD NS KENNEDY DR</t>
  </si>
  <si>
    <t>dac8497c-73bc-425d-8129-0d18bb3e8d2a</t>
  </si>
  <si>
    <t>CALEDONIA RD NS MONTEBELLO DR</t>
  </si>
  <si>
    <t>b09b15ef-479e-4867-9001-2d2ca0540a1b</t>
  </si>
  <si>
    <t>CARLISLE DR FS OPP HUNTINGTON DR</t>
  </si>
  <si>
    <t>08f60f46-cb6b-4e3e-9197-b416b8be8f76</t>
  </si>
  <si>
    <t>CARLISLE DR NS SHREWSBURY RD</t>
  </si>
  <si>
    <t>1b6d9ece-0ef5-47f4-b9a0-1527ced704b2</t>
  </si>
  <si>
    <t>CHAIN LAKE DR  FS LAKELANDS BLVD</t>
  </si>
  <si>
    <t>8bd37710-12c9-4c78-b20a-623bcef909f6</t>
  </si>
  <si>
    <t>DENTITH RD NS HERRING COVE RD</t>
  </si>
  <si>
    <t>daa9ab4f-780d-4d95-88b1-56e2daa4cda8</t>
  </si>
  <si>
    <t>DENTITH RD NS LAMARK ST</t>
  </si>
  <si>
    <t>d04be779-0330-49e2-881d-3ee1bb9246ec</t>
  </si>
  <si>
    <t>DENTITH RD NS LEWIS ST</t>
  </si>
  <si>
    <t>62d439fc-f200-4acc-9628-29cfecee1eea</t>
  </si>
  <si>
    <t>DENTITH RD OPP LEWIS ST</t>
  </si>
  <si>
    <t>dcae0b7c-6311-4691-9c14-a13fa1fb1e41</t>
  </si>
  <si>
    <t>DESMOND AVE AT REAR ENTRANCE  BRSC &lt;NB&gt;</t>
  </si>
  <si>
    <t>ee85b7e4-d59c-4644-8fcd-0722ec4006c8</t>
  </si>
  <si>
    <t>DESMOND AVE NS BAYERS RD &lt;SB&gt;</t>
  </si>
  <si>
    <t>24afe2b4-f45f-4f87-97cf-770aef65e197</t>
  </si>
  <si>
    <t>DESMOND AVE NS SCOT ST &lt;NB&gt;</t>
  </si>
  <si>
    <t>8a56eb2a-f613-4a84-a6b4-40f82e0bf8b6</t>
  </si>
  <si>
    <t>PROVO WALLIS - DOCKYARD 1ST &lt;NB&gt; STOP</t>
  </si>
  <si>
    <t>5686a4e1-5ea4-42f1-bd7d-1cc285ce22fb</t>
  </si>
  <si>
    <t>PROVO WALLIS - DOCKYARD 1ST &lt;SB&gt; STOP</t>
  </si>
  <si>
    <t>6ae6e210-bee2-40a5-9a44-6d708ef9a674</t>
  </si>
  <si>
    <t>PROVO WALLIS - DOCKYARD 2ND &lt;NB&gt; STOP</t>
  </si>
  <si>
    <t>2eef93ac-54f0-4a36-bfca-b5d659b5107a</t>
  </si>
  <si>
    <t>PROVO WALLIS - DOCKYARD 2ND &lt;SB&gt; STOP</t>
  </si>
  <si>
    <t>39d59538-3370-4b09-84bd-4315d8f7f8e0</t>
  </si>
  <si>
    <t>PROVO WALLIS - DOCKYARD 3RD &lt;NB&gt; STOP</t>
  </si>
  <si>
    <t>421213cc-5d35-4342-9fa2-451ca4cc9017</t>
  </si>
  <si>
    <t>PROVO WALLIS - DOCKYARD 3RD &lt;SB&gt; STOP</t>
  </si>
  <si>
    <t>eb0888ea-4e8b-49f2-b09f-910677a9eb2b</t>
  </si>
  <si>
    <t>DOROTHEA DR NS TOPSAIL BLVD &lt;WB&gt;</t>
  </si>
  <si>
    <t>40ad561c-d8a3-458b-bb65-34ac2356292d</t>
  </si>
  <si>
    <t>DOROTHEA DR OPP CIVIC 78 &lt;WB&gt;</t>
  </si>
  <si>
    <t>fa5700ce-f21e-4c5e-bc89-301308cd3db4</t>
  </si>
  <si>
    <t>DOROTHEA DR OPP REGAL RD</t>
  </si>
  <si>
    <t>3d8829d0-f0df-409c-9fa8-d1ee5f3e3108</t>
  </si>
  <si>
    <t>DOWNS AVE FS WINTER ST</t>
  </si>
  <si>
    <t>cf6d4da2-59f1-409e-8d19-4ca63d3ad3f3</t>
  </si>
  <si>
    <t>BARRINGTON ST &lt;SB&gt; FS GREEN ST</t>
  </si>
  <si>
    <t>c00172b1-712a-4b32-8156-4cdcf3162c27</t>
  </si>
  <si>
    <t>BARRINGTON ST &lt;NB&gt; OPP GREEN ST</t>
  </si>
  <si>
    <t>1e537dc4-0783-4c5d-b319-709186ac2b72</t>
  </si>
  <si>
    <t>BARRINGTON ST &lt;NB&gt; FS YOUNG ST</t>
  </si>
  <si>
    <t>af22fe99-b751-4c37-a91f-36e237f0cfcd</t>
  </si>
  <si>
    <t>BARRINGTON ST &lt;SB&gt; NS YOUNG ST</t>
  </si>
  <si>
    <t>bb68842b-b83f-415e-8cdc-81d65155d771</t>
  </si>
  <si>
    <t>BARRINGTON ST &lt;EB&gt; FS SOUTH ST</t>
  </si>
  <si>
    <t>cf99102e-a17d-4cc1-8f57-faedc73d84fb</t>
  </si>
  <si>
    <t>BARRINGTON ST &lt;SB&gt; NS SOUTH ST</t>
  </si>
  <si>
    <t>6b71fb7e-b850-49e5-a69b-459f5955c85d</t>
  </si>
  <si>
    <t>BARRINGTON ST AT CIVIC 3640</t>
  </si>
  <si>
    <t>e468ccb1-f173-45bb-ab83-719eb5714ddb</t>
  </si>
  <si>
    <t>BARRINGTON ST NB AT CIVIC 3695</t>
  </si>
  <si>
    <t>7c7c1cc6-a9c5-405a-90ab-b023b125eeaf</t>
  </si>
  <si>
    <t>BARRINGTON ST &lt;SB&gt; AT MULGRAVE PK</t>
  </si>
  <si>
    <t>67872c06-d208-46e5-9d06-f1d53598efa0</t>
  </si>
  <si>
    <t>BARRINGTON ST &lt;NB&gt; NS ARTZ ST</t>
  </si>
  <si>
    <t>9cd82b7b-c7a7-4136-84c0-f0469db50fd8</t>
  </si>
  <si>
    <t>BARRINGTON ST &lt;SB&gt; NS BLOWERS ST</t>
  </si>
  <si>
    <t>336165c2-7508-4803-a26c-7518cfc36679</t>
  </si>
  <si>
    <t>BARRINGTON ST &lt;SB&gt; NS CIVIC 1656</t>
  </si>
  <si>
    <t>202068f5-0ead-4497-b2f8-ec7990e8388e</t>
  </si>
  <si>
    <t>BARRINGTON ST &lt;SB&gt; NS CORNWALLIS ST</t>
  </si>
  <si>
    <t>2afc0417-1ba1-48ca-a4fe-ca72a6c1bec9</t>
  </si>
  <si>
    <t>BARRINGTON ST &lt;SB&gt; NS DUKE ST</t>
  </si>
  <si>
    <t>a5d68762-9975-4b72-9fac-5f432a7264dc</t>
  </si>
  <si>
    <t>BARRINGTON ST &lt;NB&gt;  AT GEORGE ST</t>
  </si>
  <si>
    <t>d20b6fac-a423-4b3d-af2c-2010ad57a3ca</t>
  </si>
  <si>
    <t>BARRINGTON ST &lt;SB&gt; NS FLEETCLUB</t>
  </si>
  <si>
    <t>ab5ec806-a92b-42fa-9650-f23465a36691</t>
  </si>
  <si>
    <t>BARRINGTON ST &lt;SB&gt; NS GEORGE ST</t>
  </si>
  <si>
    <t>c3b2e35f-1c9e-4714-a367-97021c5c8f51</t>
  </si>
  <si>
    <t>BARRINGTON ST &lt;SB&gt; NS HANOVER ST</t>
  </si>
  <si>
    <t>dace3a04-88b5-4c57-8af5-7f7d04d06dea</t>
  </si>
  <si>
    <t>BARRINGTON ST &lt;NB&gt; OPP HANOVER ST</t>
  </si>
  <si>
    <t>8a254518-eb89-4f78-b8ce-c63634bd1208</t>
  </si>
  <si>
    <t>BARRINGTON ST &lt;SB&gt; NS INGLIS ST</t>
  </si>
  <si>
    <t>0a2bdf44-4305-4cd3-bcf7-5641fdbc38b2</t>
  </si>
  <si>
    <t>BARRINGTON ST  &lt;SB&gt;NS KENT ST</t>
  </si>
  <si>
    <t>be268580-cd69-43ea-9e8d-6ed1e7740f42</t>
  </si>
  <si>
    <t>BARRINGTON ST &lt;NB&gt; NS MORRIS ST</t>
  </si>
  <si>
    <t>40d96397-513b-4d6a-b753-050b5c0815de</t>
  </si>
  <si>
    <t>BARRINGTON ST &lt;SB&gt; AT MORRIS ST</t>
  </si>
  <si>
    <t>b3455871-11bc-4d4d-b8dc-a8d48b36d8d6</t>
  </si>
  <si>
    <t>BARRINGTON ST &lt;SB&gt; NS NORTH ST</t>
  </si>
  <si>
    <t>51098997-885b-4c0b-8787-a431e32cf270</t>
  </si>
  <si>
    <t>BARRINGTON ST &lt;NB&gt; NS NORTH ST</t>
  </si>
  <si>
    <t>bf83e3f4-35dd-475d-ae1f-7fae6cde514d</t>
  </si>
  <si>
    <t>BARRINGTON ST &lt;NB&gt; OPP RECTOR ST</t>
  </si>
  <si>
    <t>3b7e0334-5519-4e40-bdbb-e68effe91653</t>
  </si>
  <si>
    <t>BARRINGTON ST &lt;SB&gt; NS RECTOR ST</t>
  </si>
  <si>
    <t>cd48ddab-db7d-4339-8b35-87e34e7843f2</t>
  </si>
  <si>
    <t>PURCELLS COVE RD NS WESTGATE DR</t>
  </si>
  <si>
    <t>e524ed98-3d90-48dc-bc7e-47ae5dc2dc52</t>
  </si>
  <si>
    <t>PURCELLS COVE RD NS YORK REDOUBT ENTRANCE</t>
  </si>
  <si>
    <t>ef48d945-817f-4c7c-81a5-ce9e96e91d1e</t>
  </si>
  <si>
    <t>PURCELLS COVE RD OPP CIVIC 153</t>
  </si>
  <si>
    <t>0ae73c7f-634e-48d8-be86-849d16153f4e</t>
  </si>
  <si>
    <t>PURCELLS COVE RD OPP CIVIC 233</t>
  </si>
  <si>
    <t>6d249875-a184-4f7e-bd68-d4355a5024f4</t>
  </si>
  <si>
    <t>PURCELLS COVE RD OPP CIVIC 251</t>
  </si>
  <si>
    <t>9d66ec36-dd0d-4952-824e-38db18a48fc9</t>
  </si>
  <si>
    <t>PURCELLS COVE RD OPP CIVIC 291</t>
  </si>
  <si>
    <t>85a31d7a-8da5-4ac7-a44e-ade94407bd2a</t>
  </si>
  <si>
    <t>WAVERLEY RD  FS CIVIC 867</t>
  </si>
  <si>
    <t>596aded6-4e2e-40c2-b749-cb23aa63fdeb</t>
  </si>
  <si>
    <t>WAVERLEY RD  AT CIVIC 451</t>
  </si>
  <si>
    <t>7ddd3b70-f8d7-4906-98ea-4d2bccb26cb4</t>
  </si>
  <si>
    <t>WAVERLEY RD  AT CIVIC 765</t>
  </si>
  <si>
    <t>d7c0cf65-d8e1-4d2a-916c-404fc253b8dd</t>
  </si>
  <si>
    <t>WAVERLEY RD  NS BREEZE DR</t>
  </si>
  <si>
    <t>0dd9959c-4de9-439b-a268-df92f2250c61</t>
  </si>
  <si>
    <t>WAVERLEY RD  NS MOUNTBATTEN AVE</t>
  </si>
  <si>
    <t>1b4a7a39-bf2e-4bbe-a4fb-86701c89e03e</t>
  </si>
  <si>
    <t>WAVERLEY RD  OPP CIVIC 208</t>
  </si>
  <si>
    <t>fea7808f-4c8f-4e87-ac1d-eb9436170bdd</t>
  </si>
  <si>
    <t>CORNWALLIS ST FS GOTTINGEN ST</t>
  </si>
  <si>
    <t>c418c76c-4fdd-4037-b306-7983fa8d3071</t>
  </si>
  <si>
    <t>CORNWALLIS ST AT G.B.ISNOR MANOR TO VIC MANOR</t>
  </si>
  <si>
    <t>b1cd2e35-7641-431f-8c0e-a020de8d29cf</t>
  </si>
  <si>
    <t>CORNWALLIS ST NS BAUER ST</t>
  </si>
  <si>
    <t>7fdc2278-c5f2-48b9-9d2d-557d023c68b9</t>
  </si>
  <si>
    <t>CORNWALLIS ST NS BRUNSWICK ST</t>
  </si>
  <si>
    <t>4c04ec6f-3cbf-470a-bd2e-2c5dc2092659</t>
  </si>
  <si>
    <t>CORNWALLIS ST NS NORTH PARK ST</t>
  </si>
  <si>
    <t>036b0cf8-a27d-440c-93e8-e3284fdb72e9</t>
  </si>
  <si>
    <t>COW BAY RD OPP SENIORS MANOR</t>
  </si>
  <si>
    <t>d9a9607a-356b-4e87-ace4-d42b20888922</t>
  </si>
  <si>
    <t>COW BAY RD FS OCEANLEA DR</t>
  </si>
  <si>
    <t>ed79d075-1b88-41e0-b2ed-f231b3b7ab02</t>
  </si>
  <si>
    <t>COW BAY RD NS BRIARWOOD DR</t>
  </si>
  <si>
    <t>e16e58e3-fb37-4645-b9b8-c12ceef95159</t>
  </si>
  <si>
    <t>COW BAY RD NS GARRISON DR</t>
  </si>
  <si>
    <t>eaf93685-2f0d-4176-b5f5-a49f5a45bfa5</t>
  </si>
  <si>
    <t>COW BAY RD NS YORKS LANE</t>
  </si>
  <si>
    <t>b1b3b648-6b4d-42b3-8e52-a7ecaea88d3a</t>
  </si>
  <si>
    <t>COWIE HILL AT CIVIC 41</t>
  </si>
  <si>
    <t>f249c5a7-7bd8-4f40-9b06-9e04d21c16ad</t>
  </si>
  <si>
    <t>COWIE HILL AT SENIORS MANOR</t>
  </si>
  <si>
    <t>8285b7a6-8d02-415a-b2e7-1d16ad008029</t>
  </si>
  <si>
    <t>COWIE HILL OPP CIVIC 41</t>
  </si>
  <si>
    <t>d4ac4073-518a-4398-8e03-e57a8bab888c</t>
  </si>
  <si>
    <t>BEDFORD HWY NS GLENMONT AVE [IB]</t>
  </si>
  <si>
    <t>5ca13ad7-3a08-4bf2-b0b3-d5bb7bd423e5</t>
  </si>
  <si>
    <t>BEDFORD HWY NS KEARNEY LAKE RD</t>
  </si>
  <si>
    <t>716cd747-5402-4e12-a973-68457f473713</t>
  </si>
  <si>
    <t>BEDFORD HWY NS KENT AVE</t>
  </si>
  <si>
    <t>36ae396e-07b9-4658-b3ed-a2c54f474e4d</t>
  </si>
  <si>
    <t>BEDFORD HWY NS LINDSAY HILL</t>
  </si>
  <si>
    <t>cc6063c7-8cd7-4e42-be91-e9a8fa534031</t>
  </si>
  <si>
    <t>BEDFORD HWY NS SULLIVANS HILL</t>
  </si>
  <si>
    <t>0bc69e08-96d1-41fa-9088-68f9cc9c8d37</t>
  </si>
  <si>
    <t>BEDFORD HWY NS TORRINGTON DR</t>
  </si>
  <si>
    <t>3cc845db-2281-4367-bf57-ae52a2cb4a54</t>
  </si>
  <si>
    <t>BEDFORD HWY NS VALLEY RD</t>
  </si>
  <si>
    <t>5f504cd7-15d3-4360-813b-13386069c7dc</t>
  </si>
  <si>
    <t>BEDFORD HWY OPP BEDFORD PLACE MALL</t>
  </si>
  <si>
    <t>8378f4cb-a458-48e6-8114-22fb983413f8</t>
  </si>
  <si>
    <t>BEDFORD HWY OPP CIVIC 1394</t>
  </si>
  <si>
    <t>2dad3b59-37e0-465b-b308-8a13ad177f23</t>
  </si>
  <si>
    <t>BEDFORD HWY OPP FOURTH ST</t>
  </si>
  <si>
    <t>7a2c29d9-d9cf-47b9-a024-b55af8bbd480</t>
  </si>
  <si>
    <t>BEDFORD HWY OPP GLENMONT AVE</t>
  </si>
  <si>
    <t>6c7b6769-cc01-4323-806a-46ed2312e557</t>
  </si>
  <si>
    <t>BEDFORD HWY OPP HATCHERY LANE</t>
  </si>
  <si>
    <t>9bf7bae4-9040-4a26-abf2-f94df284aa7e</t>
  </si>
  <si>
    <t>BEDFORD HWY OPP SHERBROOKE DR</t>
  </si>
  <si>
    <t>b0a6c0de-d4bc-4b48-b7ff-02c5d7dfc6ee</t>
  </si>
  <si>
    <t>BEDFORD HWY OPP SHAUNSLIEVE DR</t>
  </si>
  <si>
    <t>ef00f004-0eee-436b-9941-8c95be3f6f80</t>
  </si>
  <si>
    <t>JOSEPH HOWE DR FS BAYERS RD</t>
  </si>
  <si>
    <t>88d08ff0-1c15-4b03-a775-08b98d44391b</t>
  </si>
  <si>
    <t>JOE ZATZMAN AVE FS AKERLEY BLVD</t>
  </si>
  <si>
    <t>32f4a250-19a4-48f0-941b-fc5029dffdf6</t>
  </si>
  <si>
    <t>JOE ZATZMAN AVE FS SIMMOMDS DR</t>
  </si>
  <si>
    <t>7b6817d5-8da5-4a89-9db7-08cc502e7080</t>
  </si>
  <si>
    <t>JOE ZATZMAN AVE NS OPP TOPPLE DR</t>
  </si>
  <si>
    <t>e0e562ae-c1d5-487e-9b7b-a588231ece49</t>
  </si>
  <si>
    <t>JOHN STEWART DR AT CIVICIC 293</t>
  </si>
  <si>
    <t>33e428a5-9ca0-41fa-aaf5-0bcefccc4e63</t>
  </si>
  <si>
    <t>JOHN STEWART DR FS AUBURN DR</t>
  </si>
  <si>
    <t>c805bcc9-349e-43a1-99d0-468a10056bf7</t>
  </si>
  <si>
    <t>JOHN STEWART DR OPP FS TAMARA</t>
  </si>
  <si>
    <t>36913a3d-77fa-4382-8f07-0eb7d932a9f6</t>
  </si>
  <si>
    <t>JOHN STEWART DR FS 2ND INGLEWOOD</t>
  </si>
  <si>
    <t>93fcdb5e-5ce8-472d-9741-c7307e6e1f8f</t>
  </si>
  <si>
    <t>JOHN STEWART DR FS HALO</t>
  </si>
  <si>
    <t>82964ed2-7dff-4728-8946-1ef13006ab04</t>
  </si>
  <si>
    <t>JOHN STEWART DR FS GAMMON</t>
  </si>
  <si>
    <t>39f650a2-0827-4408-96a7-d537093052c6</t>
  </si>
  <si>
    <t>JOHN STEWART DR FS ROSEWAY CT</t>
  </si>
  <si>
    <t>5187a58d-a2c2-4547-8688-8e6888d8e170</t>
  </si>
  <si>
    <t>JOHN STEWART DR NS 1ST INGLEWOOD</t>
  </si>
  <si>
    <t>94fa91a4-54b6-467b-acad-2886d4426d90</t>
  </si>
  <si>
    <t>JOHN STEWART DR NS AUBURN DR</t>
  </si>
  <si>
    <t>d40af806-64d0-4d47-96d8-0ad1370fb4b6</t>
  </si>
  <si>
    <t>JOHN STEWART DR OPP FS 2ND INGLEWOOD</t>
  </si>
  <si>
    <t>0a3bd512-4482-4e54-abfe-9321a8c87ba8</t>
  </si>
  <si>
    <t>PLEASANT ST AT HAMPTON GREY BLDG</t>
  </si>
  <si>
    <t>d094919b-945c-4882-936e-5cafc2573b67</t>
  </si>
  <si>
    <t>PLEASANT ST FS TRUNK 111 &lt;NB&gt;</t>
  </si>
  <si>
    <t>386e6794-c802-4f2d-b87a-3b2ed6277834</t>
  </si>
  <si>
    <t>PLEASANT ST FS ULTRAMAR TANK</t>
  </si>
  <si>
    <t>ef600376-9af2-4a3a-aa6d-83ad2008378c</t>
  </si>
  <si>
    <t>2015-02-20T04:00:00.000Z</t>
  </si>
  <si>
    <t>STARBOARD DR &lt;NS&gt; PEAKVIEW WAY</t>
  </si>
  <si>
    <t>0621bf45-0e5f-4ca9-8afe-cd83d5742e24</t>
  </si>
  <si>
    <t>HERRING COVE RD AT CIVIC 235</t>
  </si>
  <si>
    <t>58ff194d-39e5-426d-99c4-3bfb216fd854</t>
  </si>
  <si>
    <t>HERRING COVE RD AT CIVIC 412</t>
  </si>
  <si>
    <t>65ecce76-6f05-4b4f-8961-cd7651a60499</t>
  </si>
  <si>
    <t>HERRING COVE RD AT CIVIC 457</t>
  </si>
  <si>
    <t>c34e1e1a-4f86-4fe5-872b-cd30b391a07a</t>
  </si>
  <si>
    <t>HERRING COVE RD AT CIVIC 470</t>
  </si>
  <si>
    <t>cc1e0e9a-8172-4ef3-b9c3-08af61dd9bb2</t>
  </si>
  <si>
    <t>HERRING COVE RD AT CIVIC 540</t>
  </si>
  <si>
    <t>14c5706c-3757-4961-a23b-d53d2dfcaf48</t>
  </si>
  <si>
    <t>HERRING COVE RD AT CIVIC 554</t>
  </si>
  <si>
    <t>84baad49-f9d3-479d-8ae8-a9934de19d26</t>
  </si>
  <si>
    <t>HERRING COVE RD AT CIVIC 725</t>
  </si>
  <si>
    <t>325990c6-5427-4edc-b685-81975973fd3c</t>
  </si>
  <si>
    <t>HERRING COVE RD AT CIVIC 749</t>
  </si>
  <si>
    <t>f70a0066-e024-4296-82dd-74fd726e0ee4</t>
  </si>
  <si>
    <t>HERRING COVE RD AT CIVIC 822</t>
  </si>
  <si>
    <t>49a047e5-e5e3-412f-b3b4-913f20f57bc0</t>
  </si>
  <si>
    <t>HERRING COVE RD AT CIVIC 851</t>
  </si>
  <si>
    <t>7181fa96-66d7-4f07-b0ac-25d8bc1eb557</t>
  </si>
  <si>
    <t>HERRING COVE RD AT CIVIC 858</t>
  </si>
  <si>
    <t>16297057-bf5e-430b-9524-bf9d0f957cdd</t>
  </si>
  <si>
    <t>HERRING COVE RD AT CIVIC 865</t>
  </si>
  <si>
    <t>9f5ab7a4-4ff4-4c64-abcc-d65c92099358</t>
  </si>
  <si>
    <t>3a24b343-7967-447e-be44-e4b5b5d6fc17</t>
  </si>
  <si>
    <t>EAST PERIMETER RD FS MUMFORD RD</t>
  </si>
  <si>
    <t>191b5508-1d10-44f3-b97b-7ff7d3e4bcee</t>
  </si>
  <si>
    <t>EAST PERIMETER RD 2ND STOP</t>
  </si>
  <si>
    <t>3cb3d2cb-f328-4335-a646-8e8ba54b245a</t>
  </si>
  <si>
    <t>EAST PERIMETER RD NS BAYERS</t>
  </si>
  <si>
    <t>6bb66cb0-b10c-4a22-8067-e1ef35f0d6ae</t>
  </si>
  <si>
    <t>EAST PERMETER RD NS PARKADE</t>
  </si>
  <si>
    <t>52f43b58-70f5-4866-bdb1-44eb11652910</t>
  </si>
  <si>
    <t>EAST PERMETER RD NS MUMFORD RD</t>
  </si>
  <si>
    <t>0c72119b-39dd-47ca-a818-8922a00590d0</t>
  </si>
  <si>
    <t>EILEEN STUBBS AVE NS OPP CIVIC 201 TO SACKVILLE</t>
  </si>
  <si>
    <t>486f5558-8dc3-4e83-a30f-cd44590fed87</t>
  </si>
  <si>
    <t>CRANBERRY CR FS ORQUEL CR</t>
  </si>
  <si>
    <t>f05cc8f6-b8a5-413c-ba5a-85dd48f068ae</t>
  </si>
  <si>
    <t>Bus Terminal Non-Standard</t>
  </si>
  <si>
    <t>ORIG DATA</t>
  </si>
  <si>
    <t xml:space="preserve"> </t>
  </si>
  <si>
    <t>COBEQUID TERMINAL (INSIDE,LB)</t>
  </si>
  <si>
    <t>db50337e-1977-48f0-8c15-2212085656e9</t>
  </si>
  <si>
    <t>1999-04-27T03:00:00.000Z</t>
  </si>
  <si>
    <t>MIC MAC MALL (IGA)</t>
  </si>
  <si>
    <t>1477ada0-4a12-4596-a410-cc9ff3e8662e</t>
  </si>
  <si>
    <t>2004-03-16T04:00:00.000Z</t>
  </si>
  <si>
    <t>HIGHFIELD TERMINAL</t>
  </si>
  <si>
    <t>58c8cb16-fd14-4bed-a46a-207dcc1c122e</t>
  </si>
  <si>
    <t>1999-03-09T04:00:00.000Z</t>
  </si>
  <si>
    <t>PENHORN TERMINAL (EB)(LB)</t>
  </si>
  <si>
    <t>6002604c-ed7f-45fb-bb11-169ca7d82953</t>
  </si>
  <si>
    <t>ALDERNEY TERMINAL (SB)(LC)</t>
  </si>
  <si>
    <t>64c600e2-e9dd-4659-afb8-7214e6d3b8d4</t>
  </si>
  <si>
    <t>LACEWOOD TERMINAL (WILLETT ST)</t>
  </si>
  <si>
    <t>3dbdad86-a301-4cf4-8e89-bf5dd0579824</t>
  </si>
  <si>
    <t>2004-03-17T04:00:00.000Z</t>
  </si>
  <si>
    <t>LACEWOOD TERMINAL-JUMBO</t>
  </si>
  <si>
    <t>1809f8a8-aed1-4d75-a12e-7f7fcae9e2eb</t>
  </si>
  <si>
    <t>BARRINGTON OP HOTEL HALIFAX,NB</t>
  </si>
  <si>
    <t>9287e423-bb99-42ad-8976-38e5d4c9e1fd</t>
  </si>
  <si>
    <t>HALIFAX FERRY TERMINAL</t>
  </si>
  <si>
    <t>951a608f-529a-4d99-9fd4-9782ba559672</t>
  </si>
  <si>
    <t>BARRINGTON NS DUKE, SB</t>
  </si>
  <si>
    <t>1315157a-a804-4135-b1d8-c4b9a36197e3</t>
  </si>
  <si>
    <t>MUMFORD RD BUS TERMINAL</t>
  </si>
  <si>
    <t>dcbe8372-2f4f-468c-9c1b-3cfac943f887</t>
  </si>
  <si>
    <t>Park and Ride</t>
  </si>
  <si>
    <t>1999-06-30T03:00:00.000Z</t>
  </si>
  <si>
    <t>DARTMOUTH SPORTSPLEX</t>
  </si>
  <si>
    <t>73cb5972-cf48-49dc-a9cb-9d8f4b6c5803</t>
  </si>
  <si>
    <t>DOWNSVIEW MALL</t>
  </si>
  <si>
    <t>af4a2fde-0261-424f-bf49-de0d2523d079</t>
  </si>
  <si>
    <t>UPPER WATER ST SB FS CORNWALLIS ST</t>
  </si>
  <si>
    <t>f191225e-c916-4429-a7e7-0712f2cb928a</t>
  </si>
  <si>
    <t>UPPER WATER ST NB NS CORNWALLIS ST</t>
  </si>
  <si>
    <t>1ba0397c-3320-4e7d-bb53-0f32eb87786a</t>
  </si>
  <si>
    <t>PURCELLS COVE RD AT BRAEBURN RD</t>
  </si>
  <si>
    <t>e096a5d8-b48c-4ce5-96ba-9049e2252077</t>
  </si>
  <si>
    <t>PURCELLS COVE RD AT FERGUSON COVE RD</t>
  </si>
  <si>
    <t>af669001-351d-455c-b02e-68c8839a137e</t>
  </si>
  <si>
    <t>PURCELLS COVE RD AT STANBRAE RD</t>
  </si>
  <si>
    <t>1bfe0836-60c9-4795-b783-fc7b54aa3c01</t>
  </si>
  <si>
    <t>PURCELLS COVE RD FS ANCHOR DR</t>
  </si>
  <si>
    <t>5c901d01-95eb-4e2f-8d1f-4b20af31b660</t>
  </si>
  <si>
    <t>PURCELLS COVE RD FS HALLS RD</t>
  </si>
  <si>
    <t>574f92ac-1bd9-4919-a79b-1f0f01d1c25c</t>
  </si>
  <si>
    <t>d7a7c541-7b04-43c2-80c5-6e4ad606d2ac</t>
  </si>
  <si>
    <t>PURCELLS COVE RD FS HERRING COVE RD</t>
  </si>
  <si>
    <t>f345008c-1e57-4538-97cb-d41413ca5273</t>
  </si>
  <si>
    <t>PURCELLS COVE RD FS INVERNESS AVE</t>
  </si>
  <si>
    <t>dbff30fc-60fd-4840-b028-8e1c8c5d9516</t>
  </si>
  <si>
    <t>PURCELLS COVE RD FS PINE BLUFF</t>
  </si>
  <si>
    <t>ad1826d9-23c5-49a1-b319-ff46ba00d34e</t>
  </si>
  <si>
    <t>PURCELLS COVE RD FS WENLOCK GROVE</t>
  </si>
  <si>
    <t>05f79b46-44c8-4538-be8e-9eecc69b38e4</t>
  </si>
  <si>
    <t>COWIE HILL OPP SENIORS MANOR</t>
  </si>
  <si>
    <t>076c655d-4a66-4d86-898f-db61f35c2aff</t>
  </si>
  <si>
    <t>CRANBERRY CR FS CIVIC 67</t>
  </si>
  <si>
    <t>391f2906-8ad5-42c6-ac0e-5c6b12872817</t>
  </si>
  <si>
    <t>PLEASANT ST FS OPP CIVIC 1038 &lt;SB&gt;</t>
  </si>
  <si>
    <t>56bb7124-aab3-4f5a-b961-78d2dd052dde</t>
  </si>
  <si>
    <t>PLEASANT ST AT BAYDEN POWELL CTR</t>
  </si>
  <si>
    <t>e1cc8b04-3cec-42b9-bca2-598b4e65de36</t>
  </si>
  <si>
    <t>PLEASANT ST AT CIVIC 129 &lt;NB&gt;</t>
  </si>
  <si>
    <t>bab6e30b-4e36-4dd4-b97e-c8401888a27f</t>
  </si>
  <si>
    <t>PLEASANT ST AT CIVIC 1335 LEGION &lt;SB&gt;</t>
  </si>
  <si>
    <t>a378c422-3103-45ec-8e5d-179d417aa014</t>
  </si>
  <si>
    <t>PLEASANT ST AT CIVIC 1363 &lt;SB&gt;</t>
  </si>
  <si>
    <t>f429f054-345b-42cd-909c-9e7250b9ed9f</t>
  </si>
  <si>
    <t>PLEASANT ST AT CIVIC 229</t>
  </si>
  <si>
    <t>75701ec4-6a15-47aa-bf7b-9e367dcb1280</t>
  </si>
  <si>
    <t>PLEASANT ST AT CIVIC 76 &lt;SB&gt;</t>
  </si>
  <si>
    <t>c8dc4374-4563-4aa2-bbdc-b3a039c1f0db</t>
  </si>
  <si>
    <t>PLEASANT ST AT DART GEN &lt;NB&gt;</t>
  </si>
  <si>
    <t>710044f7-443b-4a6f-83ef-eeadc2c96364</t>
  </si>
  <si>
    <t>PLEASANT ST AT NS HOSP &lt;SB&gt;</t>
  </si>
  <si>
    <t>226772c8-05e2-4d2c-9929-4d35657bb745</t>
  </si>
  <si>
    <t>PLEASANT ST NS AUTO PORT &lt;NB&gt;</t>
  </si>
  <si>
    <t>63563c77-cb14-4837-a957-a7d4ca1a1d19</t>
  </si>
  <si>
    <t>PLEASANT ST FS BELMONT AVE</t>
  </si>
  <si>
    <t>9ed23ea1-b327-45f2-9cc8-dd8f957f2dce</t>
  </si>
  <si>
    <t>PLEASANT ST NS CAMERON ST &lt;NB&gt;</t>
  </si>
  <si>
    <t>974eb629-4b55-4635-9329-26a16f0f595a</t>
  </si>
  <si>
    <t>PLEASANT ST NS CFB SHEARWATER &lt;NB&gt;</t>
  </si>
  <si>
    <t>a4f4fcb7-a1df-48d9-a18a-b1c197caf509</t>
  </si>
  <si>
    <t>PLEASANT ST NS CIVIC 1244 &lt;SB&gt;</t>
  </si>
  <si>
    <t>4a85d6a5-ef98-4bc9-87df-15ad46df8988</t>
  </si>
  <si>
    <t>PLEASANT ST NS EVERETTE ST &lt;NB&gt;</t>
  </si>
  <si>
    <t>068fa408-52a0-4b4e-b27a-e1a63bb148f6</t>
  </si>
  <si>
    <t>PLEASANT ST NS HINES RD&lt;NB&gt;</t>
  </si>
  <si>
    <t>93790bc5-9b7c-48c8-94d2-e164b05b6cbc</t>
  </si>
  <si>
    <t>PLEASANT ST NS HOWARD &lt;NB&gt;</t>
  </si>
  <si>
    <t>28228848-8f88-40ed-9185-d9929937e949</t>
  </si>
  <si>
    <t>PLEASANT ST NS IRVING CIVIC 513</t>
  </si>
  <si>
    <t>13052c1a-31cb-446d-890c-422817de6f79</t>
  </si>
  <si>
    <t>PLEASANT ST NS LINDEN LEA &lt;NB&gt;</t>
  </si>
  <si>
    <t>44413b43-3bdd-429c-a075-82a1f4d0896c</t>
  </si>
  <si>
    <t>PLEASANT ST NS MORRIS &lt;NB&gt;</t>
  </si>
  <si>
    <t>f51ba92b-b6af-45be-97b0-4d205d1e6bbf</t>
  </si>
  <si>
    <t>PLEASANT ST NS MYERS LANE &lt;NB&gt;</t>
  </si>
  <si>
    <t>86660296-3ba5-48d6-ac60-a3c950c15a86</t>
  </si>
  <si>
    <t>PLEASANT ST NS NEWCASTLE &lt;SB&gt;</t>
  </si>
  <si>
    <t>a64805d1-830d-4f0f-a2db-04d69cab4b32</t>
  </si>
  <si>
    <t>PLEASANT ST NS QUIGLEYS CORNER</t>
  </si>
  <si>
    <t>847b1f57-3d19-4b17-9a07-32e6be096ee1</t>
  </si>
  <si>
    <t>PLEASANT ST NS SHIRLEY</t>
  </si>
  <si>
    <t>4f3789db-c4bc-49cb-b762-1da4c0ff1b5e</t>
  </si>
  <si>
    <t>PLEASANT ST NS TRUNK 111</t>
  </si>
  <si>
    <t>032c9cf4-c30f-41ea-9869-29c86adcfae5</t>
  </si>
  <si>
    <t>DAMASCUS OPP WALMART</t>
  </si>
  <si>
    <t>e0da156f-548d-4455-9bf4-683a90e304ec</t>
  </si>
  <si>
    <t>fcd00338-e47c-418c-9120-527d6f3faef4</t>
  </si>
  <si>
    <t>COBEQUID TERMINAL (OUTSIDE)</t>
  </si>
  <si>
    <t>60af8adf-5a58-444a-94fd-5fdadb9072fe</t>
  </si>
  <si>
    <t>COBEQUID TERMINAL (INSIDE,LA)</t>
  </si>
  <si>
    <t>97d72b78-ee2d-418e-8e0e-ed5484bf631e</t>
  </si>
  <si>
    <t>COLONNA PLACE AT CIVIC 57</t>
  </si>
  <si>
    <t>97274aa5-63be-4be6-8cdb-d6f272105500</t>
  </si>
  <si>
    <t>COMMODORE DR FS EILEEN STUBBS AVE [OB]</t>
  </si>
  <si>
    <t>84b7b3d4-bed5-4311-aa22-abb25589b156</t>
  </si>
  <si>
    <t>COMMODORE DR FS EILEEN STUBBS AVE TO SACKVILLE</t>
  </si>
  <si>
    <t>2abc68bf-1979-46a2-b946-2e6698c37adf</t>
  </si>
  <si>
    <t>BEDFORD HWY AT CIVIC 364</t>
  </si>
  <si>
    <t>d01bc262-da6b-436c-bf75-945bfccdbc09</t>
  </si>
  <si>
    <t>BEDFORD HWY FS CRESTHAVEN EST.</t>
  </si>
  <si>
    <t>f1a1b942-048e-4dc6-ace5-51d56415e59c</t>
  </si>
  <si>
    <t>BEDFORD HWY FS DAKIN DR</t>
  </si>
  <si>
    <t>d17ca755-13f1-4d72-94a5-5d3055890938</t>
  </si>
  <si>
    <t>BEDFORD HWY FS DIVISION ST</t>
  </si>
  <si>
    <t>4830998b-3236-4220-b46d-5c88c744f300</t>
  </si>
  <si>
    <t>BEDFORD HWY NS FLAMINGO DR</t>
  </si>
  <si>
    <t>1efe5af2-64d1-4cc5-8512-db6f560b5b3a</t>
  </si>
  <si>
    <t>BEDFORD HWY IB AT FLAMINGO DR</t>
  </si>
  <si>
    <t>c35a294a-3f32-4a53-8bd8-381fc4a24b9c</t>
  </si>
  <si>
    <t>BEDFORD HWY NS FOREST HILL DR</t>
  </si>
  <si>
    <t>2963dd80-a70c-468f-a8f9-99a1beeb607a</t>
  </si>
  <si>
    <t>BEDFORD HWY IB AT MOIRS MILL RD</t>
  </si>
  <si>
    <t>f2cd69ca-21e6-444d-aa2d-31d5df166302</t>
  </si>
  <si>
    <t>BEDFORD HWY OB AT HAMMONDS PLAINS RD</t>
  </si>
  <si>
    <t>e63e3676-c78e-411f-a248-0cf60edd1df3</t>
  </si>
  <si>
    <t>BEDFORD HWY IB AT HAMMONDS PLAINS RD</t>
  </si>
  <si>
    <t>cb4239c1-c450-42d6-8265-7978570c7405</t>
  </si>
  <si>
    <t>BEDFORD HWY FS KEARNEY LAKE RD</t>
  </si>
  <si>
    <t>4344dad7-a777-45d3-a941-0ef0ec3dab0d</t>
  </si>
  <si>
    <t>BEDFORD HWY IB AT MEADOWBROOK DR</t>
  </si>
  <si>
    <t>11f59d00-4781-4948-8492-a743775c3561</t>
  </si>
  <si>
    <t>BEDFORD HWY IB FS MILLVIEW AVE</t>
  </si>
  <si>
    <t>88843ff6-a33c-4883-8d04-14cff1afe114</t>
  </si>
  <si>
    <t>BEDFORD HWY FS NELSONS LANDING BLVD</t>
  </si>
  <si>
    <t>719d8002-8378-4337-901e-c8d253945942</t>
  </si>
  <si>
    <t>BEDFORD HWY FS OAKMONT DR</t>
  </si>
  <si>
    <t>2fa78482-47e5-4cbc-bbce-8ed66f8044a8</t>
  </si>
  <si>
    <t>BEDFORD HWY FS RUTLEDGE ST</t>
  </si>
  <si>
    <t>012709d9-6736-49d4-ab08-9aa981aab7d1</t>
  </si>
  <si>
    <t>BEDFORD HWY OB FS TORRINGTON</t>
  </si>
  <si>
    <t>af08b4eb-7920-4162-9f47-35fe12e17486</t>
  </si>
  <si>
    <t>BEDFORD HWY AT CIVIC 1683</t>
  </si>
  <si>
    <t>115291b4-f3fa-4370-83ba-32463c8172f8</t>
  </si>
  <si>
    <t>BEDFORD HWY IB FS TREMONT DR</t>
  </si>
  <si>
    <t>eaba9ab8-bcd7-4551-bf4a-ef5e5ec35725</t>
  </si>
  <si>
    <t>BEDFORD HWY FS OPP VALLEY RD</t>
  </si>
  <si>
    <t>c83f2626-bb24-4472-a2f0-a37208af96fa</t>
  </si>
  <si>
    <t>BEDFORD HWY AT ARBYS</t>
  </si>
  <si>
    <t>62c62af9-f672-4364-ac47-a846d91e595a</t>
  </si>
  <si>
    <t>COBEQUID RD RD  FS TIM HORTONS</t>
  </si>
  <si>
    <t>597da499-60dc-424f-99ee-81f1f9c6422e</t>
  </si>
  <si>
    <t>BEDFORD HWY AT CHINA TOWN</t>
  </si>
  <si>
    <t>26603ac6-7078-4a2a-95d2-78c52dbf9808</t>
  </si>
  <si>
    <t>BEDFORD HWY AT CIVIC 64</t>
  </si>
  <si>
    <t>b96da630-f476-48f5-9bd4-45bc4f12b559</t>
  </si>
  <si>
    <t>BEDFORD HWY IB AT DART. RD</t>
  </si>
  <si>
    <t>4f08fab4-6e78-4ba1-a2f4-449c49f07be7</t>
  </si>
  <si>
    <t>BEDFORD HWY AT CIVIC 741</t>
  </si>
  <si>
    <t>5456449d-ead6-46ac-8f18-cdeec69b97c8</t>
  </si>
  <si>
    <t>BEDFORD HWY AT CIVIC 612</t>
  </si>
  <si>
    <t>66160a7b-b8f6-4e52-b232-b42366a35836</t>
  </si>
  <si>
    <t>BEDFORD HWY NS FERN AVE</t>
  </si>
  <si>
    <t>04be47f1-9c68-4fa5-bd24-8a2dc5a5025f</t>
  </si>
  <si>
    <t>PEDDARS WAY OPP BOW</t>
  </si>
  <si>
    <t>81c17bb5-e8c2-4983-837b-70e3daee5202</t>
  </si>
  <si>
    <t>PEDDARS WAY NS CIVIC 47</t>
  </si>
  <si>
    <t>bb5caa96-22e2-479b-b95e-9473ffef094e</t>
  </si>
  <si>
    <t>PEDDARS WAY OPP CIVIC 47</t>
  </si>
  <si>
    <t>89258358-ef35-4ed8-8ae6-517f39f83c70</t>
  </si>
  <si>
    <t>PENHORN TERMINAL METROLINK [OB]</t>
  </si>
  <si>
    <t>92c142b7-818e-45ba-bf6e-4675549adb93</t>
  </si>
  <si>
    <t>PENHORN TERMINAL &lt;WB&gt; Downtown</t>
  </si>
  <si>
    <t>db2e8c45-0f7d-4671-a5d4-463918613790</t>
  </si>
  <si>
    <t>PETTIPAS DR FS VIDITO DR</t>
  </si>
  <si>
    <t>10ce0019-0d03-4bfb-a4b3-5d570d5a0289</t>
  </si>
  <si>
    <t>PETTIPAS DR AT CIVIC 19</t>
  </si>
  <si>
    <t>18ea1878-cb0b-491c-95e6-d8f0d03205dd</t>
  </si>
  <si>
    <t>PINECREST DR FS ALBRO LAKE RD</t>
  </si>
  <si>
    <t>9a5bf878-6237-4426-b448-9a81c60b8677</t>
  </si>
  <si>
    <t>PINECREST DR NS ALBRO LAKE RD</t>
  </si>
  <si>
    <t>6df0542f-0673-40fa-bde4-19b57ff05dfc</t>
  </si>
  <si>
    <t>PINECREST DR FS BRULE ST&lt;EB&gt;</t>
  </si>
  <si>
    <t>21437b23-33cc-4902-9e20-55cdd5918a82</t>
  </si>
  <si>
    <t>PINECREST DR AT CIVIC 103</t>
  </si>
  <si>
    <t>355b4e85-dab1-484d-ac44-eafd4de41f81</t>
  </si>
  <si>
    <t>PINECREST DR AT CIVIC 106</t>
  </si>
  <si>
    <t>e2d15d8c-2e2b-4a3f-a3e8-49dcfbda947b</t>
  </si>
  <si>
    <t>PINECREST DR AT CIVIC 122</t>
  </si>
  <si>
    <t>42e0ea65-80b8-4ed1-b28e-91b8f5ff83ac</t>
  </si>
  <si>
    <t>PINECREST DR AT CIVIC 123</t>
  </si>
  <si>
    <t>4ad686b3-4026-4d1a-a110-a88153fd9289</t>
  </si>
  <si>
    <t>PINECREST DR AT CIVIC 63</t>
  </si>
  <si>
    <t>31c06ea6-9866-4090-8e9d-0fe92e7a45e9</t>
  </si>
  <si>
    <t>PINECREST DR NS CRYSTAL DR</t>
  </si>
  <si>
    <t>98bdf23a-b5aa-42b3-8ffe-f5763640230b</t>
  </si>
  <si>
    <t>PINECREST DR NS CRYSTAL DR &lt;SB&gt;</t>
  </si>
  <si>
    <t>fba2c174-3ae2-479e-b672-619b49aec004</t>
  </si>
  <si>
    <t>PINECREST DR NS PRIMROSE ST</t>
  </si>
  <si>
    <t>b843c0e7-4394-4774-98e9-5f9333f9c918</t>
  </si>
  <si>
    <t>PLAZA FS ELJAY CIVIC 15</t>
  </si>
  <si>
    <t>c1a28fd9-38d3-4973-b029-562f2bde2403</t>
  </si>
  <si>
    <t>PLEASANT ST AT AUTOPORT &lt;SB&gt;</t>
  </si>
  <si>
    <t>ce620d9a-7607-4332-bdb9-102e9168969d</t>
  </si>
  <si>
    <t>PLEASANT ST AT CFB SHEARWATER &lt;SB&gt;</t>
  </si>
  <si>
    <t>d60e582d-3e91-4de0-9fcb-ce9397544942</t>
  </si>
  <si>
    <t>PLEASANT ST AT CIVIC 1494 &lt;NB&gt;</t>
  </si>
  <si>
    <t>37d32b09-97b4-47ed-90d1-ee88f4548b06</t>
  </si>
  <si>
    <t>PLEASANT ST FS ACADIA ST</t>
  </si>
  <si>
    <t>31335e2d-fd04-4cfb-96d2-d98adb61e907</t>
  </si>
  <si>
    <t>PLEASANT ST FS ARTHUR ST&lt;SB&gt;</t>
  </si>
  <si>
    <t>026fcc88-7a46-4916-a657-e04a7142d9e3</t>
  </si>
  <si>
    <t>PLEASANT ST FS ATLANTIC ST [IB]</t>
  </si>
  <si>
    <t>9ad2cd76-7d87-4152-9097-502abd7f538a</t>
  </si>
  <si>
    <t>PLEASANT ST FS ATLANTIC ST [OB]</t>
  </si>
  <si>
    <t>a187123e-7c27-49ae-a418-d709b764f895</t>
  </si>
  <si>
    <t>PLEASANT ST FS CIVIC 54</t>
  </si>
  <si>
    <t>89c1cbf9-5169-4110-8ebd-aebfdc8562de</t>
  </si>
  <si>
    <t>PLEASANT ST FS IMPERIAL ENTRANCE  &lt;SB&gt;</t>
  </si>
  <si>
    <t>6b0b2b0b-a1e8-4e90-9f1e-0f7f12a66e83</t>
  </si>
  <si>
    <t>PLEASANT ST FS RENFREW ST &lt;SB&gt;</t>
  </si>
  <si>
    <t>5683d2fb-bdea-4b70-8616-2df454d73c1f</t>
  </si>
  <si>
    <t>MERRIMAC DR FS SILISTRIA DR</t>
  </si>
  <si>
    <t>6733e51e-3d55-47e1-a345-04506bbc2614</t>
  </si>
  <si>
    <t>MERRIMAC AT CIVIC 145</t>
  </si>
  <si>
    <t>5d011b2c-9f95-4b87-83a1-0030095b59fa</t>
  </si>
  <si>
    <t>MERRIMAC DR NS ARKLOW DR</t>
  </si>
  <si>
    <t>92839112-d977-4063-b569-7f9688bb7af0</t>
  </si>
  <si>
    <t>MERRIMAC DR NS CIVIC 87</t>
  </si>
  <si>
    <t>6a0be846-a3d7-45c5-919c-99696d0940df</t>
  </si>
  <si>
    <t>MERRIMAC DR OPP CIVIC 8</t>
  </si>
  <si>
    <t>50c9db52-467e-460a-80b4-1d29bdbfaa71</t>
  </si>
  <si>
    <t>METROPOLITAN AVE NS POLARA DR</t>
  </si>
  <si>
    <t>983f8eef-fec7-4f18-b702-6040741a75c2</t>
  </si>
  <si>
    <t>METRO TRANSIT GARAGE</t>
  </si>
  <si>
    <t>c631a26f-2c46-4c78-a388-def07ff0d0f6</t>
  </si>
  <si>
    <t>METROPOLITAN AVE FS POLARA DR</t>
  </si>
  <si>
    <t>f05ebfcc-edec-4a1a-9e52-9c1eaab433d0</t>
  </si>
  <si>
    <t>METROPOLITAN AVE AT MET BALL FIELD</t>
  </si>
  <si>
    <t>23ad91d2-5910-499b-803f-811e3a151e03</t>
  </si>
  <si>
    <t>METROPOLITAN OPP MET BALL FIELD</t>
  </si>
  <si>
    <t>933eee1c-beb9-4e5c-acce-aee54807cb91</t>
  </si>
  <si>
    <t>MIC MAC BLVD OPP MANOR APTS</t>
  </si>
  <si>
    <t>abeb2432-51d7-4a90-9f6d-bb6c844fe45f</t>
  </si>
  <si>
    <t>MIC MAC BLVD AT MANOR APTS</t>
  </si>
  <si>
    <t>932b94e5-3b64-48e7-9c1f-e57bf12a0c3f</t>
  </si>
  <si>
    <t>MILLWOOD DR NS LUMBERMAN</t>
  </si>
  <si>
    <t>8e517b01-0d08-4ce5-8530-ef5740c08052</t>
  </si>
  <si>
    <t>MILLWOOD DR FS BARQUE CRT</t>
  </si>
  <si>
    <t>e33956d2-e73f-4b31-8671-1095d8e9272d</t>
  </si>
  <si>
    <t>MILLWOOD DR FS BEAVERBANK RD</t>
  </si>
  <si>
    <t>d07abe5f-8dc1-4c9e-9dfa-1ec19276c3d3</t>
  </si>
  <si>
    <t>MILLWOOD DR AT CIVIC 132</t>
  </si>
  <si>
    <t>aca49926-6d29-4e9c-8a03-ca84aef60c1d</t>
  </si>
  <si>
    <t>MILLWOOD DR FS CROSSROADS CT</t>
  </si>
  <si>
    <t>71e4cbbd-35fa-43cc-9d5f-f6f9f395250e</t>
  </si>
  <si>
    <t>PARKLAND DR NS OPP THE WEDGEWOOD</t>
  </si>
  <si>
    <t>942a3e71-5977-4e38-a54c-c41c2042143e</t>
  </si>
  <si>
    <t>PARKLAND DR NS CIVIC 680</t>
  </si>
  <si>
    <t>4e598cd2-52b9-4e50-8a66-0a225e9d8467</t>
  </si>
  <si>
    <t>SACKVILLE DR FS BEAVERBANK RD</t>
  </si>
  <si>
    <t>6060c5d1-9473-433b-9407-79fe6b533ae0</t>
  </si>
  <si>
    <t>COBEQUID RD FS HWY #1</t>
  </si>
  <si>
    <t>38161b9b-f1fd-4a08-8a4a-c0dfb122ef12</t>
  </si>
  <si>
    <t>CHARLES ST. NS CIVIC 15</t>
  </si>
  <si>
    <t>5e4ebb07-a159-4229-aa3d-f5e091b774ab</t>
  </si>
  <si>
    <t>DAMASCUS AT WALMART</t>
  </si>
  <si>
    <t>3883e033-0807-47f4-85de-77ccc485beaf</t>
  </si>
  <si>
    <t>COMMODORE DR FS OPP BROWNLOW AVE TO SACKVILLE</t>
  </si>
  <si>
    <t>9ccee289-1783-4eb6-86ee-e229c5cdc3c3</t>
  </si>
  <si>
    <t>COMMODORE DR FS OPP BROWNLOW AVE [OB]</t>
  </si>
  <si>
    <t>608f77ef-8794-4bb5-97fd-12cd610cba11</t>
  </si>
  <si>
    <t>COMMODORE DR NS BROWNLOW AVE</t>
  </si>
  <si>
    <t>4d82da98-9c99-406a-8405-0e111fcb9b2d</t>
  </si>
  <si>
    <t>COMMODORE DR NS BROWNLOW AVE TO SACKVILLE</t>
  </si>
  <si>
    <t>58f54ce5-82a7-4c7d-a678-66914dde61a0</t>
  </si>
  <si>
    <t>CONNAUGHT AVE FS CHISHOLM AVE</t>
  </si>
  <si>
    <t>fb43f875-2094-4e28-b180-74c82a377de9</t>
  </si>
  <si>
    <t>CONNAUGHT AVE FS REGENT RD</t>
  </si>
  <si>
    <t>cee0e78a-761c-4a66-9608-86884ded2701</t>
  </si>
  <si>
    <t>CONNAUGHT AVE AT CIVIC 2248</t>
  </si>
  <si>
    <t>4c515e7a-82e3-411b-bee1-c56726085d2c</t>
  </si>
  <si>
    <t>CONNAUGHT AVE AT CIVIC 2405</t>
  </si>
  <si>
    <t>14eb0d4c-61a4-4826-a214-e4c51f6b871c</t>
  </si>
  <si>
    <t>CONNAUGHT AVE AT CIVIC 3284</t>
  </si>
  <si>
    <t>9737bee5-022e-4a7c-a055-b3ea155986a8</t>
  </si>
  <si>
    <t>CONNAUGHT AVE NS CHESTER AVE</t>
  </si>
  <si>
    <t>4a521530-26fd-4ee3-818e-64acdbc1007d</t>
  </si>
  <si>
    <t>CONNAUGHT AVE NS ROSLYN RD</t>
  </si>
  <si>
    <t>41dde478-ef3d-42ad-bcff-4c10264d8341</t>
  </si>
  <si>
    <t>CONNAUGHT AVE OPP CHISHOLM AVE</t>
  </si>
  <si>
    <t>d99e484a-5d6d-4dfb-a570-64d9fa32b7a0</t>
  </si>
  <si>
    <t>CONNAUGHT AVE OPP ROSLYN RD</t>
  </si>
  <si>
    <t>ae504556-0f40-4113-a444-60cd7aabd9f6</t>
  </si>
  <si>
    <t>CORNWALLIS ST FS BRUNSWICK ST</t>
  </si>
  <si>
    <t>abbd0088-4e89-4b4d-bafd-c7990411ca26</t>
  </si>
  <si>
    <t>6fd5de46-6bae-419f-8e10-1743c7582b31</t>
  </si>
  <si>
    <t>HIGHFIELD PARK DR NS TERMINAL</t>
  </si>
  <si>
    <t>622fd5c4-7340-4601-be99-2a1136f96cfd</t>
  </si>
  <si>
    <t>HIGHFIELD PARK DR NS TRUE NORTH CR</t>
  </si>
  <si>
    <t>dfc2e443-cfee-418a-993c-acae681940ef</t>
  </si>
  <si>
    <t>HIGHFIELD PARK DR NS ULTRAMAR</t>
  </si>
  <si>
    <t>d6cfd7fd-9cf4-4ce9-8700-7d74b74ab958</t>
  </si>
  <si>
    <t>Coordinated Point</t>
  </si>
  <si>
    <t>BLUEWATER RD &lt;OP&gt; COMMAND CT</t>
  </si>
  <si>
    <t>1bcbb747-e5a6-4680-87c9-ab9726b91501</t>
  </si>
  <si>
    <t>2009-03-18T03:00:00.000Z</t>
  </si>
  <si>
    <t>BLUEWATER RD &lt;AT&gt; CIVIC 62</t>
  </si>
  <si>
    <t>dc56687d-17a8-4d96-94b8-49b3f8b6467e</t>
  </si>
  <si>
    <t>BLUEWATER RD &lt;NS&gt; HAMMONDS PLAINS RD</t>
  </si>
  <si>
    <t>2e06a5da-2c5d-425c-9019-1e44499e5f92</t>
  </si>
  <si>
    <t>HAMMONDS PLAINS RD &lt;IB&gt; &lt;NS&gt; INNOVATION DR</t>
  </si>
  <si>
    <t>ee00fe2a-15a9-4395-8d5b-ba2d0840a92b</t>
  </si>
  <si>
    <t>BLUEWATER &lt;AT&gt; CIVIC 23</t>
  </si>
  <si>
    <t>733f0590-bc9b-49f6-ab83-e835069ba0d3</t>
  </si>
  <si>
    <t>BLUEWATER RD &lt;AT&gt; CIVIC 107</t>
  </si>
  <si>
    <t>21b98feb-3ffb-4ef2-a460-eb5885b4e841</t>
  </si>
  <si>
    <t>BLUEWATER RD &lt;AT&gt; CIVIC 155</t>
  </si>
  <si>
    <t>d45ce65c-2123-48c1-916e-7123ec1bc28d</t>
  </si>
  <si>
    <t>BLUEWATER RD &lt;AT&gt; CIVIC 347</t>
  </si>
  <si>
    <t>ed2daefe-6781-4c2d-a2ac-d56bb57c7a4b</t>
  </si>
  <si>
    <t>HAMMONDS PLAINS RD &lt;OB&gt; &lt;FS&gt; INNOVATION DR</t>
  </si>
  <si>
    <t>8ece495b-158a-4200-9ec2-5215e93581bc</t>
  </si>
  <si>
    <t>KEARNEY LAKE RD &lt;OB&gt; &lt;FS&gt; BLUE MOUNTAIN RD</t>
  </si>
  <si>
    <t>63474ba0-9631-4105-baae-8cc9c0c38e6b</t>
  </si>
  <si>
    <t>KEARNEY LAKE RD &lt;IB&gt; &lt;FS&gt; BLUE MOUNTAIN RD</t>
  </si>
  <si>
    <t>85af14ff-ebc1-462b-89f6-6bab76673e3e</t>
  </si>
  <si>
    <t>WINDMILL RD &lt;NS&gt; FERNHILL</t>
  </si>
  <si>
    <t>efc10f56-a452-42bd-b48e-b72c15a8d36c</t>
  </si>
  <si>
    <t>2009-03-30T03:00:00.000Z</t>
  </si>
  <si>
    <t xml:space="preserve">KEARNEY LAKE RD &lt;IB&gt; &lt;FS&gt; BLUEWATER </t>
  </si>
  <si>
    <t>e3b5ce9f-253e-45a8-a361-66e6ec78dadc</t>
  </si>
  <si>
    <t>KEARNEY LAKE RD &lt;NS&gt; BLUEWATER RD</t>
  </si>
  <si>
    <t>a65242a2-b7ab-4179-85c0-fb42da48724d</t>
  </si>
  <si>
    <t>Global Position</t>
  </si>
  <si>
    <t>2009-09-09T03:00:00.000Z</t>
  </si>
  <si>
    <t>KETCH HARBOUR RD @ PORK AVE</t>
  </si>
  <si>
    <t>433b5d1e-dafe-48c5-aa2b-9b7baf2a1867</t>
  </si>
  <si>
    <t>KETCH HARBOUR RD @ GRAVE AVE</t>
  </si>
  <si>
    <t>8139c787-f253-4e1c-a4d0-08bea7a8ce93</t>
  </si>
  <si>
    <t>KETCH HARBOUR RD @ ST PETERS PARISH HALL</t>
  </si>
  <si>
    <t>a9f2ad47-a3be-4bd3-babc-1f0490978025</t>
  </si>
  <si>
    <t>KETCH HARBOUR RD @ FIRST POND DR</t>
  </si>
  <si>
    <t>7c6aec78-f0aa-400f-b847-980eb895c50d</t>
  </si>
  <si>
    <t>KETCH HARBOUR RD @ CIVIC 1173</t>
  </si>
  <si>
    <t>2165d789-ed59-447e-bca7-c01540f0fe45</t>
  </si>
  <si>
    <t>KETCH HARBOUR RD @ SABLE RD</t>
  </si>
  <si>
    <t>f81216f1-3a43-4de7-bcb0-3d4b8688d708</t>
  </si>
  <si>
    <t>KETCH HARBOUR RD @ CIVIC 1399</t>
  </si>
  <si>
    <t>04d0c1af-0041-4a3a-9945-bb8353b8b41c</t>
  </si>
  <si>
    <t>KETCH HARBOUR RD @ CIVIC 1449</t>
  </si>
  <si>
    <t>cd44ae9e-3d2a-4659-9b90-d4058451db34</t>
  </si>
  <si>
    <t>KETCH HARBOUR RD @ CIVIC 1491</t>
  </si>
  <si>
    <t>9ad79e17-f3d9-4123-928e-0db98b01c052</t>
  </si>
  <si>
    <t>KETCH HARBOUR RD @ CIVIC 1567</t>
  </si>
  <si>
    <t>c68d3f4b-654b-45c2-a26d-d422091f8d1c</t>
  </si>
  <si>
    <t>KETCH HARBOUR RD @ CIVIC 1613</t>
  </si>
  <si>
    <t>b9fcb6cf-d5da-4d0e-8c1b-66d6f0deac74</t>
  </si>
  <si>
    <t>KETCH HARBOUR RD @ CIVIC 1687</t>
  </si>
  <si>
    <t>984cabfa-dc10-40f4-9388-767677a8fe28</t>
  </si>
  <si>
    <t>KETCH HARBOUR RD OPPOSITE CIVIC 1722</t>
  </si>
  <si>
    <t>73f61556-a101-4c6f-9b46-9d563cd15172</t>
  </si>
  <si>
    <t>OLD SAMBRO RD @ WEST PENNANT RD</t>
  </si>
  <si>
    <t>12ace277-705a-4368-946a-7f75d4679d5b</t>
  </si>
  <si>
    <t>OLD SAMBRO RD @ KELLY DR</t>
  </si>
  <si>
    <t>4ac9a637-bdba-477e-8497-694275705b91</t>
  </si>
  <si>
    <t>OLD SAMBRO RD OPPOSITE CIVIC 3387</t>
  </si>
  <si>
    <t>fd160527-af0f-4d98-b5c3-2decc7b0cc9a</t>
  </si>
  <si>
    <t>OLD SAMBRO RD @ CIVIC 3318</t>
  </si>
  <si>
    <t>6e70137f-0db0-44a2-b80e-da1637015086</t>
  </si>
  <si>
    <t>OLD SAMBRO RD @ CIVIC 3172</t>
  </si>
  <si>
    <t>81c8503e-d26a-47cc-a998-cf906d776baa</t>
  </si>
  <si>
    <t>OLD SAMBRO RD OPPOSITE CIVIC  3027</t>
  </si>
  <si>
    <t>678775bc-0905-4ab1-8d7d-949575e3fb2e</t>
  </si>
  <si>
    <t>2010-08-29T03:00:00.000Z</t>
  </si>
  <si>
    <t>WRIGHT AVE &lt;FS&gt; WILKINSON</t>
  </si>
  <si>
    <t>136d6d23-9bc7-4503-9f38-1f8590d75e42</t>
  </si>
  <si>
    <t>WRIGHT AVE &lt;FS&gt; BURRIDGE</t>
  </si>
  <si>
    <t>ecffbb18-c1fe-470e-b3f2-7e373a1e4449</t>
  </si>
  <si>
    <t>WRIGHT AVE &lt;FS&gt; JOHN SAVAGE AVE</t>
  </si>
  <si>
    <t>34fc46f6-592f-4077-9d63-681d782644cd</t>
  </si>
  <si>
    <t>WRIGHT AVE &lt;FS&gt; WILLIAMS AVE</t>
  </si>
  <si>
    <t>54c71a7b-5408-4a57-8d3c-ef018ad1181e</t>
  </si>
  <si>
    <t>WRIGHT AVE &lt;FS&gt; JOSEPH ZATZMAN</t>
  </si>
  <si>
    <t>a5152283-0697-4709-801e-b89a4f2ab748</t>
  </si>
  <si>
    <t>WRIGHT AVE &lt;NS&gt; RADDALL AVE</t>
  </si>
  <si>
    <t>94bc954e-5430-4513-9188-f207f0a863de</t>
  </si>
  <si>
    <t>WRIGHT AVE &lt;NS&gt; BURNSIDE DR</t>
  </si>
  <si>
    <t>e25b47c4-bbe1-4ad7-bf54-3a3378584403</t>
  </si>
  <si>
    <t>WRIGHT AVE &lt;NS&gt; GARLAND AVE</t>
  </si>
  <si>
    <t>5fd8ef5d-3b99-427b-b54d-68b541af9683</t>
  </si>
  <si>
    <t>WRIGHT AVE &lt;FS&gt; MELNOR AVE</t>
  </si>
  <si>
    <t>a7f62360-923f-4640-aad0-2e7290fe030f</t>
  </si>
  <si>
    <t>WRIGHT AVE &lt;OP&gt; BURRIDGE</t>
  </si>
  <si>
    <t>6578708c-9e83-4fe3-a096-b7a3ad7733d7</t>
  </si>
  <si>
    <t>WRIGHT AVE &lt;OP&gt; WILKINSON</t>
  </si>
  <si>
    <t>44993084-10f1-41e6-8ef1-50a5d0861174</t>
  </si>
  <si>
    <t>SHUBIE DR &lt;OP&gt; KILTEARN ROW</t>
  </si>
  <si>
    <t>e40b5366-8512-467e-aa70-3204735b84d7</t>
  </si>
  <si>
    <t>OLD SAMBRO RD @ CIVIC 2770</t>
  </si>
  <si>
    <t>c5422adc-7c26-4251-871c-fe62d4a20999</t>
  </si>
  <si>
    <t>OLD SAMBRO RD @ HONEY CRT</t>
  </si>
  <si>
    <t>0a169fcc-6826-412e-9dc7-5b5683997951</t>
  </si>
  <si>
    <t>OLD SAMBRO RD @ GROVER DR</t>
  </si>
  <si>
    <t>88f895a0-d5c6-4f00-8ea2-2908595242a4</t>
  </si>
  <si>
    <t>OLD SAMBRO RD @ HAZEL ST</t>
  </si>
  <si>
    <t>5cbe495f-4d01-4519-b412-69beaee33bab</t>
  </si>
  <si>
    <t>WALTER HAVILL DR &lt;FS&gt; STONEGATE DR</t>
  </si>
  <si>
    <t>8a6a43b0-646d-4463-bff8-7d09f2867d0c</t>
  </si>
  <si>
    <t>RAGGED LAKE BLVD &lt;FS&gt; PROSPECT RD</t>
  </si>
  <si>
    <t>e078f11b-d317-4227-9be1-72074d378a2c</t>
  </si>
  <si>
    <t>RAGGED LAKE TRANSIT CENTRE</t>
  </si>
  <si>
    <t>9da019fa-7392-4282-8a92-c6b6770e0f15</t>
  </si>
  <si>
    <t>RAGGED LAKE BLVD &lt;NS&gt; PROSPECT RD</t>
  </si>
  <si>
    <t>f86d01e0-bfcd-4b74-a111-80cd4026c741</t>
  </si>
  <si>
    <t>WALTER HAVILL DR &lt;FS&gt; NW ARM DR</t>
  </si>
  <si>
    <t>4096adae-66a0-429d-8c50-1dbbe39bd597</t>
  </si>
  <si>
    <t>WALTER HAVILL DR &lt;AT&gt; CIVIC 150</t>
  </si>
  <si>
    <t>f689cfac-01a4-4654-8c2f-db945365ab62</t>
  </si>
  <si>
    <t>OLD SAMBRO RD @ 2198</t>
  </si>
  <si>
    <t>dd9eaef3-9c22-4ef2-8142-bbc718d11864</t>
  </si>
  <si>
    <t>OLD SAMBRO RD @ FRANCIE DR</t>
  </si>
  <si>
    <t>8a0d3632-6bbc-4ce3-9755-48f8e87abd3f</t>
  </si>
  <si>
    <t>BEDFORD HWY OPP CIVIC 58</t>
  </si>
  <si>
    <t>26e44701-de85-4df4-a81b-3e85e86b2d8c</t>
  </si>
  <si>
    <t>BEDFORD HWY OPP CIVIC 838</t>
  </si>
  <si>
    <t>7beda573-d313-4f69-9833-f1f71264c65c</t>
  </si>
  <si>
    <t>BELL RD AT QE2 &lt;EB&gt;</t>
  </si>
  <si>
    <t>078e6dcb-40b7-47a2-9694-4e36abeeda8e</t>
  </si>
  <si>
    <t>BELLEVISTA DR FS WOODLAWN RD</t>
  </si>
  <si>
    <t>785f2738-4990-4925-9480-1a1c827665b7</t>
  </si>
  <si>
    <t>BELLEVISTA DR AT CIVIC 35</t>
  </si>
  <si>
    <t>383265e5-a237-4ab5-9704-26a361071cba</t>
  </si>
  <si>
    <t>BELLEVISTA DR NS CIVIC 71</t>
  </si>
  <si>
    <t>152d720c-898e-48a3-a4bb-51f095daa93c</t>
  </si>
  <si>
    <t>BERTS DR AT MAIN AVE  TO VICTORIA RD MANOR</t>
  </si>
  <si>
    <t>95a87604-a226-4b3f-9bcb-80db91969f07</t>
  </si>
  <si>
    <t>PLEASANT ST OPP LEGION</t>
  </si>
  <si>
    <t>b1141c19-049c-4f0f-b7c5-3815dd9c640d</t>
  </si>
  <si>
    <t>PLEASANT ST NS PORTLAND ST ST CIVIC 61</t>
  </si>
  <si>
    <t>9bb2b4ad-8c37-489d-bdf3-bb469c5286b5</t>
  </si>
  <si>
    <t>PLEASANT ST OPP NS HOSPITAL</t>
  </si>
  <si>
    <t>b0d801d1-91d7-4d2d-a430-34034da13b69</t>
  </si>
  <si>
    <t>PLEASANT ST OPP NSP SUB STATION &lt;SB&gt;</t>
  </si>
  <si>
    <t>118d2b9e-3e15-4418-9aa8-a1cc6c31f530</t>
  </si>
  <si>
    <t>PLEASANT ST OPP SHEARWATER PMQS</t>
  </si>
  <si>
    <t>658225a1-4627-4454-9bd0-69fff4a4e45e</t>
  </si>
  <si>
    <t>LAKE MAJOR RD NS HWY #7</t>
  </si>
  <si>
    <t>ac12dae5-9983-4b4e-b9da-2f4e579f1a02</t>
  </si>
  <si>
    <t>POINT PLEASANT AT YOUNG ST &lt;WB&gt;</t>
  </si>
  <si>
    <t>aa2af0d1-6c38-4ea1-a3a9-5cd886a80627</t>
  </si>
  <si>
    <t>KEARNEY LAKE RD FS MATHESON WIN</t>
  </si>
  <si>
    <t>1b616234-5016-4ab0-960a-5109fecda901</t>
  </si>
  <si>
    <t>KEARNEY LAKE RD FS WEDGEWOOD AVE</t>
  </si>
  <si>
    <t>08e155c3-424c-48bf-873a-90f123c770cd</t>
  </si>
  <si>
    <t>KEARNEY LAKE RD AT CAMBRIA PARK &lt;NB&gt;</t>
  </si>
  <si>
    <t>83a057bf-4ac5-4cdc-a276-a3a0e98aa274</t>
  </si>
  <si>
    <t>KEARNEY LAKE RD AT CIVIC 47</t>
  </si>
  <si>
    <t>abf3c940-d897-4ea4-9e35-64f1eab4b953</t>
  </si>
  <si>
    <t>KEARNEY LAKE RD NS K.L. ESTATES</t>
  </si>
  <si>
    <t>d9aaa58e-7b95-463b-b39e-75ccba9c8dee</t>
  </si>
  <si>
    <t>KEARNEY LAKE RD OPP CAMBRIA PARK</t>
  </si>
  <si>
    <t>0cbe50d8-22af-484b-bde1-b7eccb039be7</t>
  </si>
  <si>
    <t>KEARNEY LAKE RD OPP FS FRASER CONSTRUCTION</t>
  </si>
  <si>
    <t>d8427f4a-43b3-4d41-b0dc-ceecb843e860</t>
  </si>
  <si>
    <t>KEARNEY LAKE RD OPP LAFARGE CONSTRUCTION</t>
  </si>
  <si>
    <t>9a9493a3-ad73-43ac-8c87-b6e826899190</t>
  </si>
  <si>
    <t>KEARNEY LAKE RD OPP NS CIVIC 377</t>
  </si>
  <si>
    <t>2b434543-16d7-4e15-8496-2871d430acf6</t>
  </si>
  <si>
    <t>KEARNEY LAKE RD FS HAMMONDS PLAINS RD</t>
  </si>
  <si>
    <t>8de07fd4-8d5c-47ac-b399-272f13d4284c</t>
  </si>
  <si>
    <t>LAKELANDS BLVD FS ST MARGARETS BAY RD</t>
  </si>
  <si>
    <t>d6ecab10-34bd-42c4-8de3-58bb17f2167a</t>
  </si>
  <si>
    <t>LAKELANDS BLVD NS ST MARGARETS BAY RD</t>
  </si>
  <si>
    <t>9bcef492-e96a-4b42-abe5-a4a923445e3a</t>
  </si>
  <si>
    <t>LANCASTER DR NS CIVIC 42</t>
  </si>
  <si>
    <t>2411e8c5-f291-4176-9594-a6427ebc1ff1</t>
  </si>
  <si>
    <t>LANCASTER DR OPP CIVIC 111</t>
  </si>
  <si>
    <t>41aebc9a-5019-416f-b667-e0820d3cc152</t>
  </si>
  <si>
    <t>LANDSDOWNE DR NS CIVIC 61</t>
  </si>
  <si>
    <t>eead660e-f067-4133-89f9-44cb66dc1b69</t>
  </si>
  <si>
    <t>KEARNEY LAKE RD NS HAMMONDS PLAINS RD</t>
  </si>
  <si>
    <t>75063efc-cba4-4bba-b6a8-7c00d82ae6f6</t>
  </si>
  <si>
    <t>VALLEYFIELD RD AT CIVIC 79</t>
  </si>
  <si>
    <t>477cf8bb-1a81-45ef-807f-a0cf5e604478</t>
  </si>
  <si>
    <t>VALLEYFIELD RD NS HILTON DR</t>
  </si>
  <si>
    <t>30313e37-6a23-43ca-8bce-18885a58bf4a</t>
  </si>
  <si>
    <t>VALLEYFIELD RD NS LANGLEY AVE</t>
  </si>
  <si>
    <t>3f35cabe-7f6a-4f03-8288-6bc289a73378</t>
  </si>
  <si>
    <t>VALLEYFIELD RD NS SKEENA LANE</t>
  </si>
  <si>
    <t>56837ea8-bfbf-4764-86d6-9734e384f53e</t>
  </si>
  <si>
    <t>VALLEYFIELD RD NS SPIKENARD ST</t>
  </si>
  <si>
    <t>a577ec9c-9a64-4362-a7dd-b1bf1dbf02d8</t>
  </si>
  <si>
    <t>VALLEYFIELD RD NS VIRGINIA AVE</t>
  </si>
  <si>
    <t>c11d0143-70e0-4609-af8f-377c24940ea6</t>
  </si>
  <si>
    <t>560aebbf-c7bb-445b-aa0a-3889d9ab6f0d</t>
  </si>
  <si>
    <t>KEMPT RD [IB] OPP LIVINGSTONE</t>
  </si>
  <si>
    <t>921fb878-fdd0-4991-9ff2-04166e7dddb9</t>
  </si>
  <si>
    <t>KEMPT RD [IB] NS HOOD</t>
  </si>
  <si>
    <t>f9f4e960-6778-4fdb-a19f-dcc19b69b241</t>
  </si>
  <si>
    <t>KEMPT RD NS OPP COLOMBUS</t>
  </si>
  <si>
    <t>60a25c5e-f793-45e2-b2ae-fcdaee0026d5</t>
  </si>
  <si>
    <t>KEMPT RD NS YOUNG ST &lt;EB&gt;</t>
  </si>
  <si>
    <t>26a34ce7-76bf-4453-82d5-e7fc130b4228</t>
  </si>
  <si>
    <t>KEMPT RD OPP HALIFAX CHRYSLER</t>
  </si>
  <si>
    <t>d4772353-dd23-4342-8d6f-d76903ddba8b</t>
  </si>
  <si>
    <t>KEMPT RD [IB] AT SWISS CHALET</t>
  </si>
  <si>
    <t>640acaea-dc3e-4cae-a5f8-37e15cebff45</t>
  </si>
  <si>
    <t>KENCREST AVE AT CIVIC 3782 &lt;SB&gt;</t>
  </si>
  <si>
    <t>495334b5-d00f-44e9-bad5-2c3a1188bcb7</t>
  </si>
  <si>
    <t>KENCREST AVE AT NEWBURY &lt;EB&gt;</t>
  </si>
  <si>
    <t>523d1a7b-06ad-4240-83ad-a626e553cc90</t>
  </si>
  <si>
    <t>KENCREST AVE FS NOVALEA DR</t>
  </si>
  <si>
    <t>b0bc46dd-da53-4244-bcb9-49d7207f3613</t>
  </si>
  <si>
    <t>KENCREST AVE NS GLEBE &lt;SB&gt;</t>
  </si>
  <si>
    <t>cfc835c4-6059-4c54-bea5-cc3e50c415b6</t>
  </si>
  <si>
    <t>LAKE MAJOR RD OPP CIVIC 190</t>
  </si>
  <si>
    <t>ee84a7c9-90c8-455d-a921-558b09b85bda</t>
  </si>
  <si>
    <t>LAKE MAJOR RD OPP CIVIC 301</t>
  </si>
  <si>
    <t>e16fdc44-5f54-4003-9556-013a32c9bf71</t>
  </si>
  <si>
    <t>NORTH PRESTON RD AT SMITH LANE</t>
  </si>
  <si>
    <t>e3cdbac6-5de8-410e-9157-af62ce53c8b5</t>
  </si>
  <si>
    <t>NORTH PRESTON RD AT CIVIC 859</t>
  </si>
  <si>
    <t>f1ee54de-f593-4649-9c7c-00cecd1cb2e2</t>
  </si>
  <si>
    <t>NORTH PRESTON RD AT CIVIC 864</t>
  </si>
  <si>
    <t>89b151b6-e040-4215-b740-78419390bf5d</t>
  </si>
  <si>
    <t>AKERLEY BLVD NS MORRIS DR</t>
  </si>
  <si>
    <t>9e50d9dd-7ebe-4824-85a0-6caaba7d5fcd</t>
  </si>
  <si>
    <t>AKERLEY BLVD NS MOSHER DR</t>
  </si>
  <si>
    <t>93b7e908-8758-4bad-a42d-5f3efdb39e51</t>
  </si>
  <si>
    <t>AKERLEY BLVD NS WINDMILL RD</t>
  </si>
  <si>
    <t>0b432496-e958-4aa5-928a-423d14eebcd3</t>
  </si>
  <si>
    <t>AKERLEY BLVD NS OPP CIVIC 31</t>
  </si>
  <si>
    <t>20531cf2-72be-402a-ab26-432f6118937e</t>
  </si>
  <si>
    <t>AKERLEY BLVD OPP CIVIC 95</t>
  </si>
  <si>
    <t>ddb54723-0637-4870-a26e-50b4565d3f5e</t>
  </si>
  <si>
    <t>LARRY UTECK  BLVD AT ECOLE BEAUBASSIN</t>
  </si>
  <si>
    <t>cf01b23e-f5ba-47dc-94d3-20290449d644</t>
  </si>
  <si>
    <t>LARRY UTECK BLVD OPP ECOLE BEAUBASSIN</t>
  </si>
  <si>
    <t>883b0282-2b80-4d53-b26f-013c8692e6eb</t>
  </si>
  <si>
    <t>LEAMAN DR OPP AMBERCREST PL</t>
  </si>
  <si>
    <t>eaaa9452-e608-40e8-b31b-0428bba70a0a</t>
  </si>
  <si>
    <t>LEAMAN DR NS ALBRO LAKE RD</t>
  </si>
  <si>
    <t>81714a2c-f4e8-430a-91f3-0d93833da3ea</t>
  </si>
  <si>
    <t>LEEDS ST NS NOVALEA DR &lt;EB&gt;</t>
  </si>
  <si>
    <t>91c22286-c13b-43ca-969e-ab57108afd69</t>
  </si>
  <si>
    <t>LEEDS ST NS ROSEMEADE AVE</t>
  </si>
  <si>
    <t>5dcf230a-bdc8-4667-805a-732a8084410b</t>
  </si>
  <si>
    <t>LEEDS ST &lt;WB&gt; NS ROSEMEADE</t>
  </si>
  <si>
    <t>adccb552-ea19-4a39-9228-6526db5f55bc</t>
  </si>
  <si>
    <t>LEIBLIN DR AT CARNATION CR</t>
  </si>
  <si>
    <t>9f1420ab-8139-4b45-9430-595b1aaf393f</t>
  </si>
  <si>
    <t>LEIBLIN DR AT ELMDALE CR</t>
  </si>
  <si>
    <t>91fbe31e-f2a4-453b-ae8d-7188da3e1db5</t>
  </si>
  <si>
    <t>LEIBLIN DR AT GUILDWOOD CR</t>
  </si>
  <si>
    <t>27192b00-a58a-4e64-b41b-b4efaa4a3ce8</t>
  </si>
  <si>
    <t>LEIBLIN DR FS AVON CR</t>
  </si>
  <si>
    <t>bcf71144-4b41-47a6-9d55-9d540f8a3c42</t>
  </si>
  <si>
    <t>LEIBLIN DR NS IVYLEA CR</t>
  </si>
  <si>
    <t>f282dc9f-4a84-40d5-b11f-79b9aec8b996</t>
  </si>
  <si>
    <t>LEIBLIN DR OPP AVON CR</t>
  </si>
  <si>
    <t>dcc9f531-7c92-4192-ac1d-b682b4d269b6</t>
  </si>
  <si>
    <t>LEIBLIN DR OPP CARNATION CR</t>
  </si>
  <si>
    <t>7b38760c-7430-4514-8655-b69cfe1fc225</t>
  </si>
  <si>
    <t>LEIBLIN DR OPP ELMDALE CR</t>
  </si>
  <si>
    <t>f53025f7-709d-4ffa-8545-8ba0c2cdcd6c</t>
  </si>
  <si>
    <t>LEIBLIN DR OPP GUILDWOOD CR</t>
  </si>
  <si>
    <t>49bde5d3-f73f-470b-abf2-f3dc541ba2c1</t>
  </si>
  <si>
    <t>LEIBLIN DR NS 2ND JUNIPER CR</t>
  </si>
  <si>
    <t>cb80d585-4ff5-4f05-9ab6-fd3637785401</t>
  </si>
  <si>
    <t>LE MARCHANT ST FS SOUTH ST</t>
  </si>
  <si>
    <t>7896b690-2257-48d7-9261-b3908380f978</t>
  </si>
  <si>
    <t>LEXINGTON AVE AT WALNUT HALL</t>
  </si>
  <si>
    <t>d6c95059-3256-46bc-85e0-26e65b8055f7</t>
  </si>
  <si>
    <t>AKERLEY BLVD AT CIVIC 35</t>
  </si>
  <si>
    <t>e161103f-c5b0-40b5-bac9-bc4127a9a67d</t>
  </si>
  <si>
    <t>AKERLEY BLVD NS BURNSIDE DR [IB]</t>
  </si>
  <si>
    <t>96e1aaab-7335-473e-ac9f-e3476eb25d8c</t>
  </si>
  <si>
    <t>AKERLEY BLVD NS FIELDING AVE</t>
  </si>
  <si>
    <t>9978e97c-2a00-473b-983d-71a998227ba5</t>
  </si>
  <si>
    <t>AKERLEY BLVD NS ISNOR DR</t>
  </si>
  <si>
    <t>00abd09f-d832-47ca-8655-741771bab5fd</t>
  </si>
  <si>
    <t>AKERLEY BLVD NS JOE ZATZMAN AVE</t>
  </si>
  <si>
    <t>230ab0b2-78d3-438f-99f5-df8ae831ef84</t>
  </si>
  <si>
    <t>SHORE RD NS CIVIC 1992</t>
  </si>
  <si>
    <t>47431d3e-27b2-4ff9-9c2f-d5a6f2268600</t>
  </si>
  <si>
    <t>OATHILL FS CIVIC 35</t>
  </si>
  <si>
    <t>fa3e5b55-4b90-4f76-9e72-1cb0b96cacd0</t>
  </si>
  <si>
    <t>SHORE RD NS HIMMELMAN DR</t>
  </si>
  <si>
    <t>6c071038-affb-4877-80bd-2c6b540f5c35</t>
  </si>
  <si>
    <t>STOKIL DR FS GRENNAN DR</t>
  </si>
  <si>
    <t>16e11478-3047-4121-93f9-70ee527c22b9</t>
  </si>
  <si>
    <t>OATHILL OPP CIVIC 35</t>
  </si>
  <si>
    <t>8500cd19-d9fc-48d0-a0e1-df7183bfc2f2</t>
  </si>
  <si>
    <t>STOKIL DR FS SAMPSON DR</t>
  </si>
  <si>
    <t>5ab0ef79-5cb1-47af-ad5a-1a6bec470be4</t>
  </si>
  <si>
    <t>STOKIL DR OPP GRENNAN DR</t>
  </si>
  <si>
    <t>5332d6df-9e17-415d-809f-2295cfae6bb1</t>
  </si>
  <si>
    <t>2010-03-22T03:00:00.000Z</t>
  </si>
  <si>
    <t>STOKIL DR NS BEAVERBANK</t>
  </si>
  <si>
    <t>359de14e-55d8-4d59-abdd-f1835844184c</t>
  </si>
  <si>
    <t>STOKIL DR NS SMOKEY DR</t>
  </si>
  <si>
    <t>73e51d00-f34d-4bbd-876a-28567488da14</t>
  </si>
  <si>
    <t>OCHTERLONEY ST AT CIVIC 133</t>
  </si>
  <si>
    <t>fe84b5c0-1f3f-4fb7-a8b9-a1b8b8162113</t>
  </si>
  <si>
    <t>OCHTERLONEY ST FS PINE</t>
  </si>
  <si>
    <t>1475d285-41fa-467c-a38e-a340c18b6550</t>
  </si>
  <si>
    <t>OCHTERLONEY ST NS EDWARD</t>
  </si>
  <si>
    <t>8081555b-7456-470b-9ef8-bff7837c7360</t>
  </si>
  <si>
    <t>OCHTERLONEY ST NS KING ST</t>
  </si>
  <si>
    <t>702c178b-14c9-4a61-b8cd-5442cb9b50cc</t>
  </si>
  <si>
    <t>OCHTERLONEY ST NS WENTWORTH ST&lt;WB&gt;</t>
  </si>
  <si>
    <t>00746baf-e812-4134-a8ed-bd106a61521b</t>
  </si>
  <si>
    <t>OLD SAMBRO RD FS SUSSEX [IB]</t>
  </si>
  <si>
    <t>0cd0fb78-7b40-44f4-aa8f-19e3aa959e75</t>
  </si>
  <si>
    <t>OLD SAMBRO RD AT CIVIC 132 [IB]</t>
  </si>
  <si>
    <t>264b62aa-cf9d-4559-b869-9ee3e06171f9</t>
  </si>
  <si>
    <t>OLD SAMBRO RD AT CIVIC 143</t>
  </si>
  <si>
    <t>f13852d4-3055-4327-a9a2-5633e14d205f</t>
  </si>
  <si>
    <t>OLD SAMBRO RD NS SUSSEX</t>
  </si>
  <si>
    <t>a068c236-a96c-4c22-8aee-1470b59ac2f3</t>
  </si>
  <si>
    <t>OLD SAMBRO RD AT CIVIC 11</t>
  </si>
  <si>
    <t>58966ba0-8705-4cff-819b-462f16818bd9</t>
  </si>
  <si>
    <t>OSBORNE ST FS KELLY ST [OB]</t>
  </si>
  <si>
    <t>d298577e-7e09-49bc-bd57-fb69c7a17ac3</t>
  </si>
  <si>
    <t>OSBORNE ST AT SUNSET AVE</t>
  </si>
  <si>
    <t>52339e2f-ae3b-48cc-ac33-fee427629d1f</t>
  </si>
  <si>
    <t>OSBORNE ST AT CIVIC 5 [OB]</t>
  </si>
  <si>
    <t>2ded2720-ed11-45e9-af7b-6b47b613b96e</t>
  </si>
  <si>
    <t>OTAGO DR FS CIVIC 25 &lt;NB&gt;</t>
  </si>
  <si>
    <t>0b29553b-50fd-46f1-8788-35cfc156a409</t>
  </si>
  <si>
    <t>PARKLAND DR FS OPP CIVIC 680</t>
  </si>
  <si>
    <t>0e543b38-1011-43c9-9272-a6f34c4c14e0</t>
  </si>
  <si>
    <t>SHERWOOD ST NS CARLISLE DR</t>
  </si>
  <si>
    <t>ba9d97ea-085c-489a-8381-b8c4c8aeb10c</t>
  </si>
  <si>
    <t>SHERWOOD ST OPP WOODBURY DR</t>
  </si>
  <si>
    <t>927f58bc-85d0-46fb-9361-a7cf36508d4d</t>
  </si>
  <si>
    <t>SHORE RD FS CHATER ST</t>
  </si>
  <si>
    <t>07fb3fed-633c-4d7e-a344-05dc8d3b3f52</t>
  </si>
  <si>
    <t>SHORE RD FS OCEANLEA DR</t>
  </si>
  <si>
    <t>189b1d25-20e9-414e-831e-cce820d6141c</t>
  </si>
  <si>
    <t>SHORE RD FS ROMKEY DR</t>
  </si>
  <si>
    <t>2b04441c-e47f-4439-a9b2-93d8747cbdcd</t>
  </si>
  <si>
    <t>SPRING GARDEN RD EB AT QUEEN ST</t>
  </si>
  <si>
    <t>d6fbd2f0-e4ce-4255-81ab-1b5ed3e147de</t>
  </si>
  <si>
    <t>SPRING GARDEN RD EB AT CARLTON ST</t>
  </si>
  <si>
    <t>94af757b-5a0a-4123-a296-b1cf0f23246e</t>
  </si>
  <si>
    <t>SPRING GARDEN RD WB AT CARLTON ST</t>
  </si>
  <si>
    <t>6d411535-2057-4605-9e0b-9d90c17078e4</t>
  </si>
  <si>
    <t>SPRING GARDEN RD WB AT DRESDEN ROW</t>
  </si>
  <si>
    <t>41404bfe-b4da-450c-97fc-2e3b67045b12</t>
  </si>
  <si>
    <t>SPRING GARDEN RD WB AT QUEEN ST</t>
  </si>
  <si>
    <t>2d99d3d6-1c14-425d-be0f-3241ba86fce2</t>
  </si>
  <si>
    <t>SPRING GARDEN RD WB AT ROBIE ST</t>
  </si>
  <si>
    <t>42fa8bb1-82da-413b-af7f-6e063ac9292a</t>
  </si>
  <si>
    <t>SPRING GARDEN RD EB AT SOUTH PARK ST</t>
  </si>
  <si>
    <t>c8767460-d53d-4e2d-99e8-3ad944d0afb7</t>
  </si>
  <si>
    <t>SPRING GARDEN RD WB AT SOUTH PARK ST</t>
  </si>
  <si>
    <t>d957ec4e-499b-4b1f-b2d9-b71f77e4153a</t>
  </si>
  <si>
    <t>SPRING GARDEN RD WB AT SUMMER ST</t>
  </si>
  <si>
    <t>197ea7e0-3c47-410c-a7ff-e2b743829299</t>
  </si>
  <si>
    <t>SPRING GARDEN RD EB AT DRESDEN ROW</t>
  </si>
  <si>
    <t>f4a55b00-3584-4ece-8eff-21277410a338</t>
  </si>
  <si>
    <t>SPRING GARDEN RD EB AT SUMMER ST</t>
  </si>
  <si>
    <t>038861a3-99eb-4d7c-a63f-f35fce52b4a8</t>
  </si>
  <si>
    <t>SPRING GARDEN RD EB AT BARRINGTON ST</t>
  </si>
  <si>
    <t>5ad5504d-4036-47d6-8395-080d75487db6</t>
  </si>
  <si>
    <t>SPRING AVE NS CIVIC 57A</t>
  </si>
  <si>
    <t>76dbc397-5212-447b-b113-56c4679a18ba</t>
  </si>
  <si>
    <t>SPRINGFIELD ESTATES FS HWY 1</t>
  </si>
  <si>
    <t>a466a491-5b70-448c-b9ce-ccc2d166d4af</t>
  </si>
  <si>
    <t>SPRINGFIELD ESTATES NS HWY 1</t>
  </si>
  <si>
    <t>c62560d3-a111-40e2-8097-861cc88f969e</t>
  </si>
  <si>
    <t>SPRINGFIELD ESTATES TURNING LOOP</t>
  </si>
  <si>
    <t>74349447-76a1-40d0-b753-042dddae1a14</t>
  </si>
  <si>
    <t>SPRINGVALE AVE FS CIVIC 72</t>
  </si>
  <si>
    <t>045f3052-ccd7-4dd4-9ff5-8a099892b4e3</t>
  </si>
  <si>
    <t>SPRINGVALE AVE AT CIVIC 10</t>
  </si>
  <si>
    <t>23b734b6-8c00-490b-8c76-1dbc5e8f092f</t>
  </si>
  <si>
    <t>SPRINGVALE AVE AT CIVIC 11</t>
  </si>
  <si>
    <t>6174b379-6274-4142-af6f-d7a7fa1f3b3f</t>
  </si>
  <si>
    <t>SPRINGVALE AVE AT CIVIC 24</t>
  </si>
  <si>
    <t>b25b8013-e8dd-4dcc-90da-a3aa69b6601b</t>
  </si>
  <si>
    <t>SPRINGVALE AVE AT CIVIC 48</t>
  </si>
  <si>
    <t>849b1b83-8c26-4228-b77e-d998f7f2add9</t>
  </si>
  <si>
    <t>SPRINGVALE AVE NS OPP WINTER</t>
  </si>
  <si>
    <t>ccc90f15-d189-4491-8084-37451c142708</t>
  </si>
  <si>
    <t>ST PAULS OPP CIVIC 104</t>
  </si>
  <si>
    <t>45cfc1cd-dfa0-4ca1-b782-c28c4b6eff54</t>
  </si>
  <si>
    <t>ST PAULS NS VESTRY ST</t>
  </si>
  <si>
    <t>849e625f-c712-496a-80b1-16daeb4e89db</t>
  </si>
  <si>
    <t>STARBOARD DR FS BRIGADIER CT</t>
  </si>
  <si>
    <t>2244c7f8-c8e2-48b3-8f1b-6163f85939fa</t>
  </si>
  <si>
    <t>STARBOARD DR NS LARRY UTECK BLVD</t>
  </si>
  <si>
    <t>fe1c153a-7aab-4473-bdfd-a43a354cd390</t>
  </si>
  <si>
    <t>STOKIL DR FS BEAVERBANK RD</t>
  </si>
  <si>
    <t>996c21cc-2c0f-42df-a1a4-156570d23eb1</t>
  </si>
  <si>
    <t>WAVERLEY RD FS CIVIC 743</t>
  </si>
  <si>
    <t>332b271d-1f71-46ba-84e7-40c004e20bb2</t>
  </si>
  <si>
    <t>2012-11-19T04:00:00.000Z</t>
  </si>
  <si>
    <t>HWY 207 &lt;OP&gt; COUNTRY STORE</t>
  </si>
  <si>
    <t>f2d1d225-455f-4cca-be83-797e97bd822b</t>
  </si>
  <si>
    <t>SEAFORTH BACK RD &lt;OP&gt; CIVIC 220</t>
  </si>
  <si>
    <t>daff0519-4eb1-4d9c-9979-c5123d8dea95</t>
  </si>
  <si>
    <t>WINDSOR ST  NS LONDON ST</t>
  </si>
  <si>
    <t>2bd94594-a0b1-401a-92f8-df9bdf2f2ee4</t>
  </si>
  <si>
    <t>WINDSOR ST  NS MAXWELL ST</t>
  </si>
  <si>
    <t>8cb65c24-6a60-4f6b-af44-4a1bc778e619</t>
  </si>
  <si>
    <t>WINDSOR ST NS NORTH ST</t>
  </si>
  <si>
    <t>54957d02-1b42-4101-b9df-c38d36be97df</t>
  </si>
  <si>
    <t>WINDSOR ST NS STRAWBERRY HILL ST</t>
  </si>
  <si>
    <t>bf8c6ec3-9644-49a7-aab6-81d7468f26e9</t>
  </si>
  <si>
    <t>WINDSOR ST  NS SUMMIT ST</t>
  </si>
  <si>
    <t>37a35df3-82bf-4d4a-8cae-5b503a26ccb9</t>
  </si>
  <si>
    <t>b3514938-3770-4c75-b907-d16cfc5eb05f</t>
  </si>
  <si>
    <t>WINDSOR ST  OPP CONNOLLY ST</t>
  </si>
  <si>
    <t>70097659-1b26-4fc1-a10c-c9c6de311816</t>
  </si>
  <si>
    <t>WINDSOR ST  OPP CORK ST</t>
  </si>
  <si>
    <t>9767c3c3-ac9f-40dd-9e4d-031f286e0439</t>
  </si>
  <si>
    <t>WINDSOR ST  OPP LONDON ST</t>
  </si>
  <si>
    <t>76e1ce99-ab7c-4346-95f1-321c8c757452</t>
  </si>
  <si>
    <t>WINDSOR ST   OPP WILLOW PARK</t>
  </si>
  <si>
    <t>72f5e2c5-634a-485f-9402-f279be36a7f0</t>
  </si>
  <si>
    <t>WINDSOR ST  OPP WINDSOR PARK</t>
  </si>
  <si>
    <t>9ed9f09e-1520-4c99-92c4-acdc1bfc2004</t>
  </si>
  <si>
    <t>WINDWARD AVE FS LEA ST CIVIC 34</t>
  </si>
  <si>
    <t>b59a0861-625c-4504-9ac9-597e0a991907</t>
  </si>
  <si>
    <t>WINDWARD AVE NS LUCIEN DR</t>
  </si>
  <si>
    <t>6ff09c5e-d51d-4a71-9b73-47f709dc5b1c</t>
  </si>
  <si>
    <t>WINTER ST NS PIERS AVE</t>
  </si>
  <si>
    <t>bf9fa726-ae49-4ea1-aabd-1e751565acb1</t>
  </si>
  <si>
    <t>WITHROD DR AT SULLIVANS TERR</t>
  </si>
  <si>
    <t>8db5402a-3209-4dd2-aa45-968b578ad589</t>
  </si>
  <si>
    <t>WITHROD DR AT CIVIC 5</t>
  </si>
  <si>
    <t>8db95902-e76e-4dd9-9b00-852f4a82cfe1</t>
  </si>
  <si>
    <t>WOODLAND AVE  FS CLARK ST</t>
  </si>
  <si>
    <t>e1ba3781-86b3-4acc-8187-bf36bd74b452</t>
  </si>
  <si>
    <t>WOODLAND AVE  FS LAURIER ST</t>
  </si>
  <si>
    <t>2e39281f-12b6-4987-a926-acf951174335</t>
  </si>
  <si>
    <t>WOODLAND AVE  FS OPP LAURIER ST</t>
  </si>
  <si>
    <t>ae8ea37c-eddc-4c47-9aae-5c7ee8a0c723</t>
  </si>
  <si>
    <t>WOODLAND AVE  FS PINE HILL  RD</t>
  </si>
  <si>
    <t>5a79a17f-ad2b-4b3d-ba96-709d80d85b0c</t>
  </si>
  <si>
    <t>WOODLAND AVE  FS SHERIDAN ST</t>
  </si>
  <si>
    <t>e772cfc0-5f8c-4734-904d-d047f86fe5a4</t>
  </si>
  <si>
    <t>WOODLAND AVE  FS SLAYTER ST</t>
  </si>
  <si>
    <t>7e684216-1c02-4956-a2fd-e7bb7815673b</t>
  </si>
  <si>
    <t>WOODLAND AVE  NS FREDERICK ST</t>
  </si>
  <si>
    <t>696d52a3-6bc3-49fa-81c0-d4ae222e96f5</t>
  </si>
  <si>
    <t>WOODLAND AVE  NS SLAYTER ST</t>
  </si>
  <si>
    <t>59c2a491-afee-4682-93d1-8dd10ab96f63</t>
  </si>
  <si>
    <t>WOODLAWN RD FS GUYSBOROUGH AVE</t>
  </si>
  <si>
    <t>fa4bcdda-3bb1-4f48-bd15-053ac7fecfd6</t>
  </si>
  <si>
    <t>WOODLAWN RD FS PORTLAND ST</t>
  </si>
  <si>
    <t>573438b0-7e9b-4ee0-8534-8cf3e6a3169a</t>
  </si>
  <si>
    <t>WAVERLEY RD FS CIVIC 928</t>
  </si>
  <si>
    <t>83a3911d-49cf-443f-b224-6b7538c71f02</t>
  </si>
  <si>
    <t>WAVERLEY RD FS CIVIC 933</t>
  </si>
  <si>
    <t>83952c41-35d0-475e-8909-8c554b7bf082</t>
  </si>
  <si>
    <t>WAVERLEY RD FS LETHBRIDGE AVE</t>
  </si>
  <si>
    <t>7d228252-5b5c-4b73-835b-52117fe8aed4</t>
  </si>
  <si>
    <t>WAVERLEY RD FS LOCKS RD</t>
  </si>
  <si>
    <t>6e104436-131a-4413-b8f1-89d0c89e9f85</t>
  </si>
  <si>
    <t>WAVERLEY RD FS MIC MAC DR</t>
  </si>
  <si>
    <t>89ee6b9b-1183-4263-b8c7-77db3bcd82c8</t>
  </si>
  <si>
    <t>BLUEWATER &lt;FS&gt; SEAWAY DISTRIBUTORS</t>
  </si>
  <si>
    <t>49388625-7634-4c72-b00a-1988d5ac11d1</t>
  </si>
  <si>
    <t>BLUEWATER RD &lt;OP&gt; CIVIC 223</t>
  </si>
  <si>
    <t>e01e7ef3-e6b0-4806-8cd1-9d2fce44d9c2</t>
  </si>
  <si>
    <t>2010-09-03T03:00:00.000Z</t>
  </si>
  <si>
    <t>HOLLIS ST &lt;SB&gt; &lt;AT&gt; CIVIC 1332</t>
  </si>
  <si>
    <t>d2cbcbe9-0bd5-4d1e-b084-218231382ee7</t>
  </si>
  <si>
    <t>HASTUS</t>
  </si>
  <si>
    <t>BLUEWATER RD &lt;AT&gt; CIVIC 112</t>
  </si>
  <si>
    <t>6f47b99c-c949-4e05-bbfd-0d39e3afb2cd</t>
  </si>
  <si>
    <t>2010-11-26T04:00:00.000Z</t>
  </si>
  <si>
    <t>CHEBUCTO RD &lt;OP&gt; SAINT MATTHIAS ST</t>
  </si>
  <si>
    <t>f036e3c3-653f-405c-99ab-ba03118ce611</t>
  </si>
  <si>
    <t>INNOVATION DR &lt;TO BEDFORD&gt;</t>
  </si>
  <si>
    <t>ffd779b1-1ce8-468d-9d10-df85e03ad569</t>
  </si>
  <si>
    <t>INNOVATION DR &lt;TO LACEWOOD&gt;</t>
  </si>
  <si>
    <t>8ae5dfb4-483d-4c1d-aa88-ae7d46b5ad28</t>
  </si>
  <si>
    <t>ILSLEY AVE &lt;OP&gt; CIV 200 &lt;TO BRIDGE TERMINAL&gt;</t>
  </si>
  <si>
    <t>3731892a-fd21-408d-9492-f7651ae8a0d7</t>
  </si>
  <si>
    <t>BLUEWATER RD &lt;AT&gt; CIVIC 217</t>
  </si>
  <si>
    <t>e72ab8b5-2aa2-4fef-83cd-7a2eccfdd8dc</t>
  </si>
  <si>
    <t>DAMASCUS RD &lt;AT&gt; VERDI DR</t>
  </si>
  <si>
    <t>d672baa6-5e38-4e03-a85c-769b8c2e72b7</t>
  </si>
  <si>
    <t>DAMASCUS RD &lt;OP&gt; VERDI DR</t>
  </si>
  <si>
    <t>a70129ce-75de-4ce3-9c83-3f5ff427eb76</t>
  </si>
  <si>
    <t>CHAIN LAKE DR &lt;AT&gt; CIVIC 127</t>
  </si>
  <si>
    <t>ba0ec2e5-5c6c-4eda-be2e-674ffb0def42</t>
  </si>
  <si>
    <t>PARKLAND DR &lt;OP&gt; CASTLEPARK GROVE</t>
  </si>
  <si>
    <t>9005119b-533f-458a-b379-95f7eaab3038</t>
  </si>
  <si>
    <t>YOUNG ST &lt;WB&gt; &lt;NS&gt; ROBIE ST</t>
  </si>
  <si>
    <t>a5e33098-133b-4974-b2f0-1b68373d4e5a</t>
  </si>
  <si>
    <t>ALMA CR &lt;NS&gt; DUTCH VILLAGE RD</t>
  </si>
  <si>
    <t>f4b6e401-1823-42ed-9fb2-353b92a65473</t>
  </si>
  <si>
    <t>MARKET ST &lt;FS&gt; DUKE ST (MetroX)</t>
  </si>
  <si>
    <t>dba387c3-a32d-40d9-84fa-c4d6033f2758</t>
  </si>
  <si>
    <t>2011-08-29T03:00:00.000Z</t>
  </si>
  <si>
    <t>MT HOPE AVE &lt;OP&gt; ERIC SPICER</t>
  </si>
  <si>
    <t>346685c0-3863-46af-a010-432bfe8a9cc7</t>
  </si>
  <si>
    <t>MT HOPE AVE &lt;OP&gt; NEPTUNE</t>
  </si>
  <si>
    <t>51b13947-9dfe-4ebc-bfb1-d2a3ab1eee70</t>
  </si>
  <si>
    <t>MT HOPE AVE &lt;AT&gt; NEPTUNE</t>
  </si>
  <si>
    <t>0f4c92ac-e9c1-4a16-a380-302be5a15ba4</t>
  </si>
  <si>
    <t>ACADIA ST &lt;FS&gt; RAGUS</t>
  </si>
  <si>
    <t>ef82344e-caf0-4342-93cd-98f360e4317d</t>
  </si>
  <si>
    <t>2011-11-21T04:00:00.000Z</t>
  </si>
  <si>
    <t xml:space="preserve">KETCH HARBOUR RD FS HARBOURVIEW </t>
  </si>
  <si>
    <t>890bb49f-d4bb-4a91-aef8-fce2881e4de0</t>
  </si>
  <si>
    <t>WINDMILL RD  NS ELMWOOD AVE</t>
  </si>
  <si>
    <t>926c4b13-7d46-4941-bb6b-da4bcfc52364</t>
  </si>
  <si>
    <t>WINDMILL RD  NS HENRY ST</t>
  </si>
  <si>
    <t>0cdf0992-787a-4ef7-97dc-367b905e4dc1</t>
  </si>
  <si>
    <t>Bus Terminal Accessible</t>
  </si>
  <si>
    <t>WOODSIDE TERMINAL (IB/60)</t>
  </si>
  <si>
    <t>74696873-f965-4084-8914-a7d0b216999d</t>
  </si>
  <si>
    <t>ACADIA ST &lt;NS&gt; PLEASANT ST</t>
  </si>
  <si>
    <t>7296f9d6-fb22-4a53-8d77-fe25888f13ce</t>
  </si>
  <si>
    <t>HAMMONDS PLAINS RD &lt;AT&gt; GARY MARTIN</t>
  </si>
  <si>
    <t>f083ed72-c912-4479-94f8-50596c64873b</t>
  </si>
  <si>
    <t>HAMMONDS PLAINS &lt;OP&gt; GARY MARTIN</t>
  </si>
  <si>
    <t>d955a616-740f-4f30-8b80-ca9342c90089</t>
  </si>
  <si>
    <t>2011-11-14T04:00:00.000Z</t>
  </si>
  <si>
    <t>Larry Uteck &lt;FS&gt; Roundabout</t>
  </si>
  <si>
    <t>b95e99e4-a4b9-4918-a2d9-4c13ed7bc5b2</t>
  </si>
  <si>
    <t>BEAVER BANK RD &lt;FS&gt; KINSAC RD</t>
  </si>
  <si>
    <t>00e8dad5-b372-4ffe-a15f-45bd23e5cd06</t>
  </si>
  <si>
    <t>Larry Uteck &lt;AT&gt; Ecole Secondaire du Sommet</t>
  </si>
  <si>
    <t>7ec460fd-3b4b-4b31-b17f-68c6876c0e14</t>
  </si>
  <si>
    <t>Larry Uteck&lt;FS&gt; SouthGate</t>
  </si>
  <si>
    <t>77180138-5569-4771-b377-ff4b66260bdc</t>
  </si>
  <si>
    <t>HIAA TERMINAL STOP</t>
  </si>
  <si>
    <t>b0703b7c-0c84-42c9-91af-14795c7f28d8</t>
  </si>
  <si>
    <t>No</t>
  </si>
  <si>
    <t>BEAVER BANK RD &lt;AT&gt; SPORTSFIELD</t>
  </si>
  <si>
    <t>3d5f918d-7c1f-4eb8-9803-b2f7335172ca</t>
  </si>
  <si>
    <t>BARNES DR &lt;IB&gt; &lt;FS&gt; RED WING DR</t>
  </si>
  <si>
    <t>f6a5a930-31d1-47a3-806a-4f77f14f8287</t>
  </si>
  <si>
    <t>BARNES DR &lt;IB&gt; &lt;OP&gt; PARK AND FLY</t>
  </si>
  <si>
    <t>f27c53bc-3619-450e-aab2-5c2d1afd9564</t>
  </si>
  <si>
    <t>BEAVER BANK RD &lt;AT&gt; CIVIC 1799</t>
  </si>
  <si>
    <t>4b51f6dc-d4b6-4458-b73b-9cce0a97eb84</t>
  </si>
  <si>
    <t>BARNES DR &lt;IB&gt; &lt;NS&gt; BALDWIN DR</t>
  </si>
  <si>
    <t>4201f714-fec5-4c35-b7be-2b2c7ab794e9</t>
  </si>
  <si>
    <t>BEAVER BANK RD &lt;FS&gt; DAVIS DR</t>
  </si>
  <si>
    <t>6bfc8204-9452-43f8-9615-ae39799cbf95</t>
  </si>
  <si>
    <t>PRATT AND WHITNEY DR &lt;IB&gt; &lt;AT&gt; HOTELS</t>
  </si>
  <si>
    <t>1aae80ed-503e-4a1a-a482-14b8390fe058</t>
  </si>
  <si>
    <t>BEAVER BANK RD &lt;AT&gt; CIVIC 2155</t>
  </si>
  <si>
    <t>27e806f5-0d74-42e7-925b-f5c97f7a1f01</t>
  </si>
  <si>
    <t>FALL RIVER PARK AND RIDE &lt;IB&gt;</t>
  </si>
  <si>
    <t>68cd0487-24e8-4c14-824c-be908a8f3795</t>
  </si>
  <si>
    <t>BEAVER BANK RD &lt;AT&gt; CIVIC 2217</t>
  </si>
  <si>
    <t>674ab509-fbe6-429c-9852-796dba600d6b</t>
  </si>
  <si>
    <t>2012-05-24T03:00:00.000Z</t>
  </si>
  <si>
    <t>Hubley Centre</t>
  </si>
  <si>
    <t>f12b9ff5-b2a3-432d-964c-519861e28523</t>
  </si>
  <si>
    <t>BEAVER BANK RD &lt;AT&gt; ESSO STATION</t>
  </si>
  <si>
    <t>434e76f8-4919-45f4-ba20-b6ec010edd3d</t>
  </si>
  <si>
    <t>2012-08-01T03:00:00.000Z</t>
  </si>
  <si>
    <t>SHELDRAKE LAKE &lt;IB&gt;</t>
  </si>
  <si>
    <t>d1e5b717-aaef-4345-bac9-47bdf1dc6dbd</t>
  </si>
  <si>
    <t>BEAVER BANK RD &lt;AT&gt; CIVIC 2443</t>
  </si>
  <si>
    <t>8efefdd6-48e0-479a-abbb-5ee0acb30c8a</t>
  </si>
  <si>
    <t>SHELDRAKE LAKE &lt;OB&gt;</t>
  </si>
  <si>
    <t>b84df977-f0ae-47b2-a55f-14c069193b50</t>
  </si>
  <si>
    <t>BEAVER BANK RD &lt;FS&gt; GILBY CRES</t>
  </si>
  <si>
    <t>0cf465d8-ca0c-4e1f-8ecb-288ee08650c9</t>
  </si>
  <si>
    <t>SHELDRAKE LAKE PARK &amp; RIDE</t>
  </si>
  <si>
    <t>8bd206a2-8243-44e2-9569-3de9e0d0de12</t>
  </si>
  <si>
    <t>BEAVER BANK RD &lt;AT&gt; CIVIC 2661</t>
  </si>
  <si>
    <t>40ed66bb-4fcb-4a02-b97d-74e4968a50a6</t>
  </si>
  <si>
    <t>2012-10-25T03:00:00.000Z</t>
  </si>
  <si>
    <t>DARTMOUTH TRANSIT TERMINAL BAY 1</t>
  </si>
  <si>
    <t>709dc119-9eb8-412b-81b2-e76c840cadf9</t>
  </si>
  <si>
    <t>BEAVER BANK RD &lt;OP&gt; CIVIC 2846</t>
  </si>
  <si>
    <t>73cffead-7dcc-4443-a699-0e18328597f7</t>
  </si>
  <si>
    <t>DARTMOUTH TRANSIT TERMINAL BAY 2</t>
  </si>
  <si>
    <t>3382e28f-c184-428f-a048-f31223a3504d</t>
  </si>
  <si>
    <t>BEAVER BANK VILLA</t>
  </si>
  <si>
    <t>8170ee0c-4e04-45ca-809a-6e1e9fb8a3f5</t>
  </si>
  <si>
    <t>DARTMOUTH TRANSIT TERMINAL BAY 3</t>
  </si>
  <si>
    <t>05903273-ce94-4c3f-8879-b547e0bc03bf</t>
  </si>
  <si>
    <t>BEAVER BANK RD &lt;AT&gt; CIVIC 2838</t>
  </si>
  <si>
    <t>8e9b3f4a-e747-4a2a-8d3d-17e600a517c7</t>
  </si>
  <si>
    <t>PEHNORN 159 METROLINK [IB]</t>
  </si>
  <si>
    <t>569bfdf3-8053-4c10-9bea-074504b1cd25</t>
  </si>
  <si>
    <t>BEAVER BANK RD &lt;OP&gt; CIVIC 2693</t>
  </si>
  <si>
    <t>98cdbe8e-000c-445d-b52e-286e1667b8db</t>
  </si>
  <si>
    <t>MACDONALD BRIDGE EXIT RAMP</t>
  </si>
  <si>
    <t>7ea4b675-2d33-4454-8662-c6dd8e3817e6</t>
  </si>
  <si>
    <t>BEAVER BANK RD &lt;OP&gt; GILBY CRES</t>
  </si>
  <si>
    <t>3ef74e52-93fa-463b-a84c-f531d4f7bd32</t>
  </si>
  <si>
    <t>COGSWELL ST &lt;EB&gt; FS MARKET ST</t>
  </si>
  <si>
    <t>c9ea4c0d-8ea8-4eb8-8938-df86d11db749</t>
  </si>
  <si>
    <t>BEAVER BANK RD &lt;AT&gt; CIVIC 2438</t>
  </si>
  <si>
    <t>3207acce-1b36-462e-969f-e19b6ce499b5</t>
  </si>
  <si>
    <t>MUMFORD TERMINAL - Outbound  (IN TERMINAL)</t>
  </si>
  <si>
    <t>e638196b-fac5-49ba-975a-af0d9132b997</t>
  </si>
  <si>
    <t>BEAVER BANK RD &lt;OP&gt; ESSO STATION</t>
  </si>
  <si>
    <t>bfceed91-cf1d-49e2-9874-703321391f2a</t>
  </si>
  <si>
    <t>COBEQUID TERMINAL</t>
  </si>
  <si>
    <t>de82019c-e263-44f8-8665-cbbf59f18e8e</t>
  </si>
  <si>
    <t>BEAVER BANK RD &lt;AT&gt; CIVIC 2224</t>
  </si>
  <si>
    <t>611c673e-9904-4afb-9764-84e8cff7156d</t>
  </si>
  <si>
    <t>WOODSIDE FERRY TERMINAL</t>
  </si>
  <si>
    <t>0eda9895-4264-4599-8aef-d3d08196acbe</t>
  </si>
  <si>
    <t>BEAVER BANK RD &lt;AT&gt; CIVIC 2120</t>
  </si>
  <si>
    <t>7ed60d94-d283-41f1-b323-89fc7d7f24e3</t>
  </si>
  <si>
    <t>SEARS - WEST END MALL</t>
  </si>
  <si>
    <t>a5559ece-b0c7-473c-a028-db81daf89a1d</t>
  </si>
  <si>
    <t>BEAVER BANK RD &lt;AT&gt; CIVIC 2072</t>
  </si>
  <si>
    <t>40e837ea-91a4-4570-afdd-9e1e51a56b64</t>
  </si>
  <si>
    <t>1999-11-27T04:00:00.000Z</t>
  </si>
  <si>
    <t>DARTMOUTH EVENTS PLAZA</t>
  </si>
  <si>
    <t>7ceb746b-4f39-46a6-98a6-e7c5ce217d9e</t>
  </si>
  <si>
    <t>BEAVER BANK RD &lt;AT&gt; 1796</t>
  </si>
  <si>
    <t>1111d60f-622e-4225-9cf6-ed624b52bb5a</t>
  </si>
  <si>
    <t>SOUTH CENTRE MALL - DENTITH</t>
  </si>
  <si>
    <t>8a64b909-05fc-4015-a89b-0dff35fc60e0</t>
  </si>
  <si>
    <t>BEAVER BANK RD &lt;AT&gt; CIVIC 1736</t>
  </si>
  <si>
    <t>6885934f-d97c-4647-aa02-688103636c78</t>
  </si>
  <si>
    <t>BAYERS RD SHOPPING CTR</t>
  </si>
  <si>
    <t>b42b77c2-a6b4-4790-92a5-bd787ad7651a</t>
  </si>
  <si>
    <t>BEAVER BANK RD &lt;OP&gt; KINSAC RD</t>
  </si>
  <si>
    <t>9dddd0e4-3bed-4641-87ec-66e5452e06b9</t>
  </si>
  <si>
    <t>CENTENNIAL ARENA</t>
  </si>
  <si>
    <t>99b58230-15a9-45ca-b7eb-1f43b8426f43</t>
  </si>
  <si>
    <t>BEAVER BANK RD &lt;NS&gt; ROSLEY RD</t>
  </si>
  <si>
    <t>a865192c-9579-4d68-b30d-5c59da616102</t>
  </si>
  <si>
    <t>2005-05-29T03:00:00.000Z</t>
  </si>
  <si>
    <t>PORTLAND HILLS TERMINAL</t>
  </si>
  <si>
    <t>8c3879f4-4255-45e6-8fd6-09d0bc5d8369</t>
  </si>
  <si>
    <t>SACKVILLE DR NS PINEHILL DR</t>
  </si>
  <si>
    <t>f29d01d3-b8f0-40fb-bfeb-d8c1680d4433</t>
  </si>
  <si>
    <t>a4b8123d-0f45-48b1-8b34-257c141d7904</t>
  </si>
  <si>
    <t>SACKVILLE DR OPP PINEHILL DR</t>
  </si>
  <si>
    <t>20ba89ea-6c1d-4d0a-b2d9-b4acb9699249</t>
  </si>
  <si>
    <t>2005-11-21T04:00:00.000Z</t>
  </si>
  <si>
    <t>SACKVILLE TRANSIT TERMINAL</t>
  </si>
  <si>
    <t>2f74a4e7-6c7d-49a4-9513-9c94e43bc21d</t>
  </si>
  <si>
    <t>SACKVILLE DR NS RIVERSIDE DR</t>
  </si>
  <si>
    <t>54154cb5-fa5c-4a0f-9f5c-800bcfcf51b4</t>
  </si>
  <si>
    <t>b812ca9e-3870-4f0c-b058-6cfa371ec2f0</t>
  </si>
  <si>
    <t>SEAFORTH BACK RD &lt;OP&gt; CIVIC 78</t>
  </si>
  <si>
    <t>bd835d09-561a-4204-8261-e105f7b162f5</t>
  </si>
  <si>
    <t>SEA KING DR NS LANCASTER DR</t>
  </si>
  <si>
    <t>a34dee44-5cd5-4c31-bc5e-2f7b28793c17</t>
  </si>
  <si>
    <t>SEAFORTH BACK RD &lt;NS&gt; HWY 207</t>
  </si>
  <si>
    <t>72523b4f-1aeb-4c0f-8fe9-c6ab55661b54</t>
  </si>
  <si>
    <t>SEA KING DR OPP CIVIC 8</t>
  </si>
  <si>
    <t>d7786d14-6182-4148-8c64-adf6d32b9328</t>
  </si>
  <si>
    <t>HWY 207 &lt;AT&gt; SEAFORTH HALL</t>
  </si>
  <si>
    <t>89f5a099-b014-4545-b156-fdc855ab4eeb</t>
  </si>
  <si>
    <t>FINNIAN ROW OPP HOME DEPOT</t>
  </si>
  <si>
    <t>2543ec5b-e199-4b02-9402-c10236853b9c</t>
  </si>
  <si>
    <t>HWY 207 &lt;AT&gt; COUNTRY STORE</t>
  </si>
  <si>
    <t>75236bce-f28f-47f1-89ef-39490bc2b4bd</t>
  </si>
  <si>
    <t>LAMONT TERR OPP WALMART</t>
  </si>
  <si>
    <t>1d7e029b-cf2f-49ab-8da2-568f216c4933</t>
  </si>
  <si>
    <t>HWY 207 &lt;OP&gt; CIVIC 6459</t>
  </si>
  <si>
    <t>3d67a05f-1e9a-489a-a121-4523f271da49</t>
  </si>
  <si>
    <t>WINDMILL RD  NS JAMIESON DR</t>
  </si>
  <si>
    <t>2e1a2b22-0168-42e4-be94-8aa14c9f06a8</t>
  </si>
  <si>
    <t>HWY 207 &lt;NS&gt; &lt;OP&gt; BELLEFONTAINE RD</t>
  </si>
  <si>
    <t>6972d711-1286-414d-8224-2150c9247ef1</t>
  </si>
  <si>
    <t>WINDMILL RD  NS NIVENS AVE</t>
  </si>
  <si>
    <t>7ead6753-2169-43f4-a45c-0e68478daf4b</t>
  </si>
  <si>
    <t>HWY 207 &lt;AT&gt; PARISH HALL</t>
  </si>
  <si>
    <t>5da13048-fc03-47f3-8184-ca8aa402b6b8</t>
  </si>
  <si>
    <t>WINDMILL RD  NS PRINCESS MARGARET BLVD</t>
  </si>
  <si>
    <t>033c8271-93af-42e7-a6cf-b3a7fe533d81</t>
  </si>
  <si>
    <t>HWY 207 &lt;OP&gt; CIVIC 7209</t>
  </si>
  <si>
    <t>d87ff478-d9d8-49c4-bfdd-eb0e55d9ebe6</t>
  </si>
  <si>
    <t>WINDMILL RD NS RALSTON AVE</t>
  </si>
  <si>
    <t>4a802573-d7c8-40cd-bf49-246b6f4251a5</t>
  </si>
  <si>
    <t>HWY 207 &lt;OP&gt; LES COLLINS AVE</t>
  </si>
  <si>
    <t>8b106ae7-452e-4f00-a7f5-acfde6a60c79</t>
  </si>
  <si>
    <t>WINDMILL RD NS SUNNYDALE AVE</t>
  </si>
  <si>
    <t>95b2145e-402d-4d8b-a874-eccbcf3ce2ca</t>
  </si>
  <si>
    <t>HWY 207 &lt;NS&gt; SHORE RD</t>
  </si>
  <si>
    <t>9db29a00-8bf2-45d2-83ee-0101693e2ef8</t>
  </si>
  <si>
    <t>WINDMILL RD NS VICTORIA RD</t>
  </si>
  <si>
    <t>90c9352b-85e1-4e44-a3a5-4feafd45c25c</t>
  </si>
  <si>
    <t>LAKEVIEW SHOPPING CENTRE &lt;IB&gt;</t>
  </si>
  <si>
    <t>6e9ddb46-73cb-4253-b3f8-8ea42da93dfc</t>
  </si>
  <si>
    <t>WINDMILL RD NS WALLACE ST</t>
  </si>
  <si>
    <t>8736fe84-3ee7-41c8-b287-7cb82a54d1bc</t>
  </si>
  <si>
    <t>HWY 7 &lt;NS&gt; LORIANN DR</t>
  </si>
  <si>
    <t>8bfe1eb7-12d7-4d49-bf5e-0747e8453cb0</t>
  </si>
  <si>
    <t>WINDMILL RD NS WRIGHT AVE</t>
  </si>
  <si>
    <t>207b1ee8-8b41-4d78-8dd5-eb760bb4706c</t>
  </si>
  <si>
    <t>HWY 7 &lt;FS&gt; COVE RD</t>
  </si>
  <si>
    <t>fcffd82e-86a1-4654-9007-e30ac8e33a6b</t>
  </si>
  <si>
    <t>WINDMILL RD  OPP AKERLEY BLVD</t>
  </si>
  <si>
    <t>df0d8075-647d-418c-916d-48d8a24bad37</t>
  </si>
  <si>
    <t>HWY 7 &lt;AT&gt; CIVIC 4787</t>
  </si>
  <si>
    <t>6aa5354b-fdc7-4b05-8d3d-f1505834b575</t>
  </si>
  <si>
    <t>DARTMOUTH TRANSIT TERMINAL BAY 4</t>
  </si>
  <si>
    <t>fe8d95fa-a9fe-40b5-9a9b-44215f4689b2</t>
  </si>
  <si>
    <t>HWY 7 &lt;FS&gt; LAURIE LANE</t>
  </si>
  <si>
    <t>90283eec-4ff6-4cfd-bb06-e7c2b976577a</t>
  </si>
  <si>
    <t>DARTMOUTH TRANSIT TERMINAL BAY 5</t>
  </si>
  <si>
    <t>11154e6f-e0c9-468d-a8cc-78a5d81e78b7</t>
  </si>
  <si>
    <t>HWY 7 &lt;NS&gt; NARROWS LANE</t>
  </si>
  <si>
    <t>07b87cfe-38dc-4603-9080-6b9a70a4fce4</t>
  </si>
  <si>
    <t>DARTMOUTH TRANSIT TERMINAL BAY 6</t>
  </si>
  <si>
    <t>7a278b34-fa52-4d33-aaee-bceab1226e0c</t>
  </si>
  <si>
    <t>HWY 7 &lt;AT&gt; CIVIC 4396</t>
  </si>
  <si>
    <t>5a788bbc-4db7-405f-84ad-151f03de6de2</t>
  </si>
  <si>
    <t>DARTMOUTH TRANSIT TERMINAL BAY 7</t>
  </si>
  <si>
    <t>edfb5ab6-00ca-4705-856f-cdeb7687f4e8</t>
  </si>
  <si>
    <t>HWY 7 &lt;AT&gt; CIVIC 4295</t>
  </si>
  <si>
    <t>bbfc517d-d4de-4a6d-b814-c0f424eae70d</t>
  </si>
  <si>
    <t>BROOKS RD &lt;AT&gt; CIVIC 253</t>
  </si>
  <si>
    <t>39e4ba0e-c569-4397-9092-f9826f3f4faa</t>
  </si>
  <si>
    <t>HWY 7 &lt;AT&gt; PARKER LANE</t>
  </si>
  <si>
    <t>bf8fc831-8f56-49de-bad2-8657b6c81418</t>
  </si>
  <si>
    <t>WINDMILL RD OPP CIVIC 395</t>
  </si>
  <si>
    <t>a10af2f6-4fee-4249-92c5-2d072caedcd3</t>
  </si>
  <si>
    <t>HWY 7 &lt;AT&gt; CIVIC 3351</t>
  </si>
  <si>
    <t>307f4ae0-edaf-4e1e-b4e9-7e85c0ae330f</t>
  </si>
  <si>
    <t>WINDMILL RD  OPP CIVIC 520</t>
  </si>
  <si>
    <t>833ead3f-7480-4097-b02d-9d1c0e2243cf</t>
  </si>
  <si>
    <t>HWY 7 &lt;AT&gt; CIVIC 3293</t>
  </si>
  <si>
    <t>f25f845f-5050-4f27-b3ab-145572ab8877</t>
  </si>
  <si>
    <t>WINDMILL RD  OPP CIVIC 552</t>
  </si>
  <si>
    <t>8ee53f0d-c67a-414b-9252-6e25f282c499</t>
  </si>
  <si>
    <t>HWY 7 &lt;AT&gt; CIVIC 3165</t>
  </si>
  <si>
    <t>fc975277-1b4d-440a-ae1b-de75c975c3ac</t>
  </si>
  <si>
    <t>DARTMOUTH TRANSIT TERMINAL BAY 8</t>
  </si>
  <si>
    <t>ce0f9063-f040-4349-8e9e-a40f3eaf356d</t>
  </si>
  <si>
    <t>HWY 7 &lt;AT&gt; CIVIC 3103</t>
  </si>
  <si>
    <t>499cf95c-7e7a-41d2-a7ec-4b2ec51fe68d</t>
  </si>
  <si>
    <t>DARTMOUTH TRANSIT TERMINAL BAY 9</t>
  </si>
  <si>
    <t>3090b8a8-f986-4e13-886b-b63d8269e724</t>
  </si>
  <si>
    <t>HWY 7 &lt;AT&gt; FIRE HALL</t>
  </si>
  <si>
    <t>3a512678-909f-410e-b495-20e672e89dc1</t>
  </si>
  <si>
    <t>DARTMOUTH TRANSIT TERMINAL BAY 10</t>
  </si>
  <si>
    <t>d3636d44-edd8-4fb2-8f07-65fb7c8c4e99</t>
  </si>
  <si>
    <t>HWY 7 &lt;AT&gt; CIVIC 2911</t>
  </si>
  <si>
    <t>09c4df54-47a6-4672-86a9-2c496e3af12f</t>
  </si>
  <si>
    <t>DARTMOUTH TRANSIT TERMINAL BAY 11</t>
  </si>
  <si>
    <t>1c1cfdb0-7b2d-4011-bc08-313c70aded2b</t>
  </si>
  <si>
    <t>HWY 7 &lt;FS&gt; BELL ST</t>
  </si>
  <si>
    <t>14649a4c-a502-4d54-b140-6d59779ee489</t>
  </si>
  <si>
    <t>DARTMOUTH TRANSIT TERMINAL BAY 12</t>
  </si>
  <si>
    <t>6c187b27-128e-455c-9c49-2964186e7bb2</t>
  </si>
  <si>
    <t>WOODLAWN RD AT CIVIC 54</t>
  </si>
  <si>
    <t>b77f8895-4352-4903-820b-57f2b9a8ec58</t>
  </si>
  <si>
    <t>DARTMOUTH TRANSIT TERMINAL BAY 13</t>
  </si>
  <si>
    <t>40098146-50af-4cb8-8a52-e160ae90de50</t>
  </si>
  <si>
    <t>ACADIA ST AT RAGUS RD</t>
  </si>
  <si>
    <t>9259c98b-dd50-4019-b31a-d8f71a085929</t>
  </si>
  <si>
    <t>DARTMOUTH TRANSIT TERMINAL BAY 14</t>
  </si>
  <si>
    <t>a2303bb5-454d-488c-82b0-9d12b0fb31f4</t>
  </si>
  <si>
    <t>ACADIA ST OPP PROFESSIONAL CENTRE</t>
  </si>
  <si>
    <t>f786d55a-9829-4961-bcea-a55014bf19b7</t>
  </si>
  <si>
    <t>DARTMOUTH TRANSIT TERMINAL BAY 15</t>
  </si>
  <si>
    <t>361a9464-63e2-4ac4-880b-5bade303eb1e</t>
  </si>
  <si>
    <t>MT HOPE AT ERIC SPICER BLDG</t>
  </si>
  <si>
    <t>e613b095-faca-4b64-9043-d798767c3059</t>
  </si>
  <si>
    <t>Larry Uteck &lt;AT&gt; Civic 324</t>
  </si>
  <si>
    <t>68dd2d3b-4cb2-4282-8c10-799b4086c296</t>
  </si>
  <si>
    <t>MUMFORD RD &lt;SB&gt; &lt;NS&gt; LEPPERT ST</t>
  </si>
  <si>
    <t>35bf211c-f444-4777-81b5-1eb8038ac93c</t>
  </si>
  <si>
    <t>Larry Uteck &lt;NS&gt; Starboard</t>
  </si>
  <si>
    <t>10cf1a1c-3c15-472b-929c-dcba968749d6</t>
  </si>
  <si>
    <t>2012-05-04T03:00:00.000Z</t>
  </si>
  <si>
    <t>MUMFORD RD NS LEPPERT ST &lt;EB&gt;</t>
  </si>
  <si>
    <t>9a3884b7-3107-497f-8592-f2c1334465c4</t>
  </si>
  <si>
    <t>UNIVERSITY AVE &lt;FS&gt; ROBIE ST</t>
  </si>
  <si>
    <t>e5070884-a149-49aa-bf86-a054294adfab</t>
  </si>
  <si>
    <t>MUMFORD RD FS CHEBUCTO RD &lt;NB&gt;</t>
  </si>
  <si>
    <t>ba555bd3-034c-444a-bfee-29143e492dfe</t>
  </si>
  <si>
    <t>MORRIS ST &lt;AT&gt; CIVIC 5234</t>
  </si>
  <si>
    <t>cee5f843-52cf-4cbc-9904-972a682afdb4</t>
  </si>
  <si>
    <t>MUMFORD RD FS CHEBUCTO RD [IB]</t>
  </si>
  <si>
    <t>8335d181-efb2-448c-83f2-f9d2479effcd</t>
  </si>
  <si>
    <t>MORRIS ST &lt;AT&gt; OBRIEN HALL</t>
  </si>
  <si>
    <t>53ce1251-e83d-4f36-b822-f5423b64784e</t>
  </si>
  <si>
    <t>MUMFORD RD FS OLIVET ST &lt;SB&gt;</t>
  </si>
  <si>
    <t>c5d16253-5821-4220-a9ff-4cdfb537aa06</t>
  </si>
  <si>
    <t>LARRY UTECK BLVD &lt;FS&gt; STARBOARD</t>
  </si>
  <si>
    <t>71f13984-b3cb-4502-8415-715617662b6d</t>
  </si>
  <si>
    <t>MUMFORD RD FS OPP HELMOCK ST</t>
  </si>
  <si>
    <t>a30df348-b951-48ba-9e96-ab96c5e3d856</t>
  </si>
  <si>
    <t>Larry Uteck &lt;AT&gt; Civic 361 (THE GARDENS)</t>
  </si>
  <si>
    <t>6dd54276-96d8-4add-8b46-e1c9ae78a471</t>
  </si>
  <si>
    <t>MUMFORD RD NS ASHBURN</t>
  </si>
  <si>
    <t>e63f015f-efdd-45b9-9fb3-1bf934f8268f</t>
  </si>
  <si>
    <t>Larry Uteck &lt;NS&gt; Southgate</t>
  </si>
  <si>
    <t>a42e5012-f7fe-4d15-9734-a2a41a63de04</t>
  </si>
  <si>
    <t>MUMFORD RD NS RALSTON</t>
  </si>
  <si>
    <t>7e9fc98b-a55c-48f5-ad4e-a96f783cccf6</t>
  </si>
  <si>
    <t>Larry Uteck &lt;OP&gt; Ecole Secondaire du Sommet</t>
  </si>
  <si>
    <t>46f1ed94-e903-4187-b0ea-b3f1618f8590</t>
  </si>
  <si>
    <t>MUMFORD RD OPP ST AGNES SCHOOL (RT 20 DOWNTOWN)</t>
  </si>
  <si>
    <t>a9475e88-0eee-44df-9b29-411dbedcfae2</t>
  </si>
  <si>
    <t>Larry Uteck &lt;NS&gt; Roundabout</t>
  </si>
  <si>
    <t>b9870840-f5c4-4740-b0a7-3cf8b9185a58</t>
  </si>
  <si>
    <t>MUMFORD RD OPP ST AGNES SCHOOL</t>
  </si>
  <si>
    <t>c9bc9e0d-e427-433b-af88-86e0d5560be1</t>
  </si>
  <si>
    <t xml:space="preserve">KETCH HARBOUR RD @ VILLAGE </t>
  </si>
  <si>
    <t>fdf52099-fbe5-4827-a87a-2935f65dcbd9</t>
  </si>
  <si>
    <t>MUMFORD TERMINAL - Downtown (IN TERMINAL)</t>
  </si>
  <si>
    <t>3a946753-77ec-48fc-9b93-7b0737c840a2</t>
  </si>
  <si>
    <t xml:space="preserve">KETCH HARBOUR RD @ 139 ( @ MAILBOXES) </t>
  </si>
  <si>
    <t>fbe6b660-423e-46a5-8b85-2294c55b3439</t>
  </si>
  <si>
    <t>MUMFORD TERMINAL - Downtown (ON MUMFORD RD)</t>
  </si>
  <si>
    <t>3c364a8e-413d-4639-a11b-1c02b770c8fe</t>
  </si>
  <si>
    <t xml:space="preserve">KETCH HARBOUR RD  FS OP ASHLEY </t>
  </si>
  <si>
    <t>b2fb4e6f-5c00-400e-b2e4-ee5db7f5b2a9</t>
  </si>
  <si>
    <t>NAPPAN FS CIVIC 59</t>
  </si>
  <si>
    <t>97862042-a9d0-4270-bc12-04ae138dcfbd</t>
  </si>
  <si>
    <t xml:space="preserve">KETCH HARBOUR RD OPP NS KITTIWAKE </t>
  </si>
  <si>
    <t>da440c77-e0e7-4fa0-bff5-864dedf86e51</t>
  </si>
  <si>
    <t>NAPPAN FS NICTAUX</t>
  </si>
  <si>
    <t>226743ff-f93b-4d82-b2d0-69d3066ae580</t>
  </si>
  <si>
    <t xml:space="preserve">KETCH HARBOUR RD OP KESTREL </t>
  </si>
  <si>
    <t>a252eea1-42c1-4159-a451-e206b98611c5</t>
  </si>
  <si>
    <t>NAPPAN NS NEWCOMBE DR</t>
  </si>
  <si>
    <t>f897af05-061e-4d32-84c9-40345b4f953e</t>
  </si>
  <si>
    <t xml:space="preserve">KETCH HARBOUR RD OP 438 </t>
  </si>
  <si>
    <t>33a52e90-d31f-41d8-a440-7f50aed1c019</t>
  </si>
  <si>
    <t>NAPPAN NS NICTAUX</t>
  </si>
  <si>
    <t>aaef42f4-ce71-4e4a-a37e-2583e22870f6</t>
  </si>
  <si>
    <t>KETCH HARBOUR RD FS BULLFROG  (OP CIVIC 488)</t>
  </si>
  <si>
    <t>5f5c566c-8841-4841-a2cc-42e5b7bc8c39</t>
  </si>
  <si>
    <t>NICTAUX FS METROPOLITAN</t>
  </si>
  <si>
    <t>5860aa5b-70a2-4bee-970f-c536038f8d6f</t>
  </si>
  <si>
    <t>WOODSIDE FERRY METROLINK (165)</t>
  </si>
  <si>
    <t>07c64dfd-58b1-4831-80ef-8ac71745a3a5</t>
  </si>
  <si>
    <t>NICTAUX NS METROPOLITAN</t>
  </si>
  <si>
    <t>09701b96-746d-4614-82f5-23031b33da6f</t>
  </si>
  <si>
    <t>YOUNG ST &lt;EB&gt; NS ISLEVILLE ST</t>
  </si>
  <si>
    <t>1ce13f06-aa07-42e1-9a3c-ccae27eee324</t>
  </si>
  <si>
    <t>SACKVILLE DR OPP TWIN BROOKS</t>
  </si>
  <si>
    <t>a0214082-5b98-4c0d-82e0-4bf6ab69b205</t>
  </si>
  <si>
    <t>YOUNG ST &lt;WB&gt; NS MONAGHAN</t>
  </si>
  <si>
    <t>123fcde0-1248-4d4e-8cf7-bac6b27834b0</t>
  </si>
  <si>
    <t>SACKVILLE DR AT TWIN BROOKS</t>
  </si>
  <si>
    <t>a2b70dec-4016-4696-bd14-920eefe20e09</t>
  </si>
  <si>
    <t>YOUNG ST &lt;WB&gt; NS WINDSOR ST</t>
  </si>
  <si>
    <t>b3d72053-26d1-4555-8cc1-b2105d35baef</t>
  </si>
  <si>
    <t>SACKVILLE DR AT SUPERSTORE</t>
  </si>
  <si>
    <t>a98e97e4-719a-4a15-aa9d-2484a8578f31</t>
  </si>
  <si>
    <t xml:space="preserve">KETCH HARBOUR RD @ 665 </t>
  </si>
  <si>
    <t>98d3e0f2-f0bb-46df-a37b-d067f1466650</t>
  </si>
  <si>
    <t>e282e79d-a474-4a7b-ae80-da396a1e212e</t>
  </si>
  <si>
    <t xml:space="preserve">KETCH HARBOUR RD FS CAMPERDOWN </t>
  </si>
  <si>
    <t>e7288712-ab9c-4d9e-9875-b44ecd83b789</t>
  </si>
  <si>
    <t>SACKVILLE DR FS HILLCREST</t>
  </si>
  <si>
    <t>feeddfd1-2f0d-4cec-ba72-464317e8b7e3</t>
  </si>
  <si>
    <t xml:space="preserve">KETCH HARBOUR RD  @ 737 </t>
  </si>
  <si>
    <t>276b54bc-d3dd-4b78-b541-b93115dddb60</t>
  </si>
  <si>
    <t>SACKVILLE DR FS IRENE AVE</t>
  </si>
  <si>
    <t>97c04c7b-ff22-4487-9433-cb83e7b88b8d</t>
  </si>
  <si>
    <t>WRIGHT AVE FS BURLEY CT</t>
  </si>
  <si>
    <t>5f6bb220-0ae6-48a2-862e-dbd8bb566a16</t>
  </si>
  <si>
    <t>HWY 7 &lt;FS&gt; CIVIC 2505</t>
  </si>
  <si>
    <t>ce278abe-a6fd-4ef1-94b9-6686e2b9b26e</t>
  </si>
  <si>
    <t>WRIGHT AVE FS WINDMILL RD</t>
  </si>
  <si>
    <t>d16eaf11-831f-4697-9c29-c43164604033</t>
  </si>
  <si>
    <t>HWY 7 &lt;NS&gt; CIVIC 2365</t>
  </si>
  <si>
    <t>25ba144f-ab3f-4d3a-a588-9c7a259d7dff</t>
  </si>
  <si>
    <t>WRIGHT AVE NS FIELDING AVE</t>
  </si>
  <si>
    <t>46bbe325-0833-4eb2-90d3-58e46774f4e4</t>
  </si>
  <si>
    <t>UPPER PARTRIDGE RIVER RD &lt;OP&gt; CIVIC 102</t>
  </si>
  <si>
    <t>552963d7-447a-46de-a02a-4bf2fd4d1bbc</t>
  </si>
  <si>
    <t>WRIGHT AVE OPP MCCURDY AVE</t>
  </si>
  <si>
    <t>0de7fa94-98d3-4271-a6a2-aa44eab4bf53</t>
  </si>
  <si>
    <t>BROOKS RD &lt;OP&gt; CIVIC 377</t>
  </si>
  <si>
    <t>45e1760d-5937-472e-84d8-0811d521f677</t>
  </si>
  <si>
    <t>WYSE RD FS BOLAND RD</t>
  </si>
  <si>
    <t>91717eae-f144-4477-9d8a-a5c3af82c06d</t>
  </si>
  <si>
    <t>BROOKS RD &lt;OP&gt; CIVIC 253</t>
  </si>
  <si>
    <t>d0b529b4-6615-4240-997f-58fee3372adc</t>
  </si>
  <si>
    <t>WYSE RD FS DAWSON ST</t>
  </si>
  <si>
    <t>febcad40-cef5-4229-94ce-4150166175e4</t>
  </si>
  <si>
    <t>BROOKS RD &lt;AT&gt; EAST PRESTON REC CENTRE</t>
  </si>
  <si>
    <t>8151983e-3a60-4315-b705-5f60937094c3</t>
  </si>
  <si>
    <t>WYSE RD AT CIVIC 254</t>
  </si>
  <si>
    <t>80a59a9b-5e93-4d6e-887e-b7acedf14ee3</t>
  </si>
  <si>
    <t>HWY 7 &lt;FS&gt; UPPER GOVERNOR ST</t>
  </si>
  <si>
    <t>3c34f801-8b0a-47ec-9472-f8a75ba8b8a5</t>
  </si>
  <si>
    <t>WYSE RD NS BOLAND RD</t>
  </si>
  <si>
    <t>cc1904a5-5f93-4a02-812a-2ffa41ae5916</t>
  </si>
  <si>
    <t>HWY 7 &lt;AT&gt; CIVIC 1799</t>
  </si>
  <si>
    <t>a7452b84-5ae6-4bb1-96d2-18b4fd5c2fb7</t>
  </si>
  <si>
    <t>WYSE RD NS JAMIESON ST</t>
  </si>
  <si>
    <t>66585d49-2d59-423c-ab14-155c78c5019a</t>
  </si>
  <si>
    <t>ROSS RD &lt;FS&gt; &lt;IB&gt; HWY 7</t>
  </si>
  <si>
    <t>d0b9ec19-4d23-4c0c-a383-2a89e5402d3e</t>
  </si>
  <si>
    <t>WYSE RD AT CIVIC 200</t>
  </si>
  <si>
    <t>bbb50198-74a6-4596-8d10-7c7a47beb78b</t>
  </si>
  <si>
    <t>ROSS RD &lt;AT&gt; CIVIC 27</t>
  </si>
  <si>
    <t>0e894143-f1f8-4d6b-9dfe-35a37fc907e4</t>
  </si>
  <si>
    <t>WYSE RD NS ALBRO LAKE RD</t>
  </si>
  <si>
    <t>18568787-0335-4c38-8d85-d08cf3a4b81c</t>
  </si>
  <si>
    <t>ROSS RD &lt;NS&gt; CIVIC 163</t>
  </si>
  <si>
    <t>a17950f0-4ea9-405e-9682-567b0b1972d1</t>
  </si>
  <si>
    <t>WYSE RD NS ELMWOOD AVE</t>
  </si>
  <si>
    <t>3e50328e-944d-4af3-9417-2995800d3c94</t>
  </si>
  <si>
    <t>ROSS RD &lt;AT&gt; CIVIC 277</t>
  </si>
  <si>
    <t>f49e8e4b-3fe0-46f7-b8f8-09d6b0f6f3c7</t>
  </si>
  <si>
    <t>WYSE RD OPP BOLAND RD</t>
  </si>
  <si>
    <t>74a78ffc-910d-404c-9e49-46d5236c1120</t>
  </si>
  <si>
    <t>ROSS RD &lt;AT&gt; CIVIC 371</t>
  </si>
  <si>
    <t>6e1ad32b-361b-4db6-9905-9f6ba989c29c</t>
  </si>
  <si>
    <t>WYSE RD OPP CHAPPEL  ST</t>
  </si>
  <si>
    <t>1a227e84-f96d-4a07-9f47-4116cd6a9474</t>
  </si>
  <si>
    <t>ROSS RD &lt;AT&gt; CIVIC 437</t>
  </si>
  <si>
    <t>2de2d467-fd9c-4ba7-b26d-9376e5749102</t>
  </si>
  <si>
    <t>WYSE RD OPP THISTLE ST</t>
  </si>
  <si>
    <t>f5829dfb-a58a-4d76-8e7a-bc82ed0c383c</t>
  </si>
  <si>
    <t>COLE HARBOUR RD &lt;IB&gt; &lt;AT&gt; OLD LAWRENCETOWN RD</t>
  </si>
  <si>
    <t>84c1e347-96b7-4719-9bda-8d68419e759b</t>
  </si>
  <si>
    <t>WYSE RD SPORTSPLEX METROLINK [OB]</t>
  </si>
  <si>
    <t>2ba209b3-764c-4d6e-b44c-f99684e9f972</t>
  </si>
  <si>
    <t>COLE HARBOUR RD &lt;IB&gt; &lt;NS&gt; &lt;OP&gt; BISSETT RD</t>
  </si>
  <si>
    <t>dd98b0f3-2f78-4c1d-be92-a0a77f380756</t>
  </si>
  <si>
    <t>WYSE RD SPORTSPLEX METROLINK [IB]</t>
  </si>
  <si>
    <t>6ff0db0a-aa62-47ac-9545-51db444d1a34</t>
  </si>
  <si>
    <t>BEAVER BANK RD &lt;FS&gt; GLENDALE DR</t>
  </si>
  <si>
    <t>c273f7ab-b01b-40ca-8106-ae6440c7171f</t>
  </si>
  <si>
    <t>YORK REDOUBT TURNING LOOP</t>
  </si>
  <si>
    <t>77fe0074-1ffd-462f-b731-1c94a9c43cfc</t>
  </si>
  <si>
    <t>BEAVER BANK RD &lt;FS&gt; STOKIL DR</t>
  </si>
  <si>
    <t>e159d9f6-c5dc-42ad-bb8d-db2c0ebc755a</t>
  </si>
  <si>
    <t>YOUNG ST &lt;WB&gt;FS GOTTINGEN ST</t>
  </si>
  <si>
    <t>028269a6-7e59-4ad4-bec4-f1d6da0dd1aa</t>
  </si>
  <si>
    <t>BEAVER BANK RD &lt;AT&gt; CIVIC 273</t>
  </si>
  <si>
    <t>2c68c986-846c-4dd4-a483-a8f927457f09</t>
  </si>
  <si>
    <t>YOUNG ST &lt;WB&gt; AT SUPERSTORE</t>
  </si>
  <si>
    <t>137a5a94-7b9c-46c7-a6fc-d7490179b3f9</t>
  </si>
  <si>
    <t>BEAVER BANK RD &lt;AT&gt; CIVIC 311</t>
  </si>
  <si>
    <t>91d94555-4492-45fc-adde-053f40abb82d</t>
  </si>
  <si>
    <t>YOUNG ST &lt;EB&gt; NS AGRICOLA ST</t>
  </si>
  <si>
    <t>302dd53f-edbe-47ad-938b-599bf8f55bec</t>
  </si>
  <si>
    <t>BEAVER BANK RD &lt;AT&gt; CIVIC 345</t>
  </si>
  <si>
    <t>4de26802-41a2-46ad-b1fd-01f887580e76</t>
  </si>
  <si>
    <t>YOUNG ST &lt;WB&gt; NS AGRICOLA ST</t>
  </si>
  <si>
    <t>4f98b409-74c7-49c6-9d18-1938aa417b35</t>
  </si>
  <si>
    <t>BEAVER BANK RD &lt;NS&gt; MAJESTIC AVE</t>
  </si>
  <si>
    <t>ae500c79-b11e-495a-a46a-c7bedd3487fd</t>
  </si>
  <si>
    <t xml:space="preserve">KETCH HARBOUR RD NS PORTOVISTA </t>
  </si>
  <si>
    <t>2faae25f-ddda-4943-8025-b3e4bea1b5f6</t>
  </si>
  <si>
    <t>BEAVER BANK RD &lt;AT&gt; CIVIC 619</t>
  </si>
  <si>
    <t>1f8142f9-e821-4a65-8bd9-00d614030436</t>
  </si>
  <si>
    <t xml:space="preserve">KETCH HARBOUR RD RD @ DUNCANS COVE SIGN </t>
  </si>
  <si>
    <t>67d6c5cb-a25a-4267-b342-74be5e4e1cf4</t>
  </si>
  <si>
    <t>BEAVER BANK RD &lt;AT&gt; CIVIC 743</t>
  </si>
  <si>
    <t>6938818c-7211-4928-8fc8-26f8a75f1f81</t>
  </si>
  <si>
    <t>HIGHWAY 207 @  1ST BACK RD</t>
  </si>
  <si>
    <t>718874af-c398-4083-93d6-b44d47d2c46c</t>
  </si>
  <si>
    <t>BEAVER BANK RD &lt;AT&gt; CIVIC 849</t>
  </si>
  <si>
    <t>047c246c-ad9d-4de5-be88-155b21c6ec52</t>
  </si>
  <si>
    <t>HIGHWAY 207 @  2ND BACK RD</t>
  </si>
  <si>
    <t>583a6f25-5eaa-4042-bef4-097c5b99f6cf</t>
  </si>
  <si>
    <t>BEAVER BANK RD &lt;AT&gt; CIVIC 911</t>
  </si>
  <si>
    <t>12f0fcd6-dc8b-4070-b9b6-5839a54de392</t>
  </si>
  <si>
    <t>COMMODORE DR &lt;FS&gt; LAMONT TERR</t>
  </si>
  <si>
    <t>0ae19ce0-15ab-4f76-a7e6-d24e87435c2f</t>
  </si>
  <si>
    <t>BEAVER BANK RD &lt;AT&gt; CIVIC 1071</t>
  </si>
  <si>
    <t>630469c3-4846-4a94-ab31-c7677414305e</t>
  </si>
  <si>
    <t>FALL RIVER PARK AND RIDE &lt;OB&gt;</t>
  </si>
  <si>
    <t>5c87f03c-f94b-48b6-80e0-95393c78b754</t>
  </si>
  <si>
    <t>SACKVILLE DR FS JUBILEE LN</t>
  </si>
  <si>
    <t>79b52d7b-7a61-4a8d-b489-e3d65a93815d</t>
  </si>
  <si>
    <t>PRATT AND WHITNEY &lt;OB&gt; &lt;AT&gt; HOTELS</t>
  </si>
  <si>
    <t>6f3fc121-6588-4823-977d-86261edfad4e</t>
  </si>
  <si>
    <t>SACKVILLE DR FS LEASIDE CIVIC 506</t>
  </si>
  <si>
    <t>15270c2d-8047-459f-beb9-70373d98aa36</t>
  </si>
  <si>
    <t>BARNES DR &lt;OB&gt; &lt;FS&gt; BALDWIN DR</t>
  </si>
  <si>
    <t>1b36bc75-bcec-46f6-a7ea-24025756031a</t>
  </si>
  <si>
    <t>SACKVILLE DR FS LUCASVILLE RD</t>
  </si>
  <si>
    <t>b222b94e-8961-419c-9f8d-c2106633533d</t>
  </si>
  <si>
    <t>BARNES DR &lt;OB&gt; &lt;OP&gt; PARK AND FLY</t>
  </si>
  <si>
    <t>26fe4d02-d8ed-4db9-a510-bfe8cc3fa79e</t>
  </si>
  <si>
    <t>SACKVILLE DR FS MILLWOOD DR</t>
  </si>
  <si>
    <t>fd5a2b61-14ee-4b9b-bded-ff147795e767</t>
  </si>
  <si>
    <t>BARNES DR &lt;OB&gt; &lt;NS&gt; RED WING DR</t>
  </si>
  <si>
    <t>321da2ad-1825-4699-b040-509e388868c5</t>
  </si>
  <si>
    <t>SACKVILLE DR FS OLD SACKVILLE RD</t>
  </si>
  <si>
    <t>f5df3450-addc-4fd4-ab1e-c1cea72bed13</t>
  </si>
  <si>
    <t>BARNES DR &lt;NS&gt; CYGNET DR</t>
  </si>
  <si>
    <t>e6666ec2-f649-432e-9306-423977be9a3a</t>
  </si>
  <si>
    <t>SACKVILLE DR FS OPP HILLCREST AVE</t>
  </si>
  <si>
    <t>2102f2da-c35f-4d2b-85cb-cffb997ae779</t>
  </si>
  <si>
    <t>OLD SAMBRO RD @  CIVIC 1946</t>
  </si>
  <si>
    <t>d478d2d8-a5a7-4e2b-b0b2-449af2caf413</t>
  </si>
  <si>
    <t>SACKVILLE DR FS OPP OAKDALE DR</t>
  </si>
  <si>
    <t>32bcff75-0583-41be-a5ad-788ee3039d19</t>
  </si>
  <si>
    <t>OLD SAMBRO RD @ FRASER RD</t>
  </si>
  <si>
    <t>bc2099a9-d603-4815-88f8-9f2365f1e311</t>
  </si>
  <si>
    <t>SACKVILLE DR FS SACKVILLE CROSS RD</t>
  </si>
  <si>
    <t>e21447ad-6909-4188-80ba-8afb7b13ba8e</t>
  </si>
  <si>
    <t>OLD SAMBRO RD @ FANCYVIEW DR</t>
  </si>
  <si>
    <t>b902a3ce-75bd-4f9d-b00f-573204e8c41e</t>
  </si>
  <si>
    <t>SACKVILLE DR FS SHARON DR</t>
  </si>
  <si>
    <t>9d1f49f1-34db-4e20-92e2-de2f48c61270</t>
  </si>
  <si>
    <t>OLD SAMBRO RD @ GOSPEL LIGHT CHURCH</t>
  </si>
  <si>
    <t>914f1854-273c-4bb5-9d0b-1fd4f38391f3</t>
  </si>
  <si>
    <t>SACKVILLE DR FS STANLEY ST</t>
  </si>
  <si>
    <t>cc05d820-6c9a-4c31-8078-07e3ed5528d7</t>
  </si>
  <si>
    <t>OLD SAMBRO RD @ VENUS DR</t>
  </si>
  <si>
    <t>82fc1b79-a4a7-4e36-8cae-beed0f3c4dd9</t>
  </si>
  <si>
    <t>SACKVILLE DR FS OPP HAMILTON DR</t>
  </si>
  <si>
    <t>473c977c-4c67-4c79-b45d-e4188982629e</t>
  </si>
  <si>
    <t>OLD SAMBRO RD OPPOSITE HARRIET LANE</t>
  </si>
  <si>
    <t>7732c882-5be2-4416-9c03-be15c4b4dedc</t>
  </si>
  <si>
    <t>SACKVILLE DR AT CIVIC 614</t>
  </si>
  <si>
    <t>ac745132-8469-482f-9984-d70337c9c96c</t>
  </si>
  <si>
    <t>OLD SAMBRO RD @ CIVIC 1060</t>
  </si>
  <si>
    <t>cdc9311d-549a-4a83-b8f8-8ebee802bf34</t>
  </si>
  <si>
    <t>SACKVILLE DR AT KINGSWAY COURT</t>
  </si>
  <si>
    <t>4f422b81-0f26-4a46-9195-76846d849efc</t>
  </si>
  <si>
    <t>OLD SAMBRO RD @ CIVIC 1000</t>
  </si>
  <si>
    <t>3d84af0a-c84d-43d7-877f-b3ee1397a37b</t>
  </si>
  <si>
    <t>SACKVILLE DR AT KNOX CHURCH</t>
  </si>
  <si>
    <t>06f1636e-dbda-492b-9a8b-4574911ad04e</t>
  </si>
  <si>
    <t>OLD SAMBRO RD @ WEAVERS LAKE DR.</t>
  </si>
  <si>
    <t>f56d26d7-ab69-4529-8030-aa45877ce329</t>
  </si>
  <si>
    <t>SACKVILLE DR AT MAINWAY AUTO</t>
  </si>
  <si>
    <t>80dc7ff9-a0ef-4f3c-826f-5944a51267f2</t>
  </si>
  <si>
    <t>OLD SAMBRO RD @ DUGGAN LANE</t>
  </si>
  <si>
    <t>d70a66f4-7bb5-4fba-bd3f-13b6942028c8</t>
  </si>
  <si>
    <t>SACKVILLE DR NS ARMOYAN DR</t>
  </si>
  <si>
    <t>ff5b8cd5-82d1-4fdd-a52f-4fa56d0e9b46</t>
  </si>
  <si>
    <t>OLD SAMBRO RD @ CIVIC 702</t>
  </si>
  <si>
    <t>167e5cb0-c29b-41f6-be2f-bf9b82c83a73</t>
  </si>
  <si>
    <t>SACKVILLE DR NS BEAVERBANK CROSS RD</t>
  </si>
  <si>
    <t>39c2dee0-96a0-4d57-9a4d-9cf181ed1dfb</t>
  </si>
  <si>
    <t>OLD SAMBRO RD @ LEIBLEN DR</t>
  </si>
  <si>
    <t>a8b9cef3-237d-4932-a6f0-bdfc583f9af4</t>
  </si>
  <si>
    <t>SACKVILLE DR NS BEAVERBANK RD</t>
  </si>
  <si>
    <t>5a859aa7-67be-4e46-8adc-27c98b965bb6</t>
  </si>
  <si>
    <t>QUARRY RD &lt;FS&gt; ST MARGARETS BAY RD</t>
  </si>
  <si>
    <t>30e4c6e4-1cf1-4bec-8fc3-00d2233bec1e</t>
  </si>
  <si>
    <t>SACKVILLE DR NS CIVIC 1658</t>
  </si>
  <si>
    <t>79ac2156-3319-43cf-9145-f30d4034573f</t>
  </si>
  <si>
    <t>STONEHAVEN RD &lt;AT&gt; CIVIC 36</t>
  </si>
  <si>
    <t>3b096f23-2bef-42aa-9985-92debcb4b837</t>
  </si>
  <si>
    <t>SACKVILLE DR NS HAMILTON DR</t>
  </si>
  <si>
    <t>06469fba-32aa-4d24-a6e6-81656be1107b</t>
  </si>
  <si>
    <t>ALTON &lt;AT&gt; CIVIC 26</t>
  </si>
  <si>
    <t>b9e62562-2e2e-42be-9402-e2ff06298073</t>
  </si>
  <si>
    <t>SACKVILLE DR OPP IRENE AVE</t>
  </si>
  <si>
    <t>25e533f1-ebc3-4081-af41-444f89fe0855</t>
  </si>
  <si>
    <t>KELLY DR &lt;AT&gt; CIVIC 36</t>
  </si>
  <si>
    <t>755f52ef-a95f-443d-8551-c70dba586899</t>
  </si>
  <si>
    <t>SACKVILLE DR NS LIVELY RD</t>
  </si>
  <si>
    <t>e5585e2c-9d1d-46e8-bca4-4632af90c492</t>
  </si>
  <si>
    <t>WALTER HAVILL DR &lt;AT&gt; CIVIC 21</t>
  </si>
  <si>
    <t>05075769-62d4-447a-96ad-332afc3be4e6</t>
  </si>
  <si>
    <t>SACKVILLE DR NS LUCASVILLE RD</t>
  </si>
  <si>
    <t>68e21ad1-7b54-40e8-9ade-e6706bbe126b</t>
  </si>
  <si>
    <t>WALTER HAVILL DR &lt;AT&gt; CIVIC 39</t>
  </si>
  <si>
    <t>5e2e6061-8198-4e7e-94d4-fb34fbd04c52</t>
  </si>
  <si>
    <t>SACKVILLE DR NS MELHAM DR</t>
  </si>
  <si>
    <t>d7b2fb48-efc0-42fc-8ea8-82655f5f0606</t>
  </si>
  <si>
    <t>WALTER HAVILL DR &lt;AT&gt; CIVIC 81</t>
  </si>
  <si>
    <t>031db1ea-8b03-4964-9884-31587be668d2</t>
  </si>
  <si>
    <t>SACKVILLE DR NS MILLWOOD DR</t>
  </si>
  <si>
    <t>5a7367a8-d55e-4474-b0e4-2bc81ed9b1ef</t>
  </si>
  <si>
    <t>WALTER HAVILL DR &lt;AT&gt; CIVIC 137</t>
  </si>
  <si>
    <t>f06e63bc-4360-494f-9bfd-923dde145430</t>
  </si>
  <si>
    <t>SACKVILLE DR NS OAKDALE DR</t>
  </si>
  <si>
    <t>e4937bf1-f109-4825-bcb0-7d9b21f22847</t>
  </si>
  <si>
    <t>WALTER HAVILL DR &lt;OP&gt; CIVIC 81</t>
  </si>
  <si>
    <t>fc40ff50-4b02-4c9f-bd5b-ec0eb235e0d3</t>
  </si>
  <si>
    <t>SACKVILLE DR NS OLD SACKVILLE RD</t>
  </si>
  <si>
    <t>266030d8-fca0-4fb6-a0cd-ffbb60b9277e</t>
  </si>
  <si>
    <t>WALTER HAVILL DR &lt;OP&gt; CIVIC 49</t>
  </si>
  <si>
    <t>d749aa19-e715-4b57-a1be-ac9385349ba9</t>
  </si>
  <si>
    <t>SACKVILLE DR NS OPP LEASIDE DR</t>
  </si>
  <si>
    <t>3dd35026-36ba-46f5-95e1-1e598c0e6701</t>
  </si>
  <si>
    <t>WALTER HAVILL DR &lt;AT&gt; CIVIC 12</t>
  </si>
  <si>
    <t>85fb8d2e-e1ae-4a83-a86e-1e5eca23f09a</t>
  </si>
  <si>
    <t>SACKVILLE DR NS ORCHARD DR</t>
  </si>
  <si>
    <t>b3d0625a-b786-46f2-87b9-12f5638523a2</t>
  </si>
  <si>
    <t>KELLY DR &lt;NS&gt; HELEF CRT</t>
  </si>
  <si>
    <t>a7052169-248f-4a08-b8b6-4d43386c8bbc</t>
  </si>
  <si>
    <t>BEAVER BANK RD &lt;AT&gt; CIVIC 1163</t>
  </si>
  <si>
    <t>3f48cb8d-82c3-4d21-a847-681166b0cbcc</t>
  </si>
  <si>
    <t>ALTON DR &lt;AT&gt; GLADES LODGE</t>
  </si>
  <si>
    <t>2315ec75-9af6-4881-bff0-3ea8cb09e907</t>
  </si>
  <si>
    <t>BEAVER BANK RD &lt;AT&gt; PINEHURST WAY</t>
  </si>
  <si>
    <t>3acc7d38-66c6-47b6-ade4-df2aa2e60a0d</t>
  </si>
  <si>
    <t>PORTLAND HILLS DR &lt;NS&gt; LELAND</t>
  </si>
  <si>
    <t>f5e61ba8-6de8-4035-a0df-ae6270bb7ab3</t>
  </si>
  <si>
    <t>BEAVER BANK RD &lt;AT&gt; CIVIC 1459</t>
  </si>
  <si>
    <t>3c1c5af4-ab42-4ca7-8830-576f7e0cffe5</t>
  </si>
  <si>
    <t>PORTLAND HILLS DR &lt;NS&gt; SUMMERFIELD</t>
  </si>
  <si>
    <t>87c4b426-5668-46d8-979f-396d530efdd5</t>
  </si>
  <si>
    <t>COLBY DR NS GRENADIER DR</t>
  </si>
  <si>
    <t>c6ac3868-1ab3-46f7-b7ae-8c89b582fce9</t>
  </si>
  <si>
    <t>PORTLAND HILLS DR &lt;NS&gt; CIVIC 460</t>
  </si>
  <si>
    <t>0a3bb69c-7001-482a-a8db-2ed29d892e98</t>
  </si>
  <si>
    <t>COLE HARBOUR RD FS CALDWELL RD</t>
  </si>
  <si>
    <t>367d7354-95a4-4455-b4c5-36e5e825dcd7</t>
  </si>
  <si>
    <t>PORTLAND HILLS DR &lt;AT&gt; CIVIC 366</t>
  </si>
  <si>
    <t>14408412-7d11-4f29-8738-e08a6a21e71d</t>
  </si>
  <si>
    <t>COLE HARBOUR RD FS CIVIC 1106</t>
  </si>
  <si>
    <t>9f2bddd2-dbf5-465d-92a7-03d4eb76a679</t>
  </si>
  <si>
    <t>PORTLAND HILLS DR &lt;FS&gt; CIVIC 276</t>
  </si>
  <si>
    <t>5ceb9199-90c0-42ad-884c-f3e68265d5ca</t>
  </si>
  <si>
    <t>COLE HARBOUR RD FS CIVIC 942</t>
  </si>
  <si>
    <t>3ffd45fd-c6b9-4e46-aa4f-74c9966e4102</t>
  </si>
  <si>
    <t>PORTLAND HILLS DR &lt;NS&gt; CIVIC 146</t>
  </si>
  <si>
    <t>ba5d5b87-d161-42b7-990b-7b6f51bc9545</t>
  </si>
  <si>
    <t>COLE HARBOUR RD FS CUMBERLAND DR</t>
  </si>
  <si>
    <t>fb0f5c48-47c6-45ca-a37d-91dde6ac816c</t>
  </si>
  <si>
    <t>PORTLAND HILLS DR &lt;AT&gt; CIVIC 8</t>
  </si>
  <si>
    <t>be74c71d-5e3e-4151-a6a7-8a0d16c214e3</t>
  </si>
  <si>
    <t>COLE HARBOUR RD FS OTAGO DR</t>
  </si>
  <si>
    <t>94ade154-1b20-4f71-a624-5ac701786a89</t>
  </si>
  <si>
    <t>BAKER DR &lt;OP&gt; CIVIC 59</t>
  </si>
  <si>
    <t>445e0c4a-4144-4241-bc79-3c1246ddae03</t>
  </si>
  <si>
    <t>COLE HARBOUR RD AT CIVIC 959</t>
  </si>
  <si>
    <t>743400dd-b5a1-4d20-beb4-ec09e610210b</t>
  </si>
  <si>
    <t>BAKER DR &lt;AT&gt; CIVIC 76</t>
  </si>
  <si>
    <t>f3ca55cb-4b1f-4708-a95d-eb1742fc459e</t>
  </si>
  <si>
    <t>COLE HARBOUR RD AT SOBEYS</t>
  </si>
  <si>
    <t>eaee1b78-d84f-48a1-a92d-2aa6d6046b2d</t>
  </si>
  <si>
    <t>BAKER DR &lt;OP&gt; CIVIC 105</t>
  </si>
  <si>
    <t>72dee39e-512b-46c0-b35f-7ed642e0a4a6</t>
  </si>
  <si>
    <t>COLE HARBOUR RD NS DOROTHEA DR</t>
  </si>
  <si>
    <t>b71b85d4-aa1d-4257-b8a4-d414a47350d2</t>
  </si>
  <si>
    <t>BAKER DR &lt;FS&gt; CIVIC 144</t>
  </si>
  <si>
    <t>191c4ac1-ef94-4648-9227-c47e39e79ff4</t>
  </si>
  <si>
    <t>COLE HARBOUR RD OPP CIVIC 983</t>
  </si>
  <si>
    <t>19a32598-cd19-4979-94a8-374404e2379a</t>
  </si>
  <si>
    <t>BAKER DR &lt;AT&gt; KENT</t>
  </si>
  <si>
    <t>2e5eb83d-d8a3-409d-8c3d-810fc167bdb5</t>
  </si>
  <si>
    <t>COLFORD AVE NS AKERLEY BLVD</t>
  </si>
  <si>
    <t>d570cbbe-21ce-45f5-bc71-315118634cc9</t>
  </si>
  <si>
    <t>BAKER DR &lt;FS&gt; BASSWOOD</t>
  </si>
  <si>
    <t>f27b2f5e-bcfd-472c-816e-130ff94c650d</t>
  </si>
  <si>
    <t>COLONNA PLACE NS MONTEBELLO DR</t>
  </si>
  <si>
    <t>7257a6d5-511e-48d2-b5af-8f1832c45837</t>
  </si>
  <si>
    <t>BAKER DR &lt;NS&gt; BASSWOOD</t>
  </si>
  <si>
    <t>05a3decf-4d7d-482c-ad6f-5529926906e1</t>
  </si>
  <si>
    <t>FIRST LAKE DR NS SACKVILLE LEISURE CTR</t>
  </si>
  <si>
    <t>f12f2221-476b-4c43-8641-ea42fac20f51</t>
  </si>
  <si>
    <t>BAKER DR &lt;OP&gt; KENT</t>
  </si>
  <si>
    <t>596cb68d-0fee-4af6-82d7-2486240f94ff</t>
  </si>
  <si>
    <t>FIRST LAKE DR OPP CIVIC 200</t>
  </si>
  <si>
    <t>0661a892-0cb9-4adc-9489-e1bd1fba9e32</t>
  </si>
  <si>
    <t>BAKER DR &lt;FS&gt; LINDENWOOD</t>
  </si>
  <si>
    <t>fdd71eab-b18d-411e-a1ea-fc76ff10f8ec</t>
  </si>
  <si>
    <t>FIRST LAKE DR OPP SACKVILLE LEISURE CTR</t>
  </si>
  <si>
    <t>cf09258a-a56b-4255-ae6f-8976a968cb6a</t>
  </si>
  <si>
    <t>BAKER DR &lt;AT&gt; CIVIC 105</t>
  </si>
  <si>
    <t>d5c6733a-cc66-4089-a583-37fbb37e3d31</t>
  </si>
  <si>
    <t>FIRST LAKE CENTRE &lt;IB&gt;</t>
  </si>
  <si>
    <t>96f9e03b-8196-4fb0-acf4-95e219e15ae6</t>
  </si>
  <si>
    <t>BAKER DR &lt;FS&gt; COLDSTREAM</t>
  </si>
  <si>
    <t>96de1f9c-0b58-4ebc-9e13-4cd9567e611b</t>
  </si>
  <si>
    <t>FIRST LAKE CENTRE &lt;OB&gt;</t>
  </si>
  <si>
    <t>2f9ab38f-011d-456c-8764-25470a74eaeb</t>
  </si>
  <si>
    <t>BAKER DR &lt;AT&gt; CIVIC 35</t>
  </si>
  <si>
    <t>6c4f7c18-471f-4e15-a30d-e49a5b15c5f7</t>
  </si>
  <si>
    <t>FLAMINGO DR FS BEDFORD HWY &lt;WB&gt;</t>
  </si>
  <si>
    <t>b28970cd-5153-4b64-8835-2881fafc6855</t>
  </si>
  <si>
    <t>PORTLAND HILLS DR &lt;AT&gt; CIVIC 159</t>
  </si>
  <si>
    <t>ce66412b-7f9f-4f40-8553-a0ff22a6d691</t>
  </si>
  <si>
    <t>FLAMINGO DR FS NIGHTINGALE DR</t>
  </si>
  <si>
    <t>aa88a711-4a23-4aef-ae62-d634e7a3f18c</t>
  </si>
  <si>
    <t>PORTLAND HILLS DR &lt;NS&gt; CIVIC 257</t>
  </si>
  <si>
    <t>a8772b0f-0117-4a23-b4ad-d6cb2bc68f6d</t>
  </si>
  <si>
    <t>FLAMINGO DR FS OPP NIGHTINGALE DR</t>
  </si>
  <si>
    <t>61ac952d-818b-43c7-90c0-612970e31fc3</t>
  </si>
  <si>
    <t>PORTLAND HILLS DR &lt;AT&gt; CIVIC 367</t>
  </si>
  <si>
    <t>69aa2dd5-f1f8-498a-8aaa-28aef9ffbb89</t>
  </si>
  <si>
    <t>FLAMINGO DR NS BEDFORD HWY</t>
  </si>
  <si>
    <t>36e986c2-72a2-4331-b209-0cd5c2885b34</t>
  </si>
  <si>
    <t>PORTLAND HILLS DR &lt;AT&gt; REGAL LUXURY</t>
  </si>
  <si>
    <t>59d1dc3f-f62c-4fe7-8c21-cbd24ecd357c</t>
  </si>
  <si>
    <t>FLAMINGO DR NS DOVE ST</t>
  </si>
  <si>
    <t>0efd3f3f-1e9c-48d9-8188-6fc3f04992b1</t>
  </si>
  <si>
    <t>PORTLAND HILLS DR &lt;AT&gt; CIVIC 537</t>
  </si>
  <si>
    <t>2a077153-60b8-4b5f-a2e1-3aa11b7a733f</t>
  </si>
  <si>
    <t>FLAMINGO DR NS MEADOWLARK CR</t>
  </si>
  <si>
    <t>2a9593ab-8f55-4ddb-adff-a28fa9b4c539</t>
  </si>
  <si>
    <t>PORTLAND HILLS DR &lt;AT&gt; CIVIC 621</t>
  </si>
  <si>
    <t>28c85ece-c6b4-4f34-9baf-1c1f270657b4</t>
  </si>
  <si>
    <t>FLAMINGO DR NS STARLING ST</t>
  </si>
  <si>
    <t>2e5fe59b-db19-46fa-9697-a5049971409b</t>
  </si>
  <si>
    <t>COMMODORE &lt;FS&gt; COUNTRY VIEW DR</t>
  </si>
  <si>
    <t>8c159bf3-f04e-4f15-8ca3-05d2661dd9b5</t>
  </si>
  <si>
    <t>FLAMINGO DR NS SKYLARK ST</t>
  </si>
  <si>
    <t>66ad2d3d-3151-4f3e-82e5-59ad14785bb1</t>
  </si>
  <si>
    <t>FINDLAY DR &lt;FS&gt; MCCLURE CLOSE</t>
  </si>
  <si>
    <t>b68d56a7-c98c-4ed6-b315-279364399fa1</t>
  </si>
  <si>
    <t>FLAMINGO DR OPP DOVE ST</t>
  </si>
  <si>
    <t>6ca1a5d5-7837-4978-a571-6e35d2a4e630</t>
  </si>
  <si>
    <t>FINDLAY DR &lt;FS&gt; SHUBIE DR</t>
  </si>
  <si>
    <t>ff49ce25-a9b6-4776-ad6a-046237fba052</t>
  </si>
  <si>
    <t>FLAMINGO DR OPP FS MEADOWLARK DR</t>
  </si>
  <si>
    <t>6907cc8b-cd2d-4b17-aab9-ecfba63d5f79</t>
  </si>
  <si>
    <t>LOWER WATER ST &lt;NB&gt; &lt;AT&gt; 1475</t>
  </si>
  <si>
    <t>e5b07928-6895-42c3-92a4-652a7e4624be</t>
  </si>
  <si>
    <t>FLYING CLOUD DR AT CIVIC 39</t>
  </si>
  <si>
    <t>5bebd5be-6f65-4fae-a877-01a56d39df11</t>
  </si>
  <si>
    <t>LOWER WATER ST &lt;NB&gt; &lt;AT&gt; CIVIC 1601</t>
  </si>
  <si>
    <t>5cda996e-c044-4969-a1b7-7efe69d20278</t>
  </si>
  <si>
    <t>FLYING CLOUD DR AT CIVIC 157</t>
  </si>
  <si>
    <t>df9e8f10-5dc3-4f28-85e1-5a7ce91d8a4d</t>
  </si>
  <si>
    <t>HOLLIS ST &lt;SB&gt; &lt;NS&gt; PRINCE</t>
  </si>
  <si>
    <t>408b554a-b728-4df6-9105-b91364c47bd4</t>
  </si>
  <si>
    <t>FLYING CLOUD DR NS CIVIC 265</t>
  </si>
  <si>
    <t>8ea16a7b-c565-4f2a-89af-c0dd788e350c</t>
  </si>
  <si>
    <t>HOLLIS ST &lt;SB&gt; &lt;FS&gt; SACKVILLE ST</t>
  </si>
  <si>
    <t>21103403-c380-4762-b0ee-14126e937c53</t>
  </si>
  <si>
    <t>FLYING CLOUD DR NS FHP</t>
  </si>
  <si>
    <t>e47fe1f9-3d3c-4ddd-a848-925d71695a3c</t>
  </si>
  <si>
    <t>HOLLIS ST &lt;SB&gt; &lt;FS&gt; PARKADE ENTRANCE</t>
  </si>
  <si>
    <t>951da5a5-db02-4dc1-a380-3546195a12c3</t>
  </si>
  <si>
    <t>FLYING CLOUD DR FS PAXTON DR</t>
  </si>
  <si>
    <t>c705f96e-4f82-4df1-a588-246b24f3b322</t>
  </si>
  <si>
    <t>WILLET ST FS CHADWICK PL</t>
  </si>
  <si>
    <t>3c616792-d920-4106-bede-a85bc9db0fca</t>
  </si>
  <si>
    <t>FOREST GLEN DR FS CIVIC 2</t>
  </si>
  <si>
    <t>ec9e2e84-6689-4d7e-89ad-88729eec6909</t>
  </si>
  <si>
    <t>WILLET ST FS CHELSEA LANE</t>
  </si>
  <si>
    <t>515a3aa9-40b0-48d4-bf3b-5f213c217f3b</t>
  </si>
  <si>
    <t>FOREST GLEN DR FS CIVIC 50</t>
  </si>
  <si>
    <t>a2c1a591-3a10-4503-8d2e-e8d99a606bdc</t>
  </si>
  <si>
    <t>ARKLOW DR FS JOHN STEWART DR</t>
  </si>
  <si>
    <t>0128d4bc-3177-4a25-acfc-81c8b2a3b30b</t>
  </si>
  <si>
    <t>FOREST GLEN DR FS MEADOWDALE CT</t>
  </si>
  <si>
    <t>69e33e0d-7cce-4f59-8473-4e29eb759702</t>
  </si>
  <si>
    <t>ARKLOW DR FS LANARKSHIRE CRT</t>
  </si>
  <si>
    <t>6fd79411-e2f3-4417-ad40-57481a8d3609</t>
  </si>
  <si>
    <t>FOREST GLEN DR AT CIVIC 69</t>
  </si>
  <si>
    <t>bf0e04f4-2784-4a24-a9ff-30554346d75f</t>
  </si>
  <si>
    <t>ARKLOW DR AT CIVIC 177</t>
  </si>
  <si>
    <t>c362b8f4-57ab-4552-9d4f-2e5d7dd53db7</t>
  </si>
  <si>
    <t>FOREST GLEN DR NS MEADOWDALE CT</t>
  </si>
  <si>
    <t>c188bbe6-292f-4c62-9ea3-6cf3a96ba946</t>
  </si>
  <si>
    <t>ARKLOW DR AT CIVIC 293</t>
  </si>
  <si>
    <t>67da7b93-dd95-4b01-a47c-eb3527adaa22</t>
  </si>
  <si>
    <t>ARKLOW DR AT CIVIC 371</t>
  </si>
  <si>
    <t>811cc4a1-d9d7-433e-af25-1ebd427fba8e</t>
  </si>
  <si>
    <t>FRANKLYN ST FS CIVIC 35</t>
  </si>
  <si>
    <t>dbf2fdc5-732e-456e-a460-2a2aa09550d9</t>
  </si>
  <si>
    <t>ARKLOW DR AT CIVIC 354</t>
  </si>
  <si>
    <t>a4d8b7a3-5fba-4f14-bf3d-89ba3e1330f2</t>
  </si>
  <si>
    <t>ARKLOW DR NS CIVIC 253</t>
  </si>
  <si>
    <t>0582e891-f657-4f66-bcb9-5a44d13ffdf2</t>
  </si>
  <si>
    <t>FRANKLYN ST AT CIVIC 5</t>
  </si>
  <si>
    <t>5458c466-4f72-4ab6-8aae-3dd75b12e900</t>
  </si>
  <si>
    <t>ARKLOW DR NS CIVIC 467</t>
  </si>
  <si>
    <t>54920e4b-f796-49af-9934-7a9123afd8e1</t>
  </si>
  <si>
    <t>FRASER RD OPP CIVIC 12</t>
  </si>
  <si>
    <t>e9021ec3-25eb-4cec-bf8b-ad29199cba4c</t>
  </si>
  <si>
    <t>ARKLOW DR NS CIVIC 238</t>
  </si>
  <si>
    <t>fb6342ec-68ca-414c-8668-ae8a64559d61</t>
  </si>
  <si>
    <t>GASTON RD FS MACRAE AVE</t>
  </si>
  <si>
    <t>b29e288d-40c6-4591-a8ef-243a50707b66</t>
  </si>
  <si>
    <t>ARKLOW DR NS JOHN STEWART DR</t>
  </si>
  <si>
    <t>5b616c5f-c04a-4e8e-bebc-74b370303863</t>
  </si>
  <si>
    <t>BROOKFIELD AVE AT WILLOWDALE DR</t>
  </si>
  <si>
    <t>867c05a3-6e0a-4cce-a6dd-f4a8bbb77cbc</t>
  </si>
  <si>
    <t>BROWNLOW AVE AT CIVIC 202 {TO SACKVILLE}</t>
  </si>
  <si>
    <t>ca1a23b0-a136-461a-a890-fdd3ae2bc99e</t>
  </si>
  <si>
    <t>ARKLOW DR OPP CIVIC 181</t>
  </si>
  <si>
    <t>2c859cd7-e71e-461c-979f-7e9b01fdbbc7</t>
  </si>
  <si>
    <t>BROWNLOW AVE AT CIVIC 202</t>
  </si>
  <si>
    <t>3e98fd60-56cc-4c4c-b17d-c057da4f6419</t>
  </si>
  <si>
    <t>ASHGROVE AVE AT ANCASTER CRT</t>
  </si>
  <si>
    <t>a4dfd219-ef69-4519-9391-cc9db77a598f</t>
  </si>
  <si>
    <t>ASHGROVE AVE FS AVONDALE RD</t>
  </si>
  <si>
    <t>15bfa62f-fc4d-494c-83e8-714bfbe1091b</t>
  </si>
  <si>
    <t>BROWNLOW AVE AT CIVIC 250</t>
  </si>
  <si>
    <t>7f321b53-4b0d-4344-85c7-3de0f0fb3fd3</t>
  </si>
  <si>
    <t>ASHGROVE AVE FS COLE HARBOUR RD</t>
  </si>
  <si>
    <t>84fec5b7-c650-4489-af8c-65b27a5ed586</t>
  </si>
  <si>
    <t>BROWNLOW AVE FS CIVIC 260 {TO SACKVILLE}</t>
  </si>
  <si>
    <t>d5514fdf-92b6-4349-8071-fdd8fa2e41d8</t>
  </si>
  <si>
    <t>ASHGROVE AVE NS ADDISON</t>
  </si>
  <si>
    <t>56acc0ab-47e2-453f-b432-75e970ef9703</t>
  </si>
  <si>
    <t>BROWNLOW AVE AT CIVIC 260</t>
  </si>
  <si>
    <t>44f4df7b-da4a-4100-ba0b-01fdf50a9950</t>
  </si>
  <si>
    <t>ASTRAL DR [IB] FS WILLOWDALE DR</t>
  </si>
  <si>
    <t>4ebd1319-2712-4613-9d32-d0facd09773e</t>
  </si>
  <si>
    <t>BROWNLOW AVE AT CIVIC 236</t>
  </si>
  <si>
    <t>27cc456f-be42-4f15-bc5f-14f38ac2a6a8</t>
  </si>
  <si>
    <t>ASTRAL DR [OB] FS CIVIC 257</t>
  </si>
  <si>
    <t>f937f79a-a386-4fce-bc2d-8e6413787e7a</t>
  </si>
  <si>
    <t>BROWNLOW AVE AT CIVIC 236 {TO SACKVILLE}</t>
  </si>
  <si>
    <t>f3f37a4d-6051-4308-b4f5-f95668656e25</t>
  </si>
  <si>
    <t>ASTRAL DR [OB] AT CIVIC 117</t>
  </si>
  <si>
    <t>a96695c8-5028-4ed5-8faa-772c35d570a1</t>
  </si>
  <si>
    <t>BROWNLOW AVE NS CIVIC 250 {TO SACKVILLE}</t>
  </si>
  <si>
    <t>823902d8-4c0b-4668-924a-06484773ef37</t>
  </si>
  <si>
    <t>ASTRAL DR FS BROOKFIELD AVE</t>
  </si>
  <si>
    <t>72b7b0e3-c5ab-4292-8965-364312355189</t>
  </si>
  <si>
    <t>CAIN ST AT CHURCHILL TERR</t>
  </si>
  <si>
    <t>6309a2fa-d484-49a5-abfe-06397c8bb983</t>
  </si>
  <si>
    <t>ASTRAL DR NS BROOKIFIELD AVE</t>
  </si>
  <si>
    <t>640a5f48-f547-47b8-a71c-dd5f4621b58e</t>
  </si>
  <si>
    <t>CALDWELL RD FS CHERRYWOOD DR</t>
  </si>
  <si>
    <t>7f02c36c-0fbf-436d-bd0b-91028233d5a1</t>
  </si>
  <si>
    <t>ASTRAL DR NS CARISBROOKE LANE</t>
  </si>
  <si>
    <t>1fa8046e-3c39-4662-b808-6a4d872eca3c</t>
  </si>
  <si>
    <t>CALDWELL RD FS COW BAY RD</t>
  </si>
  <si>
    <t>7e533f64-13da-44c2-bca4-3e5c8f9d2ec4</t>
  </si>
  <si>
    <t>ASTRAL DR NS CIVIC 37</t>
  </si>
  <si>
    <t>ad00e4ef-8ec8-40ba-afbc-4542df62e8af</t>
  </si>
  <si>
    <t>CALDWELL RD FS HIMMELMAN DR</t>
  </si>
  <si>
    <t>fccdf924-2ce8-4abe-908c-63e9e7f57b0a</t>
  </si>
  <si>
    <t>ASTRAL DR NS GRENADIER DR</t>
  </si>
  <si>
    <t>dc708bdb-13e2-494f-8f3d-f46d1bcedd4c</t>
  </si>
  <si>
    <t>CALDWELL RD FS PORTLAND ST</t>
  </si>
  <si>
    <t>b07f5742-7c5d-4b77-9d15-1f1dc624c38d</t>
  </si>
  <si>
    <t>ASTRAL DR NS SHREWSBURY RD</t>
  </si>
  <si>
    <t>476cbbf8-f649-4233-ba9f-5fa876d3213e</t>
  </si>
  <si>
    <t>CALDWELL RD FS SHERWOOD ST</t>
  </si>
  <si>
    <t>888a56f9-279d-4c19-9480-c8d24cb8a588</t>
  </si>
  <si>
    <t>ASTRAL DR NS SPENCE DR</t>
  </si>
  <si>
    <t>47345325-98cb-439a-9444-8aa04a0e6792</t>
  </si>
  <si>
    <t>CALDWELL RD FS THORNCREST CT</t>
  </si>
  <si>
    <t>1cb1ff07-e108-46f4-a7c8-5275c36e4a4b</t>
  </si>
  <si>
    <t>ASTRAL DR OPP SPENCE DR</t>
  </si>
  <si>
    <t>79329eb5-3cb8-4fd5-bd8e-c5d61a0cd99e</t>
  </si>
  <si>
    <t>CALDWELL RD FS WEXFORD RD</t>
  </si>
  <si>
    <t>26cc60df-c52c-47c5-a9be-3dcc4e1e0bec</t>
  </si>
  <si>
    <t>SACKVILLE DR NS ROCK CHURCH</t>
  </si>
  <si>
    <t>0f4744f1-2027-4b76-ab31-222bcca8aed7</t>
  </si>
  <si>
    <t>ATHOLEA DR NS CALDWELL RD</t>
  </si>
  <si>
    <t>d0d1b146-6ee8-4d83-ba1a-b0b14de3c520</t>
  </si>
  <si>
    <t>SACKVILLE DR NS SKYRIDGE</t>
  </si>
  <si>
    <t>cc00d979-891d-4fa8-b97e-0ffca41277c4</t>
  </si>
  <si>
    <t>ATLANTIC ST FS PLEASANT ST (OB/60)</t>
  </si>
  <si>
    <t>bd11f3be-14a3-44f0-b8d4-4a788cd20a2c</t>
  </si>
  <si>
    <t>PORTLAND ST NS OPP CANAL &lt;WB&gt;</t>
  </si>
  <si>
    <t>58db2f7f-31d5-49e5-aeae-4900612d80ea</t>
  </si>
  <si>
    <t>PORTLAND ST NS JAMES &lt;WB&gt;</t>
  </si>
  <si>
    <t>b479629c-c508-4fd5-b920-5dcc6c593b68</t>
  </si>
  <si>
    <t>PORTLAND ST NS LAKEFRONT &lt;EB&gt;</t>
  </si>
  <si>
    <t>260d72bb-832a-4164-8972-5139d2a70f13</t>
  </si>
  <si>
    <t>SACKVILLE DR NS STANLEY</t>
  </si>
  <si>
    <t>c973e10c-0f7d-412a-9b39-dc9f73edb2d0</t>
  </si>
  <si>
    <t>PORTLAND ST NS ST.GEORGE LN &lt;EB&gt;</t>
  </si>
  <si>
    <t>86e931e8-c4de-4506-8ba9-a5c1d1dde3c4</t>
  </si>
  <si>
    <t>SACKVILLE DR AT TWELVE MILE HOUSE LN</t>
  </si>
  <si>
    <t>d764e5fb-e80d-43bc-9704-75fac34bf64d</t>
  </si>
  <si>
    <t>PORTLAND ST OPP CIVIC 350 &lt;EB&gt;</t>
  </si>
  <si>
    <t>d744a177-711b-48ae-9fce-a498c9d60789</t>
  </si>
  <si>
    <t>ef32c5ca-1800-4914-a2e8-314db87ea49a</t>
  </si>
  <si>
    <t>PORT.EST.BLVD.WEST AT MAILBOX</t>
  </si>
  <si>
    <t>d394e455-c483-4571-8934-10f268404c18</t>
  </si>
  <si>
    <t>SACKVILLE DR OPP CIVIC 1815</t>
  </si>
  <si>
    <t>088cead0-2a1e-42e1-aa9e-e197cfc64337</t>
  </si>
  <si>
    <t>PRIMROSE ST AT CIVIC 11 &lt;WB&gt;</t>
  </si>
  <si>
    <t>870582ef-09ea-41a7-8dfb-59b4776ed2d0</t>
  </si>
  <si>
    <t>SACKVILLE DR OPP MELHAM DR</t>
  </si>
  <si>
    <t>2fc20cd5-680d-46f3-a88c-47250ae34b8b</t>
  </si>
  <si>
    <t>PRINCE ALBERT &lt;EB&gt; OPP SUPERSTORE</t>
  </si>
  <si>
    <t>9979b564-0b0c-461c-88d0-a0849540effd</t>
  </si>
  <si>
    <t>SACKVILLE DR OPP RIVERSIDE DR</t>
  </si>
  <si>
    <t>89fad01c-9f07-464e-8862-cb7ebc7d74ef</t>
  </si>
  <si>
    <t>PRINCE ALBERT FS SINCLAIR &lt;EB&gt;</t>
  </si>
  <si>
    <t>ae638c65-809d-48d6-8f82-232df5862837</t>
  </si>
  <si>
    <t>SACKVILLE DR OPP TWELVE MILE HOUSE LN</t>
  </si>
  <si>
    <t>a66d5a43-6df0-412a-b98d-6b4bed13a84f</t>
  </si>
  <si>
    <t>PRINCE ALBERT NS GLENWOOD &lt;EB&gt;</t>
  </si>
  <si>
    <t>0bce332a-8daf-448a-95a5-708af0f5799e</t>
  </si>
  <si>
    <t>NORDIC FS STOKIL</t>
  </si>
  <si>
    <t>3300f11b-1a9f-4280-b1ec-349464c0dadf</t>
  </si>
  <si>
    <t>PRINCE ALBERT OPP CELTIC DR</t>
  </si>
  <si>
    <t>87503b5d-c88b-40df-ab3d-2321c376d55d</t>
  </si>
  <si>
    <t>NORDIC NS STOKIL</t>
  </si>
  <si>
    <t>eb7511d3-a3b3-479f-b8fb-71743a8a822c</t>
  </si>
  <si>
    <t>PRINCESS MARGARET BLVD FS BIO ENTRANCE</t>
  </si>
  <si>
    <t>1106abc5-eca0-4b12-851b-8d8d87f5e98f</t>
  </si>
  <si>
    <t>NORTH ST AT CIVIC 5797</t>
  </si>
  <si>
    <t>b624d6c4-246e-4425-8fff-80bee06597d7</t>
  </si>
  <si>
    <t>PRINCESS MARGARET BLVD AT BLD 2-16</t>
  </si>
  <si>
    <t>b1bbcf59-524e-4968-bfd5-393113608b8a</t>
  </si>
  <si>
    <t>NORTH ST NS ROBIE ST &lt;EB&gt;</t>
  </si>
  <si>
    <t>be0bf7ee-431a-49be-86b3-a27b488400be</t>
  </si>
  <si>
    <t>PRINCESS MARGARET BLVD AT BLD 8296</t>
  </si>
  <si>
    <t>a56826fb-b23f-4b4c-8194-c6eba3013c3a</t>
  </si>
  <si>
    <t>NORTH ST&lt;EB&gt; &lt;FS&gt; BRUNSWICK ST</t>
  </si>
  <si>
    <t>04c0fa92-b6cb-4d8b-97e0-3d8d42f168c6</t>
  </si>
  <si>
    <t>PRINCESS MARGARET BLVD AT CIVIC 203</t>
  </si>
  <si>
    <t>4b3f2574-3715-4549-8ca8-6de4b7df9c74</t>
  </si>
  <si>
    <t>NORTH ST FS DUBLIN ST &lt;WB&gt;</t>
  </si>
  <si>
    <t>10f63ad6-e64b-42d1-82cf-b58bfe1b82e5</t>
  </si>
  <si>
    <t>PRINCESS MARGARET BLVD FS KILLKE GATE</t>
  </si>
  <si>
    <t>b7504a58-86d0-490e-a176-cb97745187ec</t>
  </si>
  <si>
    <t>NORTH ST NS DUBLIN ST &lt;EB&gt;</t>
  </si>
  <si>
    <t>89f1e663-4e5c-43dc-ad4b-1ffe6883826f</t>
  </si>
  <si>
    <t>PRINCESS MARGARET BLVD FS WINDMILL RD</t>
  </si>
  <si>
    <t>93dd50e6-53b7-42dc-80b5-824a89a9b8e9</t>
  </si>
  <si>
    <t>NORTH ST FS GOTTINGEN ST &lt;WB&gt;</t>
  </si>
  <si>
    <t>36199c95-67f3-48ff-9771-00ede8ce2e2e</t>
  </si>
  <si>
    <t>PRINCESS MARGARET BLVD NS BIO ENTRANCE</t>
  </si>
  <si>
    <t>617ff53b-e15c-4a35-afa7-3b5d240d7230</t>
  </si>
  <si>
    <t>NORTH ST NS GOTTINGEN ST &lt;EB&gt;</t>
  </si>
  <si>
    <t>62cfecd7-f994-450c-8943-e329b3867f3a</t>
  </si>
  <si>
    <t>PRINCESS MARGARET BLVD NS IROQUOIS DR</t>
  </si>
  <si>
    <t>bd682765-9185-406b-bf06-e21c37e45408</t>
  </si>
  <si>
    <t>NORTH ST&lt;WB&gt; FS LORNE TERRACE</t>
  </si>
  <si>
    <t>27a5fb5b-026b-4b92-933e-a598dd65a327</t>
  </si>
  <si>
    <t>PRINCESS MARGARET BLVD NS WINDMILL RD</t>
  </si>
  <si>
    <t>b443da88-d3a0-4343-ae4e-8b67b42b769d</t>
  </si>
  <si>
    <t>NORTH ST NS AGRICOLA ST &lt;EB&gt;</t>
  </si>
  <si>
    <t>f457749e-0de2-4fb3-980f-2b9ec4ce1bc9</t>
  </si>
  <si>
    <t>PRINCESS MARGARET BLVD NS RYAN GATE</t>
  </si>
  <si>
    <t>e89991e3-e755-4b63-b71c-c70a72f4eec6</t>
  </si>
  <si>
    <t>NORTH ST NS AGRICOLA ST &lt;WB&gt;</t>
  </si>
  <si>
    <t>2bca502a-4ad1-4bbe-91ae-b07eaec6ad7b</t>
  </si>
  <si>
    <t>PURCELLS COVE RD AT SARAGUAY CLUB</t>
  </si>
  <si>
    <t>3ef61911-74a8-47a8-bbf6-506dac88884a</t>
  </si>
  <si>
    <t>NORTH ST NS BRUNSWICK ST &lt;EB&gt;</t>
  </si>
  <si>
    <t>ef928d39-c5d9-442b-9f40-b918b1bacd76</t>
  </si>
  <si>
    <t>PURCELLS COVE RD OPP CIVIC 144</t>
  </si>
  <si>
    <t>893c17df-a866-458a-8059-42029badd695</t>
  </si>
  <si>
    <t>NORTH ST NS CLIFTON ST &lt;EB&gt;</t>
  </si>
  <si>
    <t>f1840bb3-25af-4c9b-aa13-f8606fbf4ced</t>
  </si>
  <si>
    <t>LACEWOOD DR FS CLAYTON PARK</t>
  </si>
  <si>
    <t>5d0a3896-b6e2-462c-9bd1-8727902f98b1</t>
  </si>
  <si>
    <t>NORTH ST NS CLIFTON ST &lt;WB&gt;</t>
  </si>
  <si>
    <t>802c8fcb-a566-42e4-a349-0bc40c290787</t>
  </si>
  <si>
    <t>LACEWOOD DR FS DUNBRACK ST</t>
  </si>
  <si>
    <t>63427f27-0daa-41d6-89b7-b4faa6098668</t>
  </si>
  <si>
    <t>NORTH ST NS FULLER TERRACE &lt;EB&gt;</t>
  </si>
  <si>
    <t>41962133-320d-4613-baeb-9fb3557fa123</t>
  </si>
  <si>
    <t>LACEWOOD DR FS GLENFOREST</t>
  </si>
  <si>
    <t>bbc3c6eb-4a9a-4b59-b283-5bd71957df73</t>
  </si>
  <si>
    <t>NORTH ST NS OXFORD ST &lt;EB&gt;</t>
  </si>
  <si>
    <t>bb8ec4b7-879d-4896-9bbd-795c876a39b8</t>
  </si>
  <si>
    <t>LACEWOOD DR FS OPP GATEWAY</t>
  </si>
  <si>
    <t>261e3401-56f8-4d42-8eda-ba541fe3c460</t>
  </si>
  <si>
    <t>BEAVER BANK RD &lt;AT&gt; CIVIC 1260</t>
  </si>
  <si>
    <t>e11e4daf-8346-4e00-8b50-cecbfd16c8cc</t>
  </si>
  <si>
    <t>DARTMOUTH TRANSIT TERMINAL BAY 16</t>
  </si>
  <si>
    <t>9dda3bd6-8d0b-4a44-9739-4afe99066a93</t>
  </si>
  <si>
    <t>BEAVER BANK RD &lt;AT&gt; CIVIC 1210</t>
  </si>
  <si>
    <t>d65224c5-ba81-41a3-aa22-927e216dbe8a</t>
  </si>
  <si>
    <t>DARTMOUTH BRIDGE TERMINAL</t>
  </si>
  <si>
    <t>b1dc85c4-7656-4e9e-baf7-9421e392e948</t>
  </si>
  <si>
    <t>BEAVER BANK RD &lt;AT&gt; CIVIC 1064</t>
  </si>
  <si>
    <t>56774621-4161-4f34-888b-b188d2689fac</t>
  </si>
  <si>
    <t>81d59f18-838e-4a21-9d5a-80d9a593f9a9</t>
  </si>
  <si>
    <t>BEAVER BANK RD &lt;FS&gt; DANNY DR</t>
  </si>
  <si>
    <t>98e32a21-f0fb-4658-ad18-f497fa17dbf3</t>
  </si>
  <si>
    <t>COLE HARBOUR RD &lt;FS&gt; BISSETT RD</t>
  </si>
  <si>
    <t>c40115e4-483a-427e-a099-7f0cebe0a744</t>
  </si>
  <si>
    <t>BEAVER BANK RD &lt;AT&gt; CIVIC 840</t>
  </si>
  <si>
    <t>caac3dc1-1a11-470b-9ea1-641576fd1f1e</t>
  </si>
  <si>
    <t>COLE HARBOUR RD &lt;NS&gt; ROSS RD</t>
  </si>
  <si>
    <t>ad8db3c6-1ee7-460e-8bad-ac87cbe2fbab</t>
  </si>
  <si>
    <t>BEAVER BANK RD &lt;FS&gt; PINEHAVEN DR</t>
  </si>
  <si>
    <t>490f1f9a-99d8-4cbc-b66f-2bbca40a0e14</t>
  </si>
  <si>
    <t>ROSS RD &lt;AT&gt; CIVIC 436</t>
  </si>
  <si>
    <t>705e7cf5-3151-4cf6-af76-7d09baeee01e</t>
  </si>
  <si>
    <t>BEAVER BANK RD &lt;AT&gt; CIVIC 632</t>
  </si>
  <si>
    <t>e537803b-c3a3-4260-9b77-069ba52053f8</t>
  </si>
  <si>
    <t>ROSS RD &lt;AT&gt; CIVIC 370</t>
  </si>
  <si>
    <t>ac06606c-63ec-422a-aa90-95fc01383e2e</t>
  </si>
  <si>
    <t>BEAVER BANK RD &lt;OP&gt; MAJESTIC AVE</t>
  </si>
  <si>
    <t>09ed7657-fff8-418e-b95a-4e42bf02ceaf</t>
  </si>
  <si>
    <t>ROSS RD &lt;AT&gt; CIVIC 284</t>
  </si>
  <si>
    <t>1978fff0-3067-4cff-bfd0-4017c46a8e90</t>
  </si>
  <si>
    <t>BEAVER BANK RD &lt;AT&gt; EMERSON GOLF</t>
  </si>
  <si>
    <t>b096e853-cf46-400d-85ea-a1e6d05d0c69</t>
  </si>
  <si>
    <t>ROSS RD &lt;AT&gt; CIVIC 156</t>
  </si>
  <si>
    <t>222b51ff-eb35-4028-8891-f4fcf8293d27</t>
  </si>
  <si>
    <t>BEAVER BANK RD &lt;AT&gt; CIVIC 278</t>
  </si>
  <si>
    <t>d218037a-7edf-4ed2-a097-89be5347c5ca</t>
  </si>
  <si>
    <t>ROSS RD &lt;AT&gt; CIVIC 36</t>
  </si>
  <si>
    <t>31b7af5e-897d-4e0f-a4fa-77e901af3601</t>
  </si>
  <si>
    <t>BEAVER BANK RD &lt;AT&gt; CIVIC 204</t>
  </si>
  <si>
    <t>781f091b-aa22-4626-82fc-fa6e01b3637a</t>
  </si>
  <si>
    <t>ROSS RD &lt;NS&gt; HWY 7</t>
  </si>
  <si>
    <t>b4703ffe-e398-458b-8417-2ee458b16aeb</t>
  </si>
  <si>
    <t>BEAVER BANK RD &lt;AT&gt; CIVIC 92</t>
  </si>
  <si>
    <t>fa632ed7-2c86-4012-9e9d-7405f3b6b8a2</t>
  </si>
  <si>
    <t>HWY 7 &lt;FS&gt; CIVIC 1776</t>
  </si>
  <si>
    <t>c564f4cb-eb44-4d76-953d-d9507d8a0041</t>
  </si>
  <si>
    <t>2012-11-15T04:00:00.000Z</t>
  </si>
  <si>
    <t>VICTORIA RD &lt;NB&gt; &lt;NS&gt; BOLAND RD</t>
  </si>
  <si>
    <t>06423c67-ea00-47c2-a711-4ec8562a226b</t>
  </si>
  <si>
    <t>HWY 7 &lt;NS&gt; LOWER GOVERNOR ST</t>
  </si>
  <si>
    <t>39258d97-7e0b-484b-9ca6-de88c0e13d84</t>
  </si>
  <si>
    <t>2012-12-17T04:00:00.000Z</t>
  </si>
  <si>
    <t>HWY 7 WILLIAM PORTER CONNECTOR</t>
  </si>
  <si>
    <t>0c062ce2-efac-494d-af38-d474bbe0739e</t>
  </si>
  <si>
    <t>BROOKS RD &lt;OP&gt; EAST PRESTON REC CENTRE</t>
  </si>
  <si>
    <t>379d6fbb-85c5-49b3-ab56-1cf9caad6a7d</t>
  </si>
  <si>
    <t>c9278d82-ccef-4f7d-b672-29eb8820c4dc</t>
  </si>
  <si>
    <t>WINDSOR ST  NS CORK ST</t>
  </si>
  <si>
    <t>16d6a15c-fb8e-4376-a760-2b943422aadb</t>
  </si>
  <si>
    <t>2013-02-25T04:00:00.000Z</t>
  </si>
  <si>
    <t>REGENCY PK DR &lt;FS&gt; LACEWOOD</t>
  </si>
  <si>
    <t>9aae0e22-22a9-454c-a9d7-c87d074dff9c</t>
  </si>
  <si>
    <t>BROOKS RD &lt;AT&gt; CIVIC 377</t>
  </si>
  <si>
    <t>545dfad9-96f1-4077-b6a9-00c09d5ed866</t>
  </si>
  <si>
    <t>REGENCY PK DR &lt;NS&gt; SOLUTIONS DR</t>
  </si>
  <si>
    <t>026e7bd6-b3ef-4023-bf53-6e6414e9fada</t>
  </si>
  <si>
    <t>WINDMILL RD OPP DAWN DR</t>
  </si>
  <si>
    <t>6f53d0a0-8469-4f0f-bbe0-b7e555615b8e</t>
  </si>
  <si>
    <t>REGENCY PK DR &lt;NS&gt; GREENPARK CLOSE</t>
  </si>
  <si>
    <t>2a0bbb5c-cc35-4d60-947c-18c91575c7af</t>
  </si>
  <si>
    <t>WINDMILL RD  OPP DAWSON ST</t>
  </si>
  <si>
    <t>684b3f00-91be-490a-9d61-a372aeadee09</t>
  </si>
  <si>
    <t>THOMAS RADDALL DR &lt;OP&gt; HALIFAX WEST</t>
  </si>
  <si>
    <t>cda721b3-2aad-4a1e-986b-626197fd2c32</t>
  </si>
  <si>
    <t>WINDMILL RD OPP ELMWOOD AVE</t>
  </si>
  <si>
    <t>a7612503-a3fe-4ac3-a15c-8f1be84ee13f</t>
  </si>
  <si>
    <t>THOMAS RADDALL &lt;AT&gt; SOCCER FIELD</t>
  </si>
  <si>
    <t>8cc4fe56-24c1-48f3-a800-2d7739d37dbc</t>
  </si>
  <si>
    <t>THOMAS RADDALL &lt;AT&gt; CANADA GAMES CENTRE</t>
  </si>
  <si>
    <t>028741e9-1811-498c-9f86-84a3d47d67a1</t>
  </si>
  <si>
    <t>WINDMILL RD OPP JAMIESON ST</t>
  </si>
  <si>
    <t>f1e31b92-dbcc-4625-b021-0b14a320bceb</t>
  </si>
  <si>
    <t>THOMAS RADDALL &lt;OP&gt; CANADA GAMES CENTRE</t>
  </si>
  <si>
    <t>f953e458-052a-4ef4-a819-0d653065eb23</t>
  </si>
  <si>
    <t>WINDMILL RD  OPP PARKSTONE RD</t>
  </si>
  <si>
    <t>5435d14b-97c2-44a0-a7df-46f5198bf851</t>
  </si>
  <si>
    <t>THOMAS RADDALL &lt;OP&gt; SOCCER FIELD</t>
  </si>
  <si>
    <t>0a94e3cf-21d1-4d08-b1c1-2215537e1134</t>
  </si>
  <si>
    <t>WINDMILL RD OPP PELZANT ST</t>
  </si>
  <si>
    <t>19af58ac-3fba-4c12-9a99-b2f3c563b0ae</t>
  </si>
  <si>
    <t>THOMAS RADDALL DR &lt;AT&gt; HALIFAX WEST</t>
  </si>
  <si>
    <t>1bb926a9-d191-41d0-80c9-3b3693afa1b6</t>
  </si>
  <si>
    <t>WINDMILL RD OPP RALSTON AVE</t>
  </si>
  <si>
    <t>b10acc6e-1a4e-4a44-9c71-0300ac3ed98d</t>
  </si>
  <si>
    <t>REGENCY PK DR &lt;OP&gt; GREENPARK CLOSE</t>
  </si>
  <si>
    <t>b3b5ee47-f919-4fe9-8045-66cb9563f5dc</t>
  </si>
  <si>
    <t>WINDMILL RD  OPP SHANNON PLAZA ENTRANCE</t>
  </si>
  <si>
    <t>51432016-81fc-47c2-8278-539092c4fdf0</t>
  </si>
  <si>
    <t>REGENCY PK DR &lt;OP&gt; SOLUTIONS DR</t>
  </si>
  <si>
    <t>c758360d-c2be-4ad8-a009-c4dfc421b2ae</t>
  </si>
  <si>
    <t>WINDMILL RD  OPP SUNNYDALE AVE</t>
  </si>
  <si>
    <t>e6c023d3-01b0-4518-849d-7e3d31dabf50</t>
  </si>
  <si>
    <t>REGENCY PK DR &lt;NS&gt; LACEWOOD DR</t>
  </si>
  <si>
    <t>f6f32808-7cac-4efc-b10d-578a9e20ffc7</t>
  </si>
  <si>
    <t>WINDMILL RD OPP WALLACE ST</t>
  </si>
  <si>
    <t>0f05a383-d834-4f7d-9cf2-6ca2fa248673</t>
  </si>
  <si>
    <t>NORTH ST NS OXFORD ST &lt;WB&gt;</t>
  </si>
  <si>
    <t>91a83ca2-a02b-43c5-bb23-a842d0a0557a</t>
  </si>
  <si>
    <t>WINDMILL RD  AT WRIGHT AVE LINK [OB]</t>
  </si>
  <si>
    <t>fb0c0f29-6c06-400f-94dd-4254026f21ca</t>
  </si>
  <si>
    <t>NORTH ST NS WINDSOR ST &lt;EB&gt;</t>
  </si>
  <si>
    <t>68f74626-a284-424a-8640-ec4742613f34</t>
  </si>
  <si>
    <t>WINDMILL RD  NS WRIGHT AVE [IB] LINK</t>
  </si>
  <si>
    <t>88b62644-4ec3-4078-82a0-fc049ec606f4</t>
  </si>
  <si>
    <t>NORTH ST NS WINDSOR ST &lt;WB&gt;</t>
  </si>
  <si>
    <t>3612d73e-1ac6-4417-b1d9-0545ee703e0a</t>
  </si>
  <si>
    <t>WINDSOR ST  AT CFB MOTOR POOL</t>
  </si>
  <si>
    <t>830f6174-b9eb-4ad5-b545-332dbff914b7</t>
  </si>
  <si>
    <t>NORTHRIDGE RD FS NOVALEA DR &lt;WB&gt; TO VIC MANOR</t>
  </si>
  <si>
    <t>ec74bf5d-fc2c-4443-81cb-39d25f399dc7</t>
  </si>
  <si>
    <t>WINDSOR ST  AT WILLOW PARK</t>
  </si>
  <si>
    <t>033fd97d-4a26-48f5-b07b-1f94a4ddb5aa</t>
  </si>
  <si>
    <t>NOVALEA DR (SB OPP KENCREST AVE</t>
  </si>
  <si>
    <t>f80f0e0c-043c-4c90-8e07-e10092690b05</t>
  </si>
  <si>
    <t>WINDSOR ST  NS CONNOLLY ST</t>
  </si>
  <si>
    <t>c736adab-d1d5-4ac4-94ee-a84d88f582ce</t>
  </si>
  <si>
    <t>NOVALEA DR AT CABOT PLACE</t>
  </si>
  <si>
    <t>fa118b74-9e16-4623-ab07-9e6bc1d6bc2d</t>
  </si>
  <si>
    <t>WINDSOR ST  FS CONNAUGHT AVE</t>
  </si>
  <si>
    <t>771062e0-d700-47d6-98a1-cea5062f7574</t>
  </si>
  <si>
    <t>NOVALEA DR AT LIVINGSTONE &lt;SB&gt;</t>
  </si>
  <si>
    <t>579b28f0-fa06-4e32-aaa6-5139eee5dddf</t>
  </si>
  <si>
    <t>WINDSOR ST  FS LADY HAMMOND RD</t>
  </si>
  <si>
    <t>d1ddc9b2-b964-43d5-aabd-30ea6bef94fa</t>
  </si>
  <si>
    <t>NOVALEA DR NS LIVINGSTONE</t>
  </si>
  <si>
    <t>efcf1d7a-30c6-466c-b4b8-90896a4ed839</t>
  </si>
  <si>
    <t>WINDSOR ST  FS NORTH RD</t>
  </si>
  <si>
    <t>67495dc1-5b2c-453e-be0f-f3009a5bb132</t>
  </si>
  <si>
    <t>NOVALEA DR AT STANLEY PLACE &lt;SB&gt;</t>
  </si>
  <si>
    <t>7c6126fe-e98a-4a2b-9dbb-c0218f5b23da</t>
  </si>
  <si>
    <t>WINDSOR ST AT WINDSOR PARK ENTRANCE</t>
  </si>
  <si>
    <t>f59b4640-184d-4c3a-8a45-5f93b74d2a75</t>
  </si>
  <si>
    <t>SHORE RD NS QUIGLEYS CORNER</t>
  </si>
  <si>
    <t>2c47eab4-4ef5-4f13-8192-22b55dc73d0c</t>
  </si>
  <si>
    <t>WINDSOR ST  NS ALMON ST</t>
  </si>
  <si>
    <t>908c7b49-9a51-4076-8a27-23bb4bd3a008</t>
  </si>
  <si>
    <t>SHORE RD NS CIVIC 1638</t>
  </si>
  <si>
    <t>e7ea315a-fa39-43ae-b0d0-70212e92688f</t>
  </si>
  <si>
    <t>3cf4dc21-db9a-45db-8bff-429f56d660ca</t>
  </si>
  <si>
    <t>SHORE RD NS NORMANS LANE</t>
  </si>
  <si>
    <t>f8022c2a-5a97-4fe4-93ad-fa93cf4e9b03</t>
  </si>
  <si>
    <t>WINDSOR ST  NS CHARLES ST</t>
  </si>
  <si>
    <t>03363bfb-cbfa-41f4-9c67-8fe012c71b1e</t>
  </si>
  <si>
    <t>SHREWSBURY RD OPP HUNTINGTON DR</t>
  </si>
  <si>
    <t>e5fe8d85-843d-4cbb-9247-e78e9a7c9c85</t>
  </si>
  <si>
    <t>adbb47e6-8aa3-4865-9931-f3e5f6daafe7</t>
  </si>
  <si>
    <t>SHREWSBURY RD AT CIVIC 147</t>
  </si>
  <si>
    <t>d6b835a6-d9d7-40f2-8de8-85a3071ded57</t>
  </si>
  <si>
    <t>WINDSOR ST  NS CONNAUGHT AVE</t>
  </si>
  <si>
    <t>b9b7e8e6-bbfb-4026-943a-57364ad81e02</t>
  </si>
  <si>
    <t>SIMMONDS RD FS NORTH PRESTON RD</t>
  </si>
  <si>
    <t>f25dad16-2261-4a71-9f1d-fe59fac0c90a</t>
  </si>
  <si>
    <t>UPPER PARTRIDGE RIVER RD &lt;AT&gt; CIVIC 52</t>
  </si>
  <si>
    <t>4c5faebb-a6e6-4b4c-925d-2d3f69a5c1ca</t>
  </si>
  <si>
    <t>SIMMONDS RD NS NORTH PRESTON RD</t>
  </si>
  <si>
    <t>c4e6210b-934b-43e1-98b2-72e0fa21fc16</t>
  </si>
  <si>
    <t>HWY 7 &lt;FS&gt; LOWER PARTRIDGE RIVER RD</t>
  </si>
  <si>
    <t>fb7333d9-12d9-4722-b2f3-3df8e0d1265f</t>
  </si>
  <si>
    <t>SIMMONDS RD AT REC CENTER</t>
  </si>
  <si>
    <t>4a9de4d2-2306-456d-b474-d62bf06f905f</t>
  </si>
  <si>
    <t>HWY 7 &lt;OP&gt; CIVIC 2559</t>
  </si>
  <si>
    <t>4bc47eb2-5d17-4f1d-8c3e-106c7ca00483</t>
  </si>
  <si>
    <t>SIMPSONS LANE AT WALMART</t>
  </si>
  <si>
    <t>ed1a3eb3-3151-4f78-b0fb-964e7b516d40</t>
  </si>
  <si>
    <t>HWY 7 &lt;NS&gt; MINEVILLE RD</t>
  </si>
  <si>
    <t>e31b731f-e746-4505-baee-f85aed5e77bd</t>
  </si>
  <si>
    <t>SINCLAIR ST FS HIGHWOOD &lt;NB&gt;</t>
  </si>
  <si>
    <t>057c3d3b-0f11-46d2-abd1-d2a0c8f90e9d</t>
  </si>
  <si>
    <t>HWY 7 &lt;FS&gt; ARBOR HILL</t>
  </si>
  <si>
    <t>fcc92921-a43a-49f3-a443-e898b4d86d81</t>
  </si>
  <si>
    <t>SINCLAIR ST FS PRINCE ALBERT RD</t>
  </si>
  <si>
    <t>07da8ccf-1b8c-4353-b050-6d32ef3d322c</t>
  </si>
  <si>
    <t>HWY 7 &lt;FS&gt; ROBINA DR</t>
  </si>
  <si>
    <t>103be03b-09c6-4d54-afa7-698c0f84bcb2</t>
  </si>
  <si>
    <t>SINCLAIR ST &lt;WB&gt; OPP HIGHWOOD</t>
  </si>
  <si>
    <t>9c1f0f7e-1adf-4b33-b40a-751c8c15acd7</t>
  </si>
  <si>
    <t>HWY 7 &lt;FS&gt; CIVIC 3102</t>
  </si>
  <si>
    <t>c6172aab-2d5f-4442-8256-9763d1358424</t>
  </si>
  <si>
    <t>SOMERSET FS CIVIC 4A</t>
  </si>
  <si>
    <t>9385647a-ce63-496b-af9a-beb8986175cd</t>
  </si>
  <si>
    <t>HWY 7 &lt;FS&gt; LAKE ECHO COMMUNITY CENTRE</t>
  </si>
  <si>
    <t>da4fd081-d360-45ed-9b7a-f91783289c37</t>
  </si>
  <si>
    <t>SOMERSET FS GLENWOOD</t>
  </si>
  <si>
    <t>b11c739e-c520-44c5-89aa-c70007899f85</t>
  </si>
  <si>
    <t>HWY 7 &lt;OP&gt; ST ANNES CHURCH</t>
  </si>
  <si>
    <t>9ab15edc-b9d0-46ef-870f-f73b39d4f22a</t>
  </si>
  <si>
    <t>SOMERSET NS GLENWOOD</t>
  </si>
  <si>
    <t>9270e3d1-b30d-44d4-bad4-0333c33940e8</t>
  </si>
  <si>
    <t>HWY 7 &lt;AT&gt; CIVIC 3372</t>
  </si>
  <si>
    <t>fd636399-ac99-407a-9c75-8fe968c88a99</t>
  </si>
  <si>
    <t>HWY 7 &lt;OP&gt; PARKER LANE</t>
  </si>
  <si>
    <t>901f48bf-2ba5-4fe8-88f1-8bb29f77662c</t>
  </si>
  <si>
    <t>SOMERSET OPP CIVIC 4A</t>
  </si>
  <si>
    <t>bdf2b345-ae7b-4c97-9d22-c20aca1dfbc7</t>
  </si>
  <si>
    <t>SOUTH ST FS DALPLEX &lt;EB&gt;</t>
  </si>
  <si>
    <t>534dc652-62b4-4792-b2ef-368aa39863c7</t>
  </si>
  <si>
    <t>HWY 7 &lt;AT&gt; CIVIC 4296</t>
  </si>
  <si>
    <t>779c3efb-aceb-4068-b717-d86b01cdd0a8</t>
  </si>
  <si>
    <t>SOUTH ST FS QUEEN ST &lt;WB&gt;</t>
  </si>
  <si>
    <t>9a7bf328-c930-4317-a733-bfef37433c10</t>
  </si>
  <si>
    <t>da5792a7-0ad0-42d6-a4e9-dfbbd94c8da1</t>
  </si>
  <si>
    <t>SOUTH ST AT CIVIC 5244 &lt;EB&gt;</t>
  </si>
  <si>
    <t>c40d067c-7730-4101-aa2a-d7d530aaf17b</t>
  </si>
  <si>
    <t>HWY 7 &lt;AT&gt; CIVIC 4560</t>
  </si>
  <si>
    <t>d5aa84a2-0bb9-4194-959e-836d60423805</t>
  </si>
  <si>
    <t>SOUTH ST AT CIVIC 5283 &lt;WB&gt;</t>
  </si>
  <si>
    <t>f446c857-df68-48e3-8175-354c056aa0e7</t>
  </si>
  <si>
    <t>HWY 7 &lt;FS&gt; THIS ST</t>
  </si>
  <si>
    <t>db692b7d-c04e-4b3b-acff-0000b0cfa3ff</t>
  </si>
  <si>
    <t>WINDSOR ST  NS KEMPT RD RD</t>
  </si>
  <si>
    <t>4e2e98ef-2989-4cec-8cdf-3da8d2022bcc</t>
  </si>
  <si>
    <t>WINDMILL RD &lt;OP&gt; HARE LN</t>
  </si>
  <si>
    <t>434dda61-3063-4b0f-919f-69e16bab535e</t>
  </si>
  <si>
    <t>HWY 7 &lt;OP&gt; CIVIC 4779</t>
  </si>
  <si>
    <t>eb2067d6-bf40-4017-be69-b4ff7ee0fce6</t>
  </si>
  <si>
    <t>WINDMILL RD &lt;NB&gt; &lt;FS&gt; MOTT ST</t>
  </si>
  <si>
    <t>de3b13fe-017f-444f-acdc-844051ddd822</t>
  </si>
  <si>
    <t>HWY 7 &lt;OP&gt; COVE RD</t>
  </si>
  <si>
    <t>aa3ae453-ff2f-47bc-8e41-34a584981db1</t>
  </si>
  <si>
    <t>WINDMILL RD &lt;AT&gt; BEST ST</t>
  </si>
  <si>
    <t>6948117f-433c-46d5-850d-0347b7a20173</t>
  </si>
  <si>
    <t>HWY 7 &lt;AT&gt; CIVIC 5072</t>
  </si>
  <si>
    <t>503f63b1-722c-46ab-9818-67b95dd09cf7</t>
  </si>
  <si>
    <t>WINDMILL RD &lt;AT&gt; HARE LANE</t>
  </si>
  <si>
    <t>470c0a6b-e5e8-493c-9e7b-588acaec6f58</t>
  </si>
  <si>
    <t>LAKEVIEW SHOPPING CENTRE &lt;OB&gt;</t>
  </si>
  <si>
    <t>ff039c2f-a7d0-42ab-8df4-dc32377e7f1d</t>
  </si>
  <si>
    <t>2013-08-26T03:00:00.000Z</t>
  </si>
  <si>
    <t>GARY MARTIN DR &lt;FS&gt; HAMMONDS PLAINS RD</t>
  </si>
  <si>
    <t>fceb7a2f-1204-4ec1-ac60-901e9996c707</t>
  </si>
  <si>
    <t>HWY 207 &lt;AT&gt; CIVIC 7703</t>
  </si>
  <si>
    <t>28078360-f379-4dcc-88f4-df01f5993a0d</t>
  </si>
  <si>
    <t>INNOVATION DR &lt;FS&gt; GARY MARTIN</t>
  </si>
  <si>
    <t>25af79fb-4980-4dc7-a96f-bf21620ba2b9</t>
  </si>
  <si>
    <t>HWY 207 &lt;AT&gt; LES COLLINS AVE</t>
  </si>
  <si>
    <t>2c3e857f-eb86-4599-a601-12e8cf22fae5</t>
  </si>
  <si>
    <t>INNOVATION DR &lt;AT&gt; CP ALLEN HIGH</t>
  </si>
  <si>
    <t>425ae99c-4b39-4c6f-8c59-c2937ffcec3b</t>
  </si>
  <si>
    <t>HWY 207 &lt;NS&gt; JOHNSON AVE</t>
  </si>
  <si>
    <t>ac4ed8df-e464-434e-acc0-09fc9235f867</t>
  </si>
  <si>
    <t>INNOVATION DR &lt;OP&gt; CP ALLEN HIGH</t>
  </si>
  <si>
    <t>234eee58-ee6e-4771-9496-932d261c5281</t>
  </si>
  <si>
    <t>HWY 207 &lt;OP&gt; CIVIC 7402</t>
  </si>
  <si>
    <t>0fa457e6-f44b-4488-a411-843130123dd8</t>
  </si>
  <si>
    <t>INNOVATION DR &lt;NS&gt; GARY MARTIN</t>
  </si>
  <si>
    <t>84b21287-daf5-4545-954d-e322daffceec</t>
  </si>
  <si>
    <t>HWY 207 &lt;FS&gt; ELEANOR MARIE LANE</t>
  </si>
  <si>
    <t>be67f5a8-1d23-4cc7-b7ed-1b61b8ac01d1</t>
  </si>
  <si>
    <t>GARY MARTIN DR &lt;NS&gt; HAMMONDS PLAINS RD</t>
  </si>
  <si>
    <t>62397d59-1c0f-43f3-8512-972cca541e7d</t>
  </si>
  <si>
    <t>HWY 207 &lt;AT&gt; ST. ANSELMS CHURCH</t>
  </si>
  <si>
    <t>f077d0b5-38b0-4b63-8caf-029f9e2876b7</t>
  </si>
  <si>
    <t>SOUTH ST AT CIVIC 5650 &lt;EB&gt;</t>
  </si>
  <si>
    <t>15ee21ee-6cbd-4dec-b570-2ae8a7b4bb5b</t>
  </si>
  <si>
    <t>HWY 207 &lt;AT&gt; BELLEFONTAINE RD</t>
  </si>
  <si>
    <t>3462ed0b-718c-43b5-9c34-bba5c7a79c65</t>
  </si>
  <si>
    <t>SOUTH ST AT CIVIC 5966 &lt;EB&gt;</t>
  </si>
  <si>
    <t>de192b32-e3f7-40d8-8d26-97dabde242e7</t>
  </si>
  <si>
    <t>HWY 207 &lt;AT&gt; CIVIC 6551</t>
  </si>
  <si>
    <t>3dcbb938-8eac-4af7-ad2e-ce8c3ab7916b</t>
  </si>
  <si>
    <t>SOUTH ST AT IWK/GRACE</t>
  </si>
  <si>
    <t>af7d5a3d-5c50-4318-8475-dc9f1740c91b</t>
  </si>
  <si>
    <t>WINDSOR ST  NS HOOD ST</t>
  </si>
  <si>
    <t>2e8667a2-2588-40f1-a710-122ad3645c29</t>
  </si>
  <si>
    <t>SOUTH ST NS IWK HOSPITAL &lt;WB&gt;</t>
  </si>
  <si>
    <t>2a8ab8b5-d561-4a4d-a06b-700df4bbf57f</t>
  </si>
  <si>
    <t>HAMMONDS PLAINS RD FS BEDFORD HILLS</t>
  </si>
  <si>
    <t>4a7bd44b-130a-497e-a416-6fd88389617d</t>
  </si>
  <si>
    <t>SOUTH ST NS QUEEN ST &lt;EB&gt;</t>
  </si>
  <si>
    <t>afe04f53-0526-437f-8db4-4d2b3949ebc2</t>
  </si>
  <si>
    <t>HAMMONDS PLAINS RD FS CIVIC 2211</t>
  </si>
  <si>
    <t>8f340f7a-1ab5-4d5d-aeb7-7c58b9584619</t>
  </si>
  <si>
    <t>SOUTH ST NS SOUTH ST PARK  &lt;WB&gt;</t>
  </si>
  <si>
    <t>c6254448-9e9a-4156-83e5-04d656212dfd</t>
  </si>
  <si>
    <t>HAMMONDS PLAINS RD FS CIVIC 1684</t>
  </si>
  <si>
    <t>c185ddd6-ecc6-4e2a-bfcd-9f5b5de19945</t>
  </si>
  <si>
    <t>SOUTH ST NS TOWER RD &lt;WB&gt;</t>
  </si>
  <si>
    <t>4575c410-a762-4c6e-8cc4-5d11dfaf6169</t>
  </si>
  <si>
    <t>HAMMONDS PLAINS RD OPP GLENN ARBOUR WAY</t>
  </si>
  <si>
    <t>1f408235-2964-4376-a3be-34ea9d280030</t>
  </si>
  <si>
    <t>SOUTH ST OPP CATARET ST &lt;WB&gt;</t>
  </si>
  <si>
    <t>9eade208-4e30-4ef8-bb0c-de7840381084</t>
  </si>
  <si>
    <t>SPRING AVE FS DOROTHEA</t>
  </si>
  <si>
    <t>98ade70e-c29d-4388-8d55-ab9ddb08f044</t>
  </si>
  <si>
    <t>SOUTH ST OPP I.W.K. HOSPITAL ENTRANCE  &lt;EB&gt;</t>
  </si>
  <si>
    <t>9214f4e2-6217-44cf-a126-87d582eadccc</t>
  </si>
  <si>
    <t>HAMMONDS PLAINS RD AT GLENN ARBOUR WAY</t>
  </si>
  <si>
    <t>de5d2ae5-ec43-4932-876f-b7b421972f1f</t>
  </si>
  <si>
    <t>SOUTH ST OPP DALPLEX &lt;WB&gt;</t>
  </si>
  <si>
    <t>5abea317-a234-44ab-a061-e848ab70caaa</t>
  </si>
  <si>
    <t>HAMMONDS PLAINS RD OPP POCKWOCK RD</t>
  </si>
  <si>
    <t>e3aae5af-ef69-4e09-8ce0-d07af5c0651a</t>
  </si>
  <si>
    <t>SOUTH ST OPP V.G. HOSPITAL AT CIVIC 5784 &lt;EB&gt;</t>
  </si>
  <si>
    <t>a17d5e5e-9b2a-4941-a9a5-14c7f8ac1b98</t>
  </si>
  <si>
    <t>HAMMONDS PLAINS RD FS LUCASVILLE RD</t>
  </si>
  <si>
    <t>c5c87ee6-a5a5-4356-a9f4-3ebb3f721e50</t>
  </si>
  <si>
    <t>SOUTH PARK ST FS FENWICK ST &lt;NB&gt;</t>
  </si>
  <si>
    <t>b3dd21d4-f9fc-4528-b308-12b8ced0213e</t>
  </si>
  <si>
    <t>HAMMONDS PLAINS RD FS CRESTFIELD DR</t>
  </si>
  <si>
    <t>0aac1d3b-fe02-4020-b1bd-cb70fa0df679</t>
  </si>
  <si>
    <t>SOUTH PARK ST FS SOUTH ST  &lt;NB&gt;</t>
  </si>
  <si>
    <t>8a5a4316-c1c7-424a-80cd-7c635ebdec07</t>
  </si>
  <si>
    <t>HAMMONDS PLAINS RD FS NORTHWOOD RD</t>
  </si>
  <si>
    <t>ac0e2bc8-2a8d-4709-8426-fdb3abcde07c</t>
  </si>
  <si>
    <t>SOUTH PARK ST FS SPRING GARDEN RD</t>
  </si>
  <si>
    <t>b5e5e17a-5086-4eda-99da-78a636ccecad</t>
  </si>
  <si>
    <t>HAMMONDS PLAINS RD FS ROCKCLIFFE CR</t>
  </si>
  <si>
    <t>0a0127b2-a7a2-4d75-ba02-4a2dcc90e6b7</t>
  </si>
  <si>
    <t>SOUTH PARK ST FS UNIVERSITY AVE&lt;NB&gt;</t>
  </si>
  <si>
    <t>71f32ab5-59dd-4915-9be6-9b7b6f94d88e</t>
  </si>
  <si>
    <t>HAMMONDS PLAINS RD FS STILLWATER LAKE DR</t>
  </si>
  <si>
    <t>a87cae37-d561-4d3b-ae39-70c8b2a0ead1</t>
  </si>
  <si>
    <t>SOUTH PARK ST NS INGLIS ST &lt;SB&gt;</t>
  </si>
  <si>
    <t>3b6eb7e5-78ce-4560-bfb5-790e5ba6c5a2</t>
  </si>
  <si>
    <t>HAMMONDS PLAINS RD FS ST.GEORGE BLVD</t>
  </si>
  <si>
    <t>e5471942-5dca-4c5b-ac67-d2c0ac3d2283</t>
  </si>
  <si>
    <t>SOUTH PARK ST NS SOUTH ST &lt;SB&gt;</t>
  </si>
  <si>
    <t>499eb16b-7e17-4d97-ab1d-e1c493caa3c4</t>
  </si>
  <si>
    <t>HAMMONDS PLAINS RD AT M &amp; S BAKERY</t>
  </si>
  <si>
    <t>2bac7e03-cf05-4314-9989-71c456279b01</t>
  </si>
  <si>
    <t>SOUTH PARK ST NS SPRING GARDEN RD &lt;NB&gt;</t>
  </si>
  <si>
    <t>2c6ed117-c0e8-4fbf-b34c-f0ff33186011</t>
  </si>
  <si>
    <t>HAMMONDS PLAINS RD AT BROOKSHIRE CRT</t>
  </si>
  <si>
    <t>f2d88eeb-ca4d-420f-b981-cdfb563accab</t>
  </si>
  <si>
    <t>SOUTH PARK ST NS UNIVERSITY AVE &lt;SB&gt;</t>
  </si>
  <si>
    <t>5b381441-61c9-4ccc-a64b-87ff4aa2040e</t>
  </si>
  <si>
    <t>HAMMONDS PLAINS RD NS CIVIC 1541</t>
  </si>
  <si>
    <t>144d0734-4683-4424-9c0f-90deec52c496</t>
  </si>
  <si>
    <t>SOUTH PARK ST NS VICTORIA RD &lt;NB&gt;</t>
  </si>
  <si>
    <t>4c72223b-a5b0-4a0c-af17-b3769e0fe586</t>
  </si>
  <si>
    <t>HAMMONDS PLAINS RD NS CIVIC 1881</t>
  </si>
  <si>
    <t>32a2f4fe-926d-45ed-a0d3-1b0f56411c69</t>
  </si>
  <si>
    <t>SOUTH PARK ST NS VICTORIA RD &lt;SB&gt;</t>
  </si>
  <si>
    <t>c7e45aac-07db-4d3c-885a-0600c5e82c3e</t>
  </si>
  <si>
    <t>HAMMONDS PLAINS RD NS CIVIC 2465</t>
  </si>
  <si>
    <t>713c1d12-a46f-4eb2-b6df-d6b3d81c4a1a</t>
  </si>
  <si>
    <t>SOUTH ST FS CATARET ST &lt;EB&gt;</t>
  </si>
  <si>
    <t>9048d1de-7afb-4899-beaf-481f4a2025fa</t>
  </si>
  <si>
    <t>HAMMONDS PLAINS RD NS CIVIC 3334</t>
  </si>
  <si>
    <t>2666a1c5-2d71-4e9e-9bdd-26498a09d799</t>
  </si>
  <si>
    <t>SOUTH ST &lt;WB&gt; NS EDWARD</t>
  </si>
  <si>
    <t>ef075857-0d4f-4a44-a66f-f3e529f595e7</t>
  </si>
  <si>
    <t>HAMMONDS PLAINS RD NS CIVIC 1546</t>
  </si>
  <si>
    <t>42a4f308-5d00-4a82-8645-7ec6284971e7</t>
  </si>
  <si>
    <t>SPIKENARD FS WOODLAWN RD</t>
  </si>
  <si>
    <t>62f9017b-62ce-47d8-9c41-0501ccaa742c</t>
  </si>
  <si>
    <t>HAMMONDS PLAINS RD NS FLAT LAKE DR</t>
  </si>
  <si>
    <t>e0218bbf-86fa-4186-940b-5dc7ed885769</t>
  </si>
  <si>
    <t>SPIKENARD AT CIVIC 59 [IB]</t>
  </si>
  <si>
    <t>a411befc-500b-4b44-91f1-98496b9a5eec</t>
  </si>
  <si>
    <t>2013-08-23T03:00:00.000Z</t>
  </si>
  <si>
    <t>AEROTECH DR &lt;NS&gt; PRATT AND WHITNEY DR</t>
  </si>
  <si>
    <t>aca9907c-2a7d-4488-b129-18b87b0f9988</t>
  </si>
  <si>
    <t>SPIKENARD AT CIVIC 90</t>
  </si>
  <si>
    <t>010272ae-4d02-4525-8eed-e76dca7c0fc3</t>
  </si>
  <si>
    <t>AEROTECH DR &lt;FS&gt; PRATT AND WHITNEY DR</t>
  </si>
  <si>
    <t>f9a9d8f4-eeb4-4b6f-bd36-b6316a1ff8f5</t>
  </si>
  <si>
    <t>SPIKENARD NS WEYBURN &lt;WB&gt;</t>
  </si>
  <si>
    <t>cace2355-db74-4f20-9c7b-3666b0f35405</t>
  </si>
  <si>
    <t>SPIKENARD OPP CIVIC 74 &lt;EB&gt;</t>
  </si>
  <si>
    <t>9154a074-897f-47ec-843f-2f4efce07708</t>
  </si>
  <si>
    <t>MIC MAC BLVD FS KENT ENTRANCE</t>
  </si>
  <si>
    <t>90eec51c-e67d-4710-9bd3-a08d7b74c8e0</t>
  </si>
  <si>
    <t>SPRING AVE AT GRANDVIEW</t>
  </si>
  <si>
    <t>96966bdb-97b4-4979-baff-b6242bf51300</t>
  </si>
  <si>
    <t>MIC MAC BLVD NS KINGS APTS</t>
  </si>
  <si>
    <t>da6cf57f-aefd-4eff-a2e2-85c6368d96df</t>
  </si>
  <si>
    <t>SPRING AVE AT PEMBROOKE CT</t>
  </si>
  <si>
    <t>23587b9e-30f5-4bda-90d2-973d6dacbc12</t>
  </si>
  <si>
    <t>MACDONALD BRIDGE RAMP AT BARRINGTON</t>
  </si>
  <si>
    <t>8d9d0805-2350-4879-9c38-0d3d259bbbae</t>
  </si>
  <si>
    <t>MIC MAC BLVD FS WOODLAND AVE</t>
  </si>
  <si>
    <t>12b15a16-efaf-4e8c-8e0f-4e3ecbea7d30</t>
  </si>
  <si>
    <t>MACDONALD AVE AT CIVIC 25</t>
  </si>
  <si>
    <t>1d1e9859-b525-4e4f-b778-900e6a8150e9</t>
  </si>
  <si>
    <t>MACDONALD AVE AT WRIGHT AVE</t>
  </si>
  <si>
    <t>b424486c-c5f1-4b49-b1c7-370c9b0fcc3b</t>
  </si>
  <si>
    <t>MIC MAC BLVD NS WOODLAND AVE</t>
  </si>
  <si>
    <t>42bb331b-6d93-4850-b89b-4e0574737238</t>
  </si>
  <si>
    <t>MACDONALD AVE NS ILSLEY AVE</t>
  </si>
  <si>
    <t>5b3c7060-5a50-4cdd-96df-9149255730b3</t>
  </si>
  <si>
    <t>MIC MAC TERMINAL [IB]</t>
  </si>
  <si>
    <t>7b2ab432-8811-4de5-818e-4a521b47f425</t>
  </si>
  <si>
    <t>MIC MAC TERMINAL [OB]</t>
  </si>
  <si>
    <t>ea145038-e86f-40d2-be49-6a9a34f2065c</t>
  </si>
  <si>
    <t>MACDONALD AVE AT CIVIC 55</t>
  </si>
  <si>
    <t>3ed54ca6-2751-4377-ae9d-116c54cc5cdf</t>
  </si>
  <si>
    <t>MAYBANK FIELD - MIC MAC BLVD</t>
  </si>
  <si>
    <t>1d0e77ce-e80f-4b30-a10f-8208b4fbd93a</t>
  </si>
  <si>
    <t>KING ST NS OCHTERLONEY ST &lt;NB&gt;</t>
  </si>
  <si>
    <t>667574e3-1160-4df3-9599-47fba7034dcd</t>
  </si>
  <si>
    <t>DOWNSVIEW BESIDE SOBEYS</t>
  </si>
  <si>
    <t>3a839d12-4f9f-41c4-9659-b9b0ae3a963f</t>
  </si>
  <si>
    <t>KNIGHTSRIDGE DR FS DUNBRACK ST</t>
  </si>
  <si>
    <t>16bd9146-c0da-4116-8132-8cd3d1f9d03e</t>
  </si>
  <si>
    <t>DOWNSVIEW OPP SOBEYS</t>
  </si>
  <si>
    <t>7cb009f1-ae38-454e-bb8d-bb810fdfa82d</t>
  </si>
  <si>
    <t>KNIGHTSRIDGE DR FS FLAMINGO DR</t>
  </si>
  <si>
    <t>68f86a40-76f0-4596-839f-65fd0169327f</t>
  </si>
  <si>
    <t>DUKE ST [IB] OPP CIVIC 21</t>
  </si>
  <si>
    <t>49381407-3f1a-49f0-8dad-2411c0fb36de</t>
  </si>
  <si>
    <t>KNIGHTSRIDGE DR NS FLAMINGO DR</t>
  </si>
  <si>
    <t>14861ab2-e974-429d-9a0d-6c44f84057de</t>
  </si>
  <si>
    <t>BRUNSWICK ST &lt;NB&gt; FS SPRING GARDEN RD (FRED)</t>
  </si>
  <si>
    <t>a4576a34-bd73-48a6-be66-23e2432d3948</t>
  </si>
  <si>
    <t>LACEWOOD DR [OB] FS VIMY ST</t>
  </si>
  <si>
    <t>fc35720f-a5c2-4206-8fd7-b25651e8559d</t>
  </si>
  <si>
    <t>LACEWOOD DR [OB] FS STRATFORD WAY</t>
  </si>
  <si>
    <t>485a103f-db43-4703-a744-78bde193b85f</t>
  </si>
  <si>
    <t>LOWER WATER OPP KEITHS BREWERY (FRED)</t>
  </si>
  <si>
    <t>80056094-83b4-4e34-b099-8a25b79ee617</t>
  </si>
  <si>
    <t>LACEWOOD DR FS BRAESIDE LANE</t>
  </si>
  <si>
    <t>7dd036e3-a65a-4489-9547-647f12ab88df</t>
  </si>
  <si>
    <t>ROCKY LAKE DR. OPP STORE</t>
  </si>
  <si>
    <t>8381cab2-c109-455d-b7ea-00a1bcc4d83d</t>
  </si>
  <si>
    <t>OXFORD ST &lt;SB&gt; NS YOUNG ST</t>
  </si>
  <si>
    <t>8b78ed37-ada6-4886-8828-2f30a883575d</t>
  </si>
  <si>
    <t>ROCKY LAKE DR. AT STORE</t>
  </si>
  <si>
    <t>fc7e226e-7c77-49d1-adab-4d26e7bec521</t>
  </si>
  <si>
    <t>PARKLAND DR DR FS CIVIC 512</t>
  </si>
  <si>
    <t>e057d372-1fb2-451c-9461-66b22dc13a34</t>
  </si>
  <si>
    <t>SUNRISE NS SHOREVIEW</t>
  </si>
  <si>
    <t>12581f89-1ac3-4a52-b7e0-c40c56de39fc</t>
  </si>
  <si>
    <t>PARKLAND DR DR FS CARLINA</t>
  </si>
  <si>
    <t>65589a0b-6617-499c-a5ad-d4da07818cd2</t>
  </si>
  <si>
    <t>SUNRISE FS WINDROCK</t>
  </si>
  <si>
    <t>8da809de-7835-46d6-9845-9f5dbaad7636</t>
  </si>
  <si>
    <t>PARKLAND DR DR NS HEATHSIDE</t>
  </si>
  <si>
    <t>441acfa2-ca88-40b2-9549-be10e49ccffd</t>
  </si>
  <si>
    <t>SOUTH BATTERY PLAZA</t>
  </si>
  <si>
    <t>9cdd43d2-0545-453d-a973-6f383cd9c40e</t>
  </si>
  <si>
    <t>PARKLAND DR DR FS CIVIC 51 &lt;NB&gt;</t>
  </si>
  <si>
    <t>061cd199-f7df-46a4-afd4-37841658200c</t>
  </si>
  <si>
    <t>SPRING GARDEN RD OPP PARK LANE</t>
  </si>
  <si>
    <t>2e74d413-b22c-4577-ad50-0ec52e89dcee</t>
  </si>
  <si>
    <t>PARKLAND DR DR FS FARNHAM GATE</t>
  </si>
  <si>
    <t>65acc47b-bfd0-4085-9feb-b6e22ab0e238</t>
  </si>
  <si>
    <t xml:space="preserve">HAMMONDS PLAINS RD &lt;AT&gt; CIVIC 69 </t>
  </si>
  <si>
    <t>672bb1bd-d20b-4d76-9019-779fc9d161c8</t>
  </si>
  <si>
    <t>PARKLAND DR DR FS OPP LANGBRAE</t>
  </si>
  <si>
    <t>5b5450b3-9835-4992-b5ea-2d24ba759ef8</t>
  </si>
  <si>
    <t>WOODLAWN RD AT CIVIC 103</t>
  </si>
  <si>
    <t>e26f9337-3695-421a-93c1-8d1ef2a11208</t>
  </si>
  <si>
    <t>PARKLAND DR DR FS OPP CARRINGTON</t>
  </si>
  <si>
    <t>cc1bfecb-3797-4da0-8ae9-7bc56d6fc187</t>
  </si>
  <si>
    <t>WOODLAWN RD AT CIVIC 61</t>
  </si>
  <si>
    <t>41c48931-20f2-45be-920f-630c3c49d512</t>
  </si>
  <si>
    <t>PARKLAND DR DR AT CIVIC 27</t>
  </si>
  <si>
    <t>8fb41818-cc84-4aac-a011-6b4e9d9048ec</t>
  </si>
  <si>
    <t>WOODLAWN RD AT CIVIC 92</t>
  </si>
  <si>
    <t>d5d24f2c-4d87-4af1-925a-aaf35ec56fb5</t>
  </si>
  <si>
    <t>PARKLAND DR DR NS BETHANY &lt;NB&gt;</t>
  </si>
  <si>
    <t>74d7eff9-879a-4615-b4d3-97773b564feb</t>
  </si>
  <si>
    <t>WOODLAWN RD AT CIVIC 14</t>
  </si>
  <si>
    <t>1898a841-b2d8-4d65-9656-721081155b73</t>
  </si>
  <si>
    <t>PARKLAND DR DR NS FARNHAM GATE</t>
  </si>
  <si>
    <t>7a4825d7-b95f-4fbf-8161-effa8949c7a4</t>
  </si>
  <si>
    <t>WOODLAWN RD NS BELLE VISTA DR</t>
  </si>
  <si>
    <t>e4c483ac-2294-4dd2-a4c9-d9eed8263f84</t>
  </si>
  <si>
    <t>PARKLAND DR DR NS LANCASTER &lt;NB&gt;</t>
  </si>
  <si>
    <t>b7f8e69a-d6b0-47e4-ae62-6dd1a8cfd622</t>
  </si>
  <si>
    <t>WOODLAWN RD NS BRUCE ST</t>
  </si>
  <si>
    <t>20673b29-8bb7-432f-96c7-4aefa424153b</t>
  </si>
  <si>
    <t>PARKLAND DR DR NS LANGBRAE DR &lt;NB&gt;</t>
  </si>
  <si>
    <t>d6cf41e3-1106-4d0c-9cae-c9528db0f09a</t>
  </si>
  <si>
    <t>WOODLAWN RD NS ELLENVALE AVE</t>
  </si>
  <si>
    <t>2dc8dd22-19cf-4325-85f5-2a10f8cd2319</t>
  </si>
  <si>
    <t>HORNES RD FS COW BAY RD</t>
  </si>
  <si>
    <t>181ba232-d9a9-4297-917b-9cad48ab87a1</t>
  </si>
  <si>
    <t>WOODLAWN RD  NS MAIN ST</t>
  </si>
  <si>
    <t>5d5c909c-bbe6-48d3-a5ce-51299429408e</t>
  </si>
  <si>
    <t>LUCIEN DR AT CIVIC 62 &lt;SB&gt;</t>
  </si>
  <si>
    <t>60a481b9-dc8c-4540-a421-8dd2c4e6ee11</t>
  </si>
  <si>
    <t>WOODLAWN RD NS MT EDWARD RD</t>
  </si>
  <si>
    <t>2fd6e9f6-e289-4fa6-9574-37c701d0a912</t>
  </si>
  <si>
    <t>MACDONALD AT CIVIC 65</t>
  </si>
  <si>
    <t>8ba67d5e-13cd-472a-b6cd-e5c7b9664065</t>
  </si>
  <si>
    <t>WOODLAWN RD NS PORTLAND ST</t>
  </si>
  <si>
    <t>7c6afce8-94c6-44bd-afb4-581cd4612800</t>
  </si>
  <si>
    <t>COBURG RD &lt;EB&gt; NS HENRY ST</t>
  </si>
  <si>
    <t>9e337b06-30d7-433f-b34a-1c4b20768255</t>
  </si>
  <si>
    <t>WOODLAWN RD NS WOODLAWN TRAILER CT</t>
  </si>
  <si>
    <t>9a3d7618-2cc2-4e05-afe4-03c0ddde4e55</t>
  </si>
  <si>
    <t>COGSWELL ST &lt;WB&gt; FS BRUNSWICK ST</t>
  </si>
  <si>
    <t>d6c8c129-0c71-4cae-9814-009fb949b555</t>
  </si>
  <si>
    <t>WOODLAWN RD  OPP BRUCE ST</t>
  </si>
  <si>
    <t>bb823756-1964-4fa4-bd51-54a10a4299c2</t>
  </si>
  <si>
    <t>COGSWELL ST &lt;WB&gt; FS GOTTINGEN ST</t>
  </si>
  <si>
    <t>dfde4f64-a7db-434d-8717-e1c6f3cc53ab</t>
  </si>
  <si>
    <t>WOODLAWN RD  OPP SPIKENARD ST</t>
  </si>
  <si>
    <t>17cb1762-9ae1-43dc-b06d-2507fb89d661</t>
  </si>
  <si>
    <t>COGSWELL ST &lt;EB&gt; FS ROBIE ST [IB]</t>
  </si>
  <si>
    <t>63e0f50e-eac5-4c6a-b511-052711770d33</t>
  </si>
  <si>
    <t>WOODLAWN RD AT CIVIC 49</t>
  </si>
  <si>
    <t>ff2cbdf8-3256-4bab-b9dd-66504622a3ed</t>
  </si>
  <si>
    <t>COGSWELL ST AT CAN. GAMES PARK &lt;EB&gt;</t>
  </si>
  <si>
    <t>565771ab-7672-49a9-895c-ea3e0a3f3d31</t>
  </si>
  <si>
    <t>COGSWELL ST &lt;EB&gt; NS GOTTINGEN ST</t>
  </si>
  <si>
    <t>589ba8ee-3641-4ab8-8656-dde0625c29ce</t>
  </si>
  <si>
    <t>WOODSIDE TERMINAL (OB/60)</t>
  </si>
  <si>
    <t>42b10d6c-9229-4fc1-b20f-2af7968a9907</t>
  </si>
  <si>
    <t>COGSWELL ST NS NORTH PARK ST &lt;WB&gt;</t>
  </si>
  <si>
    <t>651530b6-381f-4a70-9182-7fbdfe17865c</t>
  </si>
  <si>
    <t>LADY HAMMOND RD OPP MACINTOSH</t>
  </si>
  <si>
    <t>79f16a5c-6b7d-414b-81ea-dfb23c454923</t>
  </si>
  <si>
    <t>COGSWELL ST OPP CAN. GAME PARK &lt;WB&gt;</t>
  </si>
  <si>
    <t>72852d86-ccfe-4505-820f-cb62188bad0f</t>
  </si>
  <si>
    <t>MEADOWBROOK DR OPP PLEASANT ST</t>
  </si>
  <si>
    <t>39df6a8f-de70-442b-9116-b22ad874207d</t>
  </si>
  <si>
    <t>COGSWELL ST OPP MAYNARD ST &lt;EB&gt;</t>
  </si>
  <si>
    <t>c6d9f4f8-832e-4f3a-981a-913fb8c6b3fd</t>
  </si>
  <si>
    <t>MEADOWBROOK DR OPP CIVIC 60</t>
  </si>
  <si>
    <t>24e460d1-558f-4036-87fd-57a63d38fbcf</t>
  </si>
  <si>
    <t>COLBY DR (BT) BECKS &amp; GREENWICH</t>
  </si>
  <si>
    <t>a17ca6b8-7d7b-4375-9b36-5494c680893d</t>
  </si>
  <si>
    <t>MERRIMAC DR FS FOREST HILLS PKWY</t>
  </si>
  <si>
    <t>f1fa7f29-823f-4d84-8cd9-a8d084dcdd15</t>
  </si>
  <si>
    <t>COLBY DR (BT) BRIARLYNN CR</t>
  </si>
  <si>
    <t>0985ec35-b32b-4a57-913b-b28ed62c18e1</t>
  </si>
  <si>
    <t>GOTTINGEN ST NS NORTH ST</t>
  </si>
  <si>
    <t>b5f7226e-e67f-480e-a70a-81bff40b220c</t>
  </si>
  <si>
    <t>COLBY DR FS BELLROYAL CT</t>
  </si>
  <si>
    <t>19ade9f7-1285-46fd-bf87-5a2c6bcda168</t>
  </si>
  <si>
    <t>GOTTINGEN ST NS RUSSELL ST &lt;NB&gt;</t>
  </si>
  <si>
    <t>70c2e24f-9106-400a-a261-306f732662bb</t>
  </si>
  <si>
    <t>COLBY DR FS DELTA DR</t>
  </si>
  <si>
    <t>7aea2db6-7efc-41e7-a8e3-750c5fc870ca</t>
  </si>
  <si>
    <t>GOTTINGEN ST NS RUSSELL ST &lt;SB&gt;</t>
  </si>
  <si>
    <t>7fe38a78-3b0a-4448-ade5-566dd20c66f3</t>
  </si>
  <si>
    <t>COLBY DR NS AUTUMN PL</t>
  </si>
  <si>
    <t>6adadcbf-bbe5-4842-b90c-0fd426a3ba15</t>
  </si>
  <si>
    <t>GOTTINGEN ST OPP BLACK ST &lt;NB&gt;</t>
  </si>
  <si>
    <t>583ca4e5-f07e-4185-bc46-fd856e7c323c</t>
  </si>
  <si>
    <t>COLBY DR NS BALSAM PL</t>
  </si>
  <si>
    <t>f9310191-5073-4498-9569-077e8e787ab4</t>
  </si>
  <si>
    <t>GOTTINGEN ST OPP PRINCE WILLIAM  &lt;SB&gt;</t>
  </si>
  <si>
    <t>41653154-ffeb-40ff-89f7-450cf9425f3e</t>
  </si>
  <si>
    <t>COLBY DR NS BOLING GREEN CR</t>
  </si>
  <si>
    <t>1ce36d85-0909-4279-94e8-11952ff832c7</t>
  </si>
  <si>
    <t>COLBY DR NS CASTLEWOOD DR</t>
  </si>
  <si>
    <t>b85a53be-67c7-4bb6-8ec3-d2874b924a22</t>
  </si>
  <si>
    <t>GOTTINGEN ST OPP SUNRISE MANOR &lt;NB&gt;</t>
  </si>
  <si>
    <t>0cd16c21-2878-49d4-8afb-1b9e6b56ddc2</t>
  </si>
  <si>
    <t>GOTTINGEN ST SB FS CIVIC 2128</t>
  </si>
  <si>
    <t>96f6d1b9-8627-4184-9052-4c6381a1a90b</t>
  </si>
  <si>
    <t>LACEWOOD DR FS RADCLIFFE</t>
  </si>
  <si>
    <t>0e0ece09-6157-435a-a1e1-de91a8fd0631</t>
  </si>
  <si>
    <t>GREGORY DR FS FLYING CLOUD DR</t>
  </si>
  <si>
    <t>575d1aaa-ed3f-4bba-831c-b83a6c381ac6</t>
  </si>
  <si>
    <t>ELLENVALE AVE FS CIVIC 38</t>
  </si>
  <si>
    <t>531dac4e-463f-4377-9140-9e73da94f4a5</t>
  </si>
  <si>
    <t>GREGORY DR AT JOSEPH GILES SCHOOL</t>
  </si>
  <si>
    <t>65444d16-ec45-4ffd-9459-1d7fb89c92e1</t>
  </si>
  <si>
    <t>GREYSTONE DR AT CIVIC 146 [IB]</t>
  </si>
  <si>
    <t>3301ad93-3f0d-42ef-a5f9-21e6c0a17460</t>
  </si>
  <si>
    <t>GREGORY DR NS WILDWOOD BLVD</t>
  </si>
  <si>
    <t>09c45c4f-9c55-4f14-ae98-09dcead47462</t>
  </si>
  <si>
    <t>GREYSTONE DR NS CIVIC 192</t>
  </si>
  <si>
    <t>daab9c92-900c-4ca7-9790-08599fc6c927</t>
  </si>
  <si>
    <t>GREYSTONE DR AT CIVIC 146</t>
  </si>
  <si>
    <t>7a08c31a-c026-4ab5-8378-7c937717f290</t>
  </si>
  <si>
    <t>GREYSTONE DR NS CIVIC 92 [IB]</t>
  </si>
  <si>
    <t>5663e315-313a-4045-be42-f53462237b2c</t>
  </si>
  <si>
    <t>COLBY DR NS CRESTWOOD DR</t>
  </si>
  <si>
    <t>f3aa6006-e16b-437e-8373-0b39f0e58c08</t>
  </si>
  <si>
    <t>GREYSTONE DR NS CRANBERRY CRT</t>
  </si>
  <si>
    <t>0af47b86-897e-4e3e-8111-cfa6b35e4663</t>
  </si>
  <si>
    <t>COLBY DR NS DEERBROOKE DR</t>
  </si>
  <si>
    <t>ff399a2a-8e60-404f-a3be-80e33b3f8e5d</t>
  </si>
  <si>
    <t>GREYSTONE DR [IB] NS CRANBERRY CRT</t>
  </si>
  <si>
    <t>33a08c37-c8fd-444f-848b-8510106b75f7</t>
  </si>
  <si>
    <t>NORTH PRESTON RD AT CIVIC 1032</t>
  </si>
  <si>
    <t>88f9c840-8879-4e38-beb3-05b2188c3e98</t>
  </si>
  <si>
    <t>HAMMONDS PLAINS RD FS YANKEETOWN RD</t>
  </si>
  <si>
    <t>9996d995-ddc4-4ddf-a806-42e90a863e19</t>
  </si>
  <si>
    <t>LAKE MAJOR RD AT CIVIC 137</t>
  </si>
  <si>
    <t>36d04a8b-cb8c-40f9-8c08-a94c0c0dd977</t>
  </si>
  <si>
    <t>HAMMONDS PLAINS RD OPP YANKEETOWN RD</t>
  </si>
  <si>
    <t>985e1c91-f5ae-445a-92d8-4e93da574739</t>
  </si>
  <si>
    <t>LAKE MAJOR RD AT CIVIC 190</t>
  </si>
  <si>
    <t>2759defd-d7cf-4461-89f4-85b049ac19f3</t>
  </si>
  <si>
    <t>HAMMONDS PLAINS RD OPP BROOKSHIRE CRT</t>
  </si>
  <si>
    <t>fc031bf8-1acf-49b3-99a2-ce7b1145558c</t>
  </si>
  <si>
    <t>LAKE MAJOR RD AT CIVIC 237</t>
  </si>
  <si>
    <t>56f18770-789a-4643-a652-0edc43c682d0</t>
  </si>
  <si>
    <t>HAMMONDS PLAINS RD FS BASINVIEW</t>
  </si>
  <si>
    <t>f3d01199-b303-4d7b-9be4-302a0ce658df</t>
  </si>
  <si>
    <t>MILLWOOD DR FS HIGHRIGGER CR</t>
  </si>
  <si>
    <t>24bf7acb-ec4f-4c8f-97dc-c406958bbb9f</t>
  </si>
  <si>
    <t>CHERRY BROOK RD &lt;EB&gt; FS RILEY RD</t>
  </si>
  <si>
    <t>f20ca465-5d78-4506-a345-474ced0f8a1c</t>
  </si>
  <si>
    <t>MILLWOOD DR FS KINDLING CR</t>
  </si>
  <si>
    <t>9a13e0d1-6c8d-4e03-a94f-4c33ec3e0c28</t>
  </si>
  <si>
    <t>CHERRY BROOK RD FS BAPTIST CHURCH</t>
  </si>
  <si>
    <t>dc552bb2-55d0-4425-8008-6a66ca916fe7</t>
  </si>
  <si>
    <t>MILLWOOD DR AT CIVIC 424</t>
  </si>
  <si>
    <t>ad500720-f5f2-459b-a9d6-650d1eacb51b</t>
  </si>
  <si>
    <t>MAIN AVE AT CIVIC 202</t>
  </si>
  <si>
    <t>481c44bc-ae78-4a71-8ffb-bfc5be8d7be3</t>
  </si>
  <si>
    <t>MILLWOOD DR NS BEAVERBANK CROSS</t>
  </si>
  <si>
    <t>4574ffbf-3838-4648-a1f6-ee3210c4b34a</t>
  </si>
  <si>
    <t>MAIN AVE FS MAPLE &lt;EB&gt; TO VICTORIA RD MANOR</t>
  </si>
  <si>
    <t>9a31ac24-acc4-43f6-8f95-3a4d159ce3cc</t>
  </si>
  <si>
    <t>MILLWOOD DR NS BEAVERBANK RD</t>
  </si>
  <si>
    <t>84856a60-870a-4153-8f6d-61441cfeb80b</t>
  </si>
  <si>
    <t>MAIN AVE FS TITUS ST&lt;EB&gt; TO VICTORIA RD MANOR</t>
  </si>
  <si>
    <t>9bf40fb1-71a9-4d8e-a46f-339aece2f6a7</t>
  </si>
  <si>
    <t>MILLWOOD DR NS JACKLADDER DR</t>
  </si>
  <si>
    <t>472d9513-43cf-4011-8691-1301d98b27ba</t>
  </si>
  <si>
    <t>MAIN AVE  FS FORD TO MUMFORD</t>
  </si>
  <si>
    <t>9231c265-5c5b-4688-8d54-269127357d3d</t>
  </si>
  <si>
    <t>MILLWOOD DR NS KINDLING CR</t>
  </si>
  <si>
    <t>6dcd7d39-6d6c-42a3-aa97-bff9d50ddb0b</t>
  </si>
  <si>
    <t>MAIN AVE FS DUNBRACK ST</t>
  </si>
  <si>
    <t>8b28c183-83e3-4ca2-a25b-5b912f83b99d</t>
  </si>
  <si>
    <t>MILLWOOD DR NS OPP CROSSROADS</t>
  </si>
  <si>
    <t>f42e62fe-379b-4070-b397-bd6548762a14</t>
  </si>
  <si>
    <t>MAIN AVE  FS FORD TO VIC MANOR</t>
  </si>
  <si>
    <t>4d06b4cc-7b9f-437b-b619-c2266be7ef01</t>
  </si>
  <si>
    <t>GASTON RD FS REGENCY DR</t>
  </si>
  <si>
    <t>5de4fcae-6c47-4422-8d1f-95924d56ea29</t>
  </si>
  <si>
    <t>MAIN AVE FS HILLCREST</t>
  </si>
  <si>
    <t>db76beca-0e1c-46b9-8aea-0576d4996bd0</t>
  </si>
  <si>
    <t>GASTON RD AT CIVIC 103</t>
  </si>
  <si>
    <t>279c7535-bf80-4a48-8bf3-7174999320b4</t>
  </si>
  <si>
    <t>MAIN AVE FS MAPLE &lt;EB&gt; TO MUMFORD</t>
  </si>
  <si>
    <t>417e751c-efbb-4ebc-ac31-0f200a07d061</t>
  </si>
  <si>
    <t>GASTON RD AT CIVIC 76</t>
  </si>
  <si>
    <t>a81f18f7-f6e1-4845-9987-209d80eee93e</t>
  </si>
  <si>
    <t>MAIN AVE FS TITUS ST&lt;EB&gt; TO MUMFORD</t>
  </si>
  <si>
    <t>2bf644a0-3966-4bb8-a316-5cebad8af8d4</t>
  </si>
  <si>
    <t>GASTON RD AT CIVIC 96</t>
  </si>
  <si>
    <t>dcf7c58a-9e89-4bdf-8571-718c127b32e5</t>
  </si>
  <si>
    <t>MAIN AVE AT SENIORS MANOR</t>
  </si>
  <si>
    <t>c9fe4385-8441-4f3d-8653-51ad91d4ffcc</t>
  </si>
  <si>
    <t>GASTON RD NS CIVIC 77</t>
  </si>
  <si>
    <t>171ab308-842b-4668-94fb-a94521849f3b</t>
  </si>
  <si>
    <t>MAIN AVE NS BORDEN &lt;EB&gt;</t>
  </si>
  <si>
    <t>b86fb2e9-5a74-4e6b-8d8e-e977b5a74a46</t>
  </si>
  <si>
    <t>GASTON RD NS GALAXY AVE</t>
  </si>
  <si>
    <t>3ffa4c43-da69-45f9-9613-8da4b8752148</t>
  </si>
  <si>
    <t>MAIN AVE NS FAIRVIEW OVERPASS</t>
  </si>
  <si>
    <t>8998456a-cc9e-4b6f-99fb-f6d513fe1d82</t>
  </si>
  <si>
    <t>GASTON RD NS MARILYN DR</t>
  </si>
  <si>
    <t>16372f24-686e-48fe-9fb2-ae1bcc6eee50</t>
  </si>
  <si>
    <t>MAIN AVE NS GEBHARDT ST</t>
  </si>
  <si>
    <t>7d0b4b7c-f365-491f-905f-48f442deff3e</t>
  </si>
  <si>
    <t>GASTON RD OPP CLEARY DR</t>
  </si>
  <si>
    <t>04e98f2b-6500-4454-a6f3-b005e31f77dc</t>
  </si>
  <si>
    <t>WILDWOOD BLVD AT CIVIC 83</t>
  </si>
  <si>
    <t>8431743a-0410-422d-9e9d-8b42b7404e3a</t>
  </si>
  <si>
    <t>GASTON RD FS PORTLAND ST</t>
  </si>
  <si>
    <t>9b27f4e9-6e92-49f2-8c0e-5e1a8adc95d9</t>
  </si>
  <si>
    <t>WILDWOOD BLVD NS CIVIC 108</t>
  </si>
  <si>
    <t>ccdc188d-d7c9-4cae-882b-764f5256e884</t>
  </si>
  <si>
    <t>GEORGE ST FS GRANVILLE ST</t>
  </si>
  <si>
    <t>2a2aa551-b2ff-4756-b9e7-3436f17da07c</t>
  </si>
  <si>
    <t>WILDWOOD BLVD NS GREGORY DR</t>
  </si>
  <si>
    <t>1179c91f-80ce-4add-a1bb-50eef14cee75</t>
  </si>
  <si>
    <t>GLEBE ST AT CIVIC 5413</t>
  </si>
  <si>
    <t>ad949673-6a00-44c0-ab24-9172ea624e5d</t>
  </si>
  <si>
    <t>ATLANTIC ST FS PLEASANT ST (IB/60)</t>
  </si>
  <si>
    <t>4c904f9a-ab41-4e47-b9fa-048595edb7a9</t>
  </si>
  <si>
    <t>AUBURN DR FS CIVIC 14</t>
  </si>
  <si>
    <t>8cdfd400-4293-4816-81aa-afdc1f81f41c</t>
  </si>
  <si>
    <t>GLEN MANOR DR FS MIC MAC BLVD</t>
  </si>
  <si>
    <t>9a5814ea-29d9-4a94-9a3c-224f314e84b2</t>
  </si>
  <si>
    <t>AUBURN DR FS FOREST HILLS PKWY</t>
  </si>
  <si>
    <t>abf57627-3b5b-454b-be02-c096f99403c9</t>
  </si>
  <si>
    <t>GLEN MANOR DR NS MIC MAC BLVD</t>
  </si>
  <si>
    <t>63ea44ae-658f-4365-8a2d-0630be9b2be0</t>
  </si>
  <si>
    <t>ELLENVALE AVE FS SPRING AVE</t>
  </si>
  <si>
    <t>0acf8a95-26a6-479a-8eed-80aa8c67dcf7</t>
  </si>
  <si>
    <t>GLENDALE DROPP SMOKEY DR</t>
  </si>
  <si>
    <t>44bed2f8-8fa8-4447-a433-f0e4b3236098</t>
  </si>
  <si>
    <t>ELLENVALE AVE FS WALTDALE DR</t>
  </si>
  <si>
    <t>f1e4528c-1418-4387-bedf-19aee97e20cc</t>
  </si>
  <si>
    <t>GLENDALE DR FS CHANDLER DR</t>
  </si>
  <si>
    <t>79bee789-235e-473d-b7f7-a08924bd2790</t>
  </si>
  <si>
    <t>ELLENVALE AVE AT CIVIC 20</t>
  </si>
  <si>
    <t>e9dab23d-2cda-4a18-a0c4-654a9528bac2</t>
  </si>
  <si>
    <t>GLENDALE DR FS COBEQUID RD</t>
  </si>
  <si>
    <t>1cd81d86-e353-4659-8705-18dba02a3e40</t>
  </si>
  <si>
    <t>ELLENVALE AVE NS ALBERTA ST</t>
  </si>
  <si>
    <t>10fd1b15-2d2c-49fa-a6f6-2949c9dcc89b</t>
  </si>
  <si>
    <t>ELLENVALE AVE NS SPRING AVE</t>
  </si>
  <si>
    <t>9c70acaa-f288-4c51-94ae-125d9262640d</t>
  </si>
  <si>
    <t>GLENDALE DR FS MACDOUGALL AVE</t>
  </si>
  <si>
    <t>fee1f0fd-4514-46b2-9ff4-2a03fe93394c</t>
  </si>
  <si>
    <t>ENDEAVOUR DR FS BAFFIN BLVD</t>
  </si>
  <si>
    <t>2604bb1c-86e5-41fa-bfd6-f6dce45b2658</t>
  </si>
  <si>
    <t>GLENDALE DR FS MAGEE DR</t>
  </si>
  <si>
    <t>abb24264-18be-409c-a2b5-c5b1d4bb0afc</t>
  </si>
  <si>
    <t>EISENER BLVD NS CINEMAS</t>
  </si>
  <si>
    <t>53098e74-6718-4b00-8886-210a758ecb82</t>
  </si>
  <si>
    <t>ST MARGARETS BAY RD OPP LAKESIDE IND PARK ENTRANCE</t>
  </si>
  <si>
    <t>ed9949e4-d57b-49a8-8901-6976243cc396</t>
  </si>
  <si>
    <t>ST MARGARETS BAY RD OPP NS CIVIC 1025</t>
  </si>
  <si>
    <t>908fa673-eaae-409d-a9e4-bcfadefb0e20</t>
  </si>
  <si>
    <t>EVERETTE ST FS PLEASANT ST</t>
  </si>
  <si>
    <t>747a9738-9972-410d-b569-4fc7a0166a19</t>
  </si>
  <si>
    <t>ST MARGARETS BAY RD FS JAMES ST</t>
  </si>
  <si>
    <t>18a73785-562b-417e-a443-183948e448ac</t>
  </si>
  <si>
    <t>EILEEN STUBBS AVE OPP CIVIC 100 [OB]</t>
  </si>
  <si>
    <t>81b99249-1ab4-441f-81e3-9688b8168fa2</t>
  </si>
  <si>
    <t>BAYERS RD &lt;EB&gt; NS WINDSOR ST</t>
  </si>
  <si>
    <t>09d81cfa-fe0a-4259-8c7e-b9dfc4ad5053</t>
  </si>
  <si>
    <t>EILEEN STUBBS AVE NS OPP CIVIC 100 TO SACKVILLE</t>
  </si>
  <si>
    <t>6bbb5477-a5c5-43fb-bf77-e260264a07bc</t>
  </si>
  <si>
    <t>BAYERS RD FS WINDSOR ST</t>
  </si>
  <si>
    <t>cdf8af40-368d-49a1-9240-e7f21cd64be7</t>
  </si>
  <si>
    <t>FAIRVIEW OVERPASS NS WINDSOR ST</t>
  </si>
  <si>
    <t>97d8911a-d3dc-4ca3-bf8b-300893a2cc57</t>
  </si>
  <si>
    <t>BAYERS RD &lt;EB&gt; NS COLEMAN CT</t>
  </si>
  <si>
    <t>2a14e543-515f-4367-82dc-fb40a02f1881</t>
  </si>
  <si>
    <t>FAIRVIEW OVERPASS FS MAIN AVE</t>
  </si>
  <si>
    <t>caa93479-dffa-41df-9c51-27354a72786b</t>
  </si>
  <si>
    <t>BAYERS RD  &lt;WB&gt; AT BRSC</t>
  </si>
  <si>
    <t>98a821a0-519d-4284-92cc-01fa8af1304c</t>
  </si>
  <si>
    <t>FARNHAM GATE FS DUNBRACK ST</t>
  </si>
  <si>
    <t>cec39e65-445d-4e3a-9b22-983fe6295ed2</t>
  </si>
  <si>
    <t>BAYERS RD &lt;EB&gt; FS OXFORD ST</t>
  </si>
  <si>
    <t>00ed858e-99e2-47f9-b712-b846499d2e03</t>
  </si>
  <si>
    <t>1aec4a78-5c9b-459d-b20b-7b86f5f12f76</t>
  </si>
  <si>
    <t>BAYERS RD &lt;WB&gt; NS OXFORD ST</t>
  </si>
  <si>
    <t>d9de4b2f-ac0f-430b-8956-fe3df32baad8</t>
  </si>
  <si>
    <t>FARNHAM GATE FS OPP LANDSDOWNE dr</t>
  </si>
  <si>
    <t>ea8ac73f-66a5-4df3-b5ec-6e68349190e1</t>
  </si>
  <si>
    <t>MILLWOOD DR NS OPP JACKLADDER</t>
  </si>
  <si>
    <t>6f26a1a1-0f62-4502-8047-50d8215edcd5</t>
  </si>
  <si>
    <t>FARNHAM GATE  NS CHELTON WOODS LN</t>
  </si>
  <si>
    <t>1b103419-e0a9-44da-8562-709847968356</t>
  </si>
  <si>
    <t>FARNHAM GATE NS CIVIC 220</t>
  </si>
  <si>
    <t>c8223f84-560c-43b6-a72a-ad59cb79726a</t>
  </si>
  <si>
    <t>MT EDWARD RD AT CIVIC 15</t>
  </si>
  <si>
    <t>11dc5a7b-4f65-4277-a09a-5c3058977af2</t>
  </si>
  <si>
    <t>FARNHAM GATE NS GLENBOURNE ct</t>
  </si>
  <si>
    <t>93e48e39-ea68-4423-bed0-16cc4afe590d</t>
  </si>
  <si>
    <t>MILLWOOD DR OPP BEAVERBANK CROSS RD</t>
  </si>
  <si>
    <t>3dc7db58-9bec-47d1-90f2-5e96e6128f73</t>
  </si>
  <si>
    <t>FARNHAM GATE  NS LANDSDOWNE DR</t>
  </si>
  <si>
    <t>5bd90df2-b4b0-416d-b5da-7aad9bbdcf5c</t>
  </si>
  <si>
    <t>MILLWOOD DR OPP CIVIC 144</t>
  </si>
  <si>
    <t>ab14fd9b-9f98-4a64-92f7-666c7026f34a</t>
  </si>
  <si>
    <t>FARNHAM GATE NS LANDSDOWNE DR</t>
  </si>
  <si>
    <t>4f45614c-6188-40fe-a76c-46f3f951fb57</t>
  </si>
  <si>
    <t>MILLWOOD DR OPP CIVIC 424</t>
  </si>
  <si>
    <t>40f7e82b-a8a7-4444-a3c4-7172a49caee2</t>
  </si>
  <si>
    <t>FARNHAM GATE NS REDFERN TERR</t>
  </si>
  <si>
    <t>62c19f7c-db62-4458-8b2f-a1c95c90ba63</t>
  </si>
  <si>
    <t>MILLWOOD DR OPP CIVIC 55</t>
  </si>
  <si>
    <t>db8fc2b2-812b-4bce-80ac-46270a2807f3</t>
  </si>
  <si>
    <t>FARNHAM GATE  AT CIVIC 185</t>
  </si>
  <si>
    <t>372b3c46-5ff1-491c-8fff-01cb7915fba2</t>
  </si>
  <si>
    <t>MILLWOOD DR OPP NS ROSSING DR</t>
  </si>
  <si>
    <t>f133b9c6-19c2-4480-8bb2-d87c499918fd</t>
  </si>
  <si>
    <t>FARNHAM GATE NS FARNHAM CT</t>
  </si>
  <si>
    <t>ef37e30f-86ba-4b04-9c52-f332078f59dd</t>
  </si>
  <si>
    <t>MILSOM NS ARLINGTON AVE</t>
  </si>
  <si>
    <t>8860f09a-7b9d-49e3-bd88-9fde4fc4ff49</t>
  </si>
  <si>
    <t>MONTAGUE RD FS HWY #107</t>
  </si>
  <si>
    <t>c06f6d70-44ed-4d42-8cfc-129e2b56e4f0</t>
  </si>
  <si>
    <t>FARNHAM GATE FS ASTER CT</t>
  </si>
  <si>
    <t>e2d4a21e-ca3d-4423-aa31-e217a539983e</t>
  </si>
  <si>
    <t>MONTAGUE RD NS SERPENTINE AVE</t>
  </si>
  <si>
    <t>b143ee50-31ac-4d97-b5ce-2fca3f715b08</t>
  </si>
  <si>
    <t>FENWOOD RD FS ST MARGARETS BAY RD</t>
  </si>
  <si>
    <t>fe28c524-0588-4e4b-881f-1c4d24bd2942</t>
  </si>
  <si>
    <t>MONTAGUE RD OPP CIVIC 54</t>
  </si>
  <si>
    <t>1c082211-9ded-4553-bc98-25d7ca387c7e</t>
  </si>
  <si>
    <t>HERITAGE HILLS DR AT CIVIC 6</t>
  </si>
  <si>
    <t>bc2518f1-24fb-427e-8f52-f3eb26a6cc3e</t>
  </si>
  <si>
    <t>MONTAGUE RD NS GANDER AVE</t>
  </si>
  <si>
    <t>6bede51b-81fe-48d2-9f11-67b637087496</t>
  </si>
  <si>
    <t>COW BAY RD AT CIVIC 386</t>
  </si>
  <si>
    <t>64f95745-b261-4815-8bfe-deb1579f0f85</t>
  </si>
  <si>
    <t>MORRIS ST AT SPENCER HOUSE</t>
  </si>
  <si>
    <t>97ada53d-5f91-4b7c-940a-179c56095118</t>
  </si>
  <si>
    <t>COW BAY RD FS CALDWELL RD</t>
  </si>
  <si>
    <t>e8934112-cc5e-48bc-a4da-d9bebb65a578</t>
  </si>
  <si>
    <t>MORRIS ST NS BIRMINGHAM ST</t>
  </si>
  <si>
    <t>b8650250-3491-4752-956a-ca523bf73670</t>
  </si>
  <si>
    <t>COW BAY RD NS CIVIC 254</t>
  </si>
  <si>
    <t>7d7354d7-6389-4745-bb3f-c1f4fbd8bce6</t>
  </si>
  <si>
    <t>MOSHER DR AT CIVIC 31</t>
  </si>
  <si>
    <t>bbc6613d-f245-4467-93f3-d31edeb02d14</t>
  </si>
  <si>
    <t>ROSEDALE AVE FS CIVIC 10</t>
  </si>
  <si>
    <t>af0ecb2d-9f53-47fa-9b16-6bdb163ca7a6</t>
  </si>
  <si>
    <t>MOSHER DR NS AKERLEY BLVD</t>
  </si>
  <si>
    <t>64103c0a-3be2-449d-bf6d-45fe1364ec79</t>
  </si>
  <si>
    <t>COW BAY RD NS CIVIC 194</t>
  </si>
  <si>
    <t>91df7401-5494-4056-98ec-3d92d39fe4c9</t>
  </si>
  <si>
    <t>MOSHER DR  NS GURHOLT DR</t>
  </si>
  <si>
    <t>a9a1933b-cc09-4cee-ba58-7875c6e556ce</t>
  </si>
  <si>
    <t>COW BAY RD NS HORNES RD</t>
  </si>
  <si>
    <t>09282a13-53ec-4c17-af19-a2369cea37b3</t>
  </si>
  <si>
    <t>COW BAY RD FS CIVIC 36</t>
  </si>
  <si>
    <t>423c651a-ee68-4fdb-a6f0-2f30d3d67be4</t>
  </si>
  <si>
    <t>MOUNTAIN AVE AT CIVIC 10</t>
  </si>
  <si>
    <t>f19ea405-9104-45df-9112-d3b04305f237</t>
  </si>
  <si>
    <t>SPRING AVE FS CLYSDALE</t>
  </si>
  <si>
    <t>8eca296c-197e-4977-9406-85073dfed411</t>
  </si>
  <si>
    <t>MOUNTAIN AVE AT CIVIC 30</t>
  </si>
  <si>
    <t>278a11b6-1319-421a-ae40-e06415f14607</t>
  </si>
  <si>
    <t>DUKE ST CIVIC 21</t>
  </si>
  <si>
    <t>c8966cc8-5622-49b5-8386-5b84382da46c</t>
  </si>
  <si>
    <t>MOUNTAIN AVE AT CIVIC 29C</t>
  </si>
  <si>
    <t>c695916c-5ac5-4f24-acf6-e6588f4eb70a</t>
  </si>
  <si>
    <t>DUKE ST NS ESTATES RD</t>
  </si>
  <si>
    <t>19619bb6-0314-4a65-9822-040505f17a44</t>
  </si>
  <si>
    <t>MOUNTAIN AVE AT CIVIC 57</t>
  </si>
  <si>
    <t>0201b9fa-bc59-4e65-815c-e05629c45cf1</t>
  </si>
  <si>
    <t>COBEQUID RD NS OPP HILLSIDE TO SACKVILLE TERMINAL</t>
  </si>
  <si>
    <t>1eb350bc-270d-46f9-81c1-6ddf90d1082c</t>
  </si>
  <si>
    <t>MOUNTAIN AVE OPP  WITHROD DR</t>
  </si>
  <si>
    <t>cad5a656-ed93-4696-affb-e509365ef1ce</t>
  </si>
  <si>
    <t>ALMA CR  NS TITUS ST TO VICTORIA MANOR</t>
  </si>
  <si>
    <t>bf6c75f9-4707-4269-8e3a-703c6a9bb48e</t>
  </si>
  <si>
    <t>MT EDWARD RD AT CIVIC 84</t>
  </si>
  <si>
    <t>a5d0b417-e9a8-4c71-bcff-b9d6d25537e0</t>
  </si>
  <si>
    <t>COBEQUID RD NS CIVIC 160 TO SACKVILLE TERMINAL</t>
  </si>
  <si>
    <t>a0e651d5-e257-4911-9dc2-91ba47168789</t>
  </si>
  <si>
    <t>MT EDWARD RD FS CIVIC 115</t>
  </si>
  <si>
    <t>01457bae-64d0-45ee-b994-5d819eb7b6d9</t>
  </si>
  <si>
    <t>MT EDWARD RD FS CIVIC 89</t>
  </si>
  <si>
    <t>06c7d28c-6b97-4c1e-b4ad-3431c3a41c13</t>
  </si>
  <si>
    <t>COBEQUID RD NS CIVIC 112 TO SACKVILLE TERMINAL</t>
  </si>
  <si>
    <t>19666ace-c354-42b3-80ee-b8ab0395bc9a</t>
  </si>
  <si>
    <t>MT EDWARD RD FS CRANBERRY CR</t>
  </si>
  <si>
    <t>12d45caf-f83a-431c-8123-35f653b64edd</t>
  </si>
  <si>
    <t>COBEQUID RD FS RAMP EXIT TO SACKVILLE TERMINAL</t>
  </si>
  <si>
    <t>32e4137f-e70f-40c7-b8e6-7c2baf03b51d</t>
  </si>
  <si>
    <t>GOTTINGEN ST AT SUNRISE MANOR &lt;SB&gt;</t>
  </si>
  <si>
    <t>b67ba495-754d-4bfe-ad22-9add80d504e9</t>
  </si>
  <si>
    <t>COBEQUID RD FS ZINCK TO SACKVILLE TERMINAL</t>
  </si>
  <si>
    <t>3e1b7270-6e0b-420b-a26c-b4abaa0110ba</t>
  </si>
  <si>
    <t>GOTTINGEN ST NS AHERN MANOR &lt;EB&gt;</t>
  </si>
  <si>
    <t>7400fe60-32a5-428f-9451-40af3f9b147d</t>
  </si>
  <si>
    <t>GESNER AT FAIRVIEW JUNIOR HIGH</t>
  </si>
  <si>
    <t>8b192394-fae6-4cf5-86d9-884552e0e546</t>
  </si>
  <si>
    <t>GOTTINGEN ST &lt;FS&gt; ALMON ST</t>
  </si>
  <si>
    <t>61d8d2ba-5ed7-45ee-bb3f-00ad8bfe41b5</t>
  </si>
  <si>
    <t>SACKVILLE DR FS CIVIC 1815</t>
  </si>
  <si>
    <t>1d5b959d-46d2-4176-9c3d-17041efd07af</t>
  </si>
  <si>
    <t>GOTTINGEN ST NS BLACK ST &lt;SB&gt;</t>
  </si>
  <si>
    <t>6b87ea19-7bbc-45c9-9f29-17fe01101c80</t>
  </si>
  <si>
    <t>ASTRAL JR HIGH SCHOOL (GREENWICH ST)</t>
  </si>
  <si>
    <t>51029a9a-ec13-4b33-a342-45d1cd1ba37f</t>
  </si>
  <si>
    <t>MT EDWARD RD AT CIVIC 16</t>
  </si>
  <si>
    <t>fc8672f5-1023-4be4-b3d8-0fcde23c91f8</t>
  </si>
  <si>
    <t>HALIFAX WEST HIGH SCHOOL</t>
  </si>
  <si>
    <t>2bacb5bb-800e-47b7-85bf-ad0a756b31d8</t>
  </si>
  <si>
    <t>MT EDWARD RD NS CIVIC 195</t>
  </si>
  <si>
    <t>0bfa5f96-2366-4ae9-980a-c1eeb555ea87</t>
  </si>
  <si>
    <t>KEARNY LAKE RD OPP ST PETERS CHURCH</t>
  </si>
  <si>
    <t>cda7ff77-0e04-4ac4-9070-ee0fbe098485</t>
  </si>
  <si>
    <t>MT EDWARD RD NS CIVIC 58</t>
  </si>
  <si>
    <t>b3e51bec-9fa3-4710-8de4-18aa3f45a4ec</t>
  </si>
  <si>
    <t>CLAYTON PARK JUNIOR HIGH</t>
  </si>
  <si>
    <t>7be33f68-924b-44b8-a2e2-e0c868829d86</t>
  </si>
  <si>
    <t>THORNHILL DR AT THORNHILL  GARAGE</t>
  </si>
  <si>
    <t>1eff9f6a-5b6d-49a2-9f02-279ad2dc262f</t>
  </si>
  <si>
    <t>GLENDALE DR NS METROPOLITAN AVE</t>
  </si>
  <si>
    <t>717dc67c-3e14-4a2d-9d5a-620e2bbb6718</t>
  </si>
  <si>
    <t>PIER 21 (FRED)</t>
  </si>
  <si>
    <t>1ee23f15-3279-43f4-8e11-48641c436e79</t>
  </si>
  <si>
    <t>8917a661-8dd8-4fbf-aef9-202834d57aea</t>
  </si>
  <si>
    <t>CUNARD JR HIGH</t>
  </si>
  <si>
    <t>76ede5bd-1c34-44c3-a286-5d961779f6fd</t>
  </si>
  <si>
    <t>GLENDALE DR NS OLD BEAVERBANK RD</t>
  </si>
  <si>
    <t>20dd7ee5-0ded-4a59-a267-b0de4e136ad9</t>
  </si>
  <si>
    <t>FENWOOD RD AT CIVIC 23</t>
  </si>
  <si>
    <t>c25d9f0a-1e56-486c-8564-1e6457ccf67e</t>
  </si>
  <si>
    <t>GLENDALE DR NS PINEHILL DR</t>
  </si>
  <si>
    <t>9eb604d8-2c5e-4974-8493-51e02fddc6ba</t>
  </si>
  <si>
    <t>FENWOOD RD NS EDGEHILL RD</t>
  </si>
  <si>
    <t>de40e648-f806-47d0-8917-985d2a0683d7</t>
  </si>
  <si>
    <t>GLENDALE DR NS RIVERSIDE DR</t>
  </si>
  <si>
    <t>9e3bfbcb-5710-4d0b-bb8f-cfd9fcd3afad</t>
  </si>
  <si>
    <t>GLENDALE DR OPP RANKIN DR</t>
  </si>
  <si>
    <t>cec5e68f-98e5-4530-a6ee-94eeb04c580d</t>
  </si>
  <si>
    <t>GLENFOREST DR FS WILLET ST</t>
  </si>
  <si>
    <t>6effde59-c1f7-4a65-abaa-dc3cdd21ffe6</t>
  </si>
  <si>
    <t>FHP FS WOODBURY APT</t>
  </si>
  <si>
    <t>9fe75711-2758-48e9-8dba-390ade0d540f</t>
  </si>
  <si>
    <t>GLENFOREST DR FS OPP EVANS AVE</t>
  </si>
  <si>
    <t>4addf3bd-bebc-4f02-b81c-f1fa6e636817</t>
  </si>
  <si>
    <t>FHP FS CIRCASSION DR</t>
  </si>
  <si>
    <t>097159ed-3558-4627-ac0f-12e2802d1485</t>
  </si>
  <si>
    <t>GLENFOREST DR NS EVANS AVE</t>
  </si>
  <si>
    <t>f410eb05-f681-4de4-b502-8fcf5bc371d9</t>
  </si>
  <si>
    <t>GLENFOREST DR NS HILLWOOD CR</t>
  </si>
  <si>
    <t>852c53bd-220e-4f80-a0ad-94950815bd94</t>
  </si>
  <si>
    <t>FHP NS 2ND CHAMEAU CR</t>
  </si>
  <si>
    <t>a185aded-ee52-44e0-9ba6-adf8445dabc1</t>
  </si>
  <si>
    <t>GLENFOREST DR NS SOUTHILL DR</t>
  </si>
  <si>
    <t>f7d476ba-9a57-4316-bec3-e75d08fdc3c6</t>
  </si>
  <si>
    <t>FHP FS SHOPPING CNTR</t>
  </si>
  <si>
    <t>6e4c68b8-c97c-46be-8814-d062e8628165</t>
  </si>
  <si>
    <t>GLENFOREST DR OPP SOUTHILL DR</t>
  </si>
  <si>
    <t>7c005c13-1159-4eb4-86eb-ba1852164faa</t>
  </si>
  <si>
    <t>FHP AT BELL ANNEX</t>
  </si>
  <si>
    <t>30a72bb7-ef65-45df-a068-6e3149467920</t>
  </si>
  <si>
    <t>GLORIA MCCLUSKEY AVE FS AKERLEY BLVD</t>
  </si>
  <si>
    <t>57e192d9-9f90-4360-b711-702e9625d366</t>
  </si>
  <si>
    <t>FHP AT COLE HARBOUR PLACE</t>
  </si>
  <si>
    <t>ad0ca442-e90c-4445-8f25-b1ae88c2d7ff</t>
  </si>
  <si>
    <t>GLORIA MCCLUSKEY AVE FS CIVIC 80</t>
  </si>
  <si>
    <t>57bd5c88-222a-4e09-ba90-50d4e8e9cf8c</t>
  </si>
  <si>
    <t>FHP NS CIRCASSION DR</t>
  </si>
  <si>
    <t>00b2af73-4358-422f-a24b-d73bc05f4143</t>
  </si>
  <si>
    <t>GLORIA MCCLUSKEY AVE NS COLFORD AVE</t>
  </si>
  <si>
    <t>3cbf4c36-d147-46be-8bc5-52fe345cce7e</t>
  </si>
  <si>
    <t>FHP OPP COLE HARBOUR PLACE</t>
  </si>
  <si>
    <t>20cab0d4-4319-4f66-a920-7e1242fb239e</t>
  </si>
  <si>
    <t>GOTTINGEN ST &lt;NS&gt; BILBY ST</t>
  </si>
  <si>
    <t>31b30d53-2516-4cb8-ab99-76e5b487d53c</t>
  </si>
  <si>
    <t>FIELDING DR FS MOORE RD</t>
  </si>
  <si>
    <t>73acf67f-5e03-4550-9f4d-8742ee0d8893</t>
  </si>
  <si>
    <t>FIELDING DR FS WRIGHT AVE</t>
  </si>
  <si>
    <t>264dd94d-8f9d-420b-96c4-01380e6228c3</t>
  </si>
  <si>
    <t>GLENDALE DR FS METROPOLITAN AVE</t>
  </si>
  <si>
    <t>9ae17b44-dcd1-40ed-ab2d-e78754b10ea8</t>
  </si>
  <si>
    <t>FIELDING DR AT CIVIC 15</t>
  </si>
  <si>
    <t>4209ab89-427b-4fc7-a6c9-c7b96d4fa636</t>
  </si>
  <si>
    <t>ddfe4fba-5bc9-4d94-ae0e-7d990cc3db68</t>
  </si>
  <si>
    <t>FIELDING DR NS AKERLEY BLVD</t>
  </si>
  <si>
    <t>6a04af2c-cc18-4f63-b115-454b5b505872</t>
  </si>
  <si>
    <t>GLENDALE DR FS PINEHILL DR</t>
  </si>
  <si>
    <t>9f28f203-191a-4cd4-a160-0ff648e685e0</t>
  </si>
  <si>
    <t>FIELDING DR NS MOORE RD</t>
  </si>
  <si>
    <t>f9c45eff-1410-477a-8c53-37a598d9dc9b</t>
  </si>
  <si>
    <t>GLENDALE DR FS RANKIN DR</t>
  </si>
  <si>
    <t>a48e4023-2b22-44d2-8fe0-bbe3fe69bb8e</t>
  </si>
  <si>
    <t>FIELDING DR NS WRIGHT AVE</t>
  </si>
  <si>
    <t>1424d31a-dc00-4f8b-a17d-90fdf5ecae05</t>
  </si>
  <si>
    <t>GLENDALE DR FS RIVERSIDE DR</t>
  </si>
  <si>
    <t>610898e6-af44-4a2e-849a-0222b495fe29</t>
  </si>
  <si>
    <t>FIELDING DR AT CIVIC 12</t>
  </si>
  <si>
    <t>9c05ff87-44b2-482a-81c0-056a04223b6e</t>
  </si>
  <si>
    <t>GLENDALE DR FS SMOKEY DR</t>
  </si>
  <si>
    <t>19e6db08-cfd1-4ba3-b312-61a338ff58c0</t>
  </si>
  <si>
    <t>FIRST LAKE DR FS CABOT CR</t>
  </si>
  <si>
    <t>08056c2b-85aa-4551-943a-6712dd9efd32</t>
  </si>
  <si>
    <t>GLENDALE DR NS BEAVERBANK RD</t>
  </si>
  <si>
    <t>d634192b-472f-497d-a359-d4a2dde97eaa</t>
  </si>
  <si>
    <t>FIRST LAKE DR FS CIVIC 373</t>
  </si>
  <si>
    <t>667360bd-a466-415c-8a11-c652bf8947ae</t>
  </si>
  <si>
    <t>GLENDALE DR NS CHANDLER DR</t>
  </si>
  <si>
    <t>9b7c631d-393e-4cbe-aa2d-bda08f4d6f64</t>
  </si>
  <si>
    <t>FIRST LAKE DR FS COBEQUID RD</t>
  </si>
  <si>
    <t>0a0f599f-3f4e-4324-ae5f-b88e4bacc1a9</t>
  </si>
  <si>
    <t>GLENDALE DR NS COBEQUID RD</t>
  </si>
  <si>
    <t>76fd4207-5389-4129-a509-5495381cb8c5</t>
  </si>
  <si>
    <t>GLENDALE DR NS MACDOUGALL AVE</t>
  </si>
  <si>
    <t>a5d7483a-0eb2-41e1-b28a-135950557f05</t>
  </si>
  <si>
    <t>FIRST LAKE DR FS LAKEHEAD CT</t>
  </si>
  <si>
    <t>e49eee54-25e4-463b-b868-577bc0b7ea08</t>
  </si>
  <si>
    <t>GLENDALE DR NS MAGEE DR</t>
  </si>
  <si>
    <t>692c86d9-9d3a-48e9-9d99-022320f45ede</t>
  </si>
  <si>
    <t>FIRST LAKE DR FS ST.FRANCIS</t>
  </si>
  <si>
    <t>23b733a3-e6e9-42aa-b872-eb80f3634d22</t>
  </si>
  <si>
    <t>CALDWELL RD NS COLE HARBOUR RD</t>
  </si>
  <si>
    <t>f946bccf-5642-4d57-8821-074be385a100</t>
  </si>
  <si>
    <t>FIRST LAKE DR FS OPP QUAKER CR</t>
  </si>
  <si>
    <t>d2f5fa55-5aab-4784-81b6-2189bfd34e9d</t>
  </si>
  <si>
    <t>CALDWELL RD AT CIVIC 307</t>
  </si>
  <si>
    <t>fe282f16-ff5a-4886-b92b-5a27c0728996</t>
  </si>
  <si>
    <t>FIRST LAKE DR NS CABOT CR</t>
  </si>
  <si>
    <t>8dd9cc1d-49be-441a-ac43-1f503218720c</t>
  </si>
  <si>
    <t>CALDWELL RD NS CIVIC 61</t>
  </si>
  <si>
    <t>cb74053a-5654-4ff8-98c9-09b891280aa7</t>
  </si>
  <si>
    <t>FIRST LAKE DR NS CAVENDISH DR</t>
  </si>
  <si>
    <t>6e117fd2-d5b4-4e61-b691-d209d953bb44</t>
  </si>
  <si>
    <t>CALDWELL RD AT CIVIC 692</t>
  </si>
  <si>
    <t>3242d316-4bfa-4d31-82f6-fdbcdf8fa2f3</t>
  </si>
  <si>
    <t>fc80bcc8-3ff0-4282-99cb-3746c8267c05</t>
  </si>
  <si>
    <t>CALEDONIA RD FS CHURCHILL DR</t>
  </si>
  <si>
    <t>acb82923-7758-47a6-8e0a-30807bf134df</t>
  </si>
  <si>
    <t>FIRST LAKE DR NS COBEQUID RD</t>
  </si>
  <si>
    <t>679dfd4f-e749-4538-931e-a9fadfd222e3</t>
  </si>
  <si>
    <t>FIRST LAKE DR NS CRIMSON DR</t>
  </si>
  <si>
    <t>6d5e6071-2d38-4ef0-8af8-dccd7c3e0a74</t>
  </si>
  <si>
    <t>CALEDONIA RD FS CIVIC 207</t>
  </si>
  <si>
    <t>96ba22fd-a005-47c6-bddf-5cb9d39769fe</t>
  </si>
  <si>
    <t>FIRST LAKE DR NS OPP LAKE HEAD CT</t>
  </si>
  <si>
    <t>4d1e774e-ce10-4367-ab37-aeecff196b79</t>
  </si>
  <si>
    <t>CALEDONIA RD FS DUNBARTON AVE</t>
  </si>
  <si>
    <t>135abfed-3b5e-41f2-9f39-994b60962564</t>
  </si>
  <si>
    <t>FIRST LAKE DR NS QUAKER CR</t>
  </si>
  <si>
    <t>28b9dfe6-8bb4-4331-8b18-d6f053d6e524</t>
  </si>
  <si>
    <t>CALEDONIA RD FS GOUROK AVE</t>
  </si>
  <si>
    <t>265b0fef-4452-498c-8f52-2f3d7afbfcc9</t>
  </si>
  <si>
    <t>CHAIN LAKE DR AT DAIRY QUEEN [IB]</t>
  </si>
  <si>
    <t>ec23e19d-6deb-4f2e-921b-ca3b338b0c46</t>
  </si>
  <si>
    <t>CALEDONIA RD FS MAIN ST</t>
  </si>
  <si>
    <t>89118247-7425-493a-b361-75018a3e7b94</t>
  </si>
  <si>
    <t>CHAIN LAKE DR AT COSTCO [IB]</t>
  </si>
  <si>
    <t>66380d47-99ed-4579-af88-68be4d560b65</t>
  </si>
  <si>
    <t>CALEDONIA RD FS OPP WESTWOOD DR</t>
  </si>
  <si>
    <t>9e8b0bb5-9cb5-4dbe-ad37-c102d090358d</t>
  </si>
  <si>
    <t>CHAIN LAKE DR [OB] NS OLAND CT</t>
  </si>
  <si>
    <t>df024b62-9acc-4c4f-a814-d9cda531d3ab</t>
  </si>
  <si>
    <t>CALEDONIA RD FS MONTEBELLO DR</t>
  </si>
  <si>
    <t>c08006f5-588b-419f-9781-7c5ecad29d59</t>
  </si>
  <si>
    <t>POINT PLEASANT PARK 1ST CANTEEN</t>
  </si>
  <si>
    <t>5752d13d-e7e8-45a1-a9ee-beaecefe712b</t>
  </si>
  <si>
    <t>CALEDONIA RD NS GOUROK AVE</t>
  </si>
  <si>
    <t>e2b0104c-5426-4489-a5d3-2ad989e585e5</t>
  </si>
  <si>
    <t>POINT PLEASANT PARK LOWER LOT</t>
  </si>
  <si>
    <t>c99ec891-852b-4408-9ba2-2e28513263ec</t>
  </si>
  <si>
    <t>CALEDONIA RD NS STRATH LANE</t>
  </si>
  <si>
    <t>6202b6bf-31d0-4b21-b9cb-fe1516ff12cf</t>
  </si>
  <si>
    <t>ST MARGARETS BAY RD AT CIVIC 120</t>
  </si>
  <si>
    <t>5a3fd09f-a978-4138-bd80-56bdb51659ad</t>
  </si>
  <si>
    <t>CALEDONIA RD AT CIVIC 212</t>
  </si>
  <si>
    <t>6472f69b-05a3-41c0-b38f-b457535598ad</t>
  </si>
  <si>
    <t>2012-03-26T03:00:00.000Z</t>
  </si>
  <si>
    <t>ST MARGARETS BAY RD AT LONG LAKE PARK</t>
  </si>
  <si>
    <t>15e20573-df8b-4672-bca0-86edc658235e</t>
  </si>
  <si>
    <t>ROBIE ST AT CIVIC 1762 &lt;SB&gt;</t>
  </si>
  <si>
    <t>38ff84c8-d71b-4ce2-8729-dba42cb16d66</t>
  </si>
  <si>
    <t>ST MARGARETS BAY RD AT CIVICIC 121</t>
  </si>
  <si>
    <t>55eade91-1a0b-4377-8a41-f67fac5d5b25</t>
  </si>
  <si>
    <t>BREEZE DR NS APPIAN WAY</t>
  </si>
  <si>
    <t>7409de15-4b20-4150-89a3-d2e61be85be5</t>
  </si>
  <si>
    <t>ST MARGARETS BAY RD OPP LONG LAKE PARK</t>
  </si>
  <si>
    <t>68d4a981-5fd5-41f1-868f-754f3c395f60</t>
  </si>
  <si>
    <t>CALEDONIA RD NS CHURCHILL DR</t>
  </si>
  <si>
    <t>03ef4494-5873-4ec1-99d7-cf430c9e4fc0</t>
  </si>
  <si>
    <t>COUNTRY VIEW DR FS SHUBIE DR</t>
  </si>
  <si>
    <t>66631fcd-8648-43f6-907d-10fe27adea84</t>
  </si>
  <si>
    <t>CALEDONIA RD NS DUNBARTON AVE</t>
  </si>
  <si>
    <t>72299ce1-6432-4383-b8ca-450e95fe3b02</t>
  </si>
  <si>
    <t>COUNTRY VIEW DR FS MCCLURE CL</t>
  </si>
  <si>
    <t>f2b2bfb2-41fa-49b2-98d6-fd5d3147645f</t>
  </si>
  <si>
    <t>ROBIE ST FS UNIVERSITY AVE &lt;NB&gt;</t>
  </si>
  <si>
    <t>a3d27dbe-8c4b-4636-9818-453debc36293</t>
  </si>
  <si>
    <t>GALE TERRACE FS COMMODORE DR</t>
  </si>
  <si>
    <t>4898c7ed-023f-47e5-9447-8da6051a95c1</t>
  </si>
  <si>
    <t>ROBIE ST FS UNIVERSITY AVE &lt;SB&gt;</t>
  </si>
  <si>
    <t>248c2521-dbf7-4ff0-9189-3cb5bae7af10</t>
  </si>
  <si>
    <t>ROBIE ST FS WELSFORD &lt;SB&gt;</t>
  </si>
  <si>
    <t>c922cbcb-fbd1-45ad-b329-37f481ef7d21</t>
  </si>
  <si>
    <t>BERTS DR AT MAIN AVE</t>
  </si>
  <si>
    <t>677b28b2-7303-407e-8269-38a3262eed1e</t>
  </si>
  <si>
    <t>ROBIE ST FS YOUNG ST &lt;NB&gt;</t>
  </si>
  <si>
    <t>32671a24-e96f-44eb-a4a8-505a51b22966</t>
  </si>
  <si>
    <t>BOLAND RD FS CAIRN ST</t>
  </si>
  <si>
    <t>3cae7203-98ad-4155-9ed4-24ca85bbb6ea</t>
  </si>
  <si>
    <t>ROBIE ST FS YOUNG ST &lt;SB&gt;</t>
  </si>
  <si>
    <t>d94e2730-585f-47a5-ad0b-380c32b41f70</t>
  </si>
  <si>
    <t>ROBIE ST AT CIVIC 1560 &lt;SB&gt;</t>
  </si>
  <si>
    <t>03a0caf7-ee13-43b9-bca3-72eeeccbced3</t>
  </si>
  <si>
    <t>BOLAND RD NS VICTORIA RD</t>
  </si>
  <si>
    <t>abfa139c-f028-4cf3-a801-6834d188fd81</t>
  </si>
  <si>
    <t>ROBIE ST AT CIVIC 1682 &lt;SB&gt;</t>
  </si>
  <si>
    <t>b1fcecb1-6259-474c-a53f-4740e99f02ce</t>
  </si>
  <si>
    <t>BOLAND RD OPP FS CAIRN ST</t>
  </si>
  <si>
    <t>b091b8f8-722e-41be-8bd1-e899ce38e41a</t>
  </si>
  <si>
    <t>ROBIE ST AT CIVIC 3244 &lt;SB&gt;</t>
  </si>
  <si>
    <t>f792a0f5-38a1-4755-b14a-4b14d9095824</t>
  </si>
  <si>
    <t>BOOTH ST  NS CIVIC 21</t>
  </si>
  <si>
    <t>c6a88536-61b0-4a08-bb71-a5cf55213c0d</t>
  </si>
  <si>
    <t>ROBIE ST NS ALMON ST &lt;NB&gt;</t>
  </si>
  <si>
    <t>76db8512-5429-42c6-a761-b58eec631678</t>
  </si>
  <si>
    <t>BOOTH ST  NS CIVIC 5</t>
  </si>
  <si>
    <t>ef928636-983d-4413-97a3-7969edf30c22</t>
  </si>
  <si>
    <t>ROBIE ST NS ALMON ST &lt;SB&gt;</t>
  </si>
  <si>
    <t>b19377ac-5b8d-436a-a4f5-616ee2a32e0d</t>
  </si>
  <si>
    <t>ST MARGARETS BAY RD AT TIMBERLEA VILLAGE PKWY</t>
  </si>
  <si>
    <t>b4f5d992-4c1c-4082-b0e7-d24fe224cba4</t>
  </si>
  <si>
    <t>BRADORIAN DR AT CIVIC 98</t>
  </si>
  <si>
    <t>c1bc2b48-118f-4934-a4da-6662634798ae</t>
  </si>
  <si>
    <t>ST MARGARETS BAY RD NS ALDERWOOD DR</t>
  </si>
  <si>
    <t>0860dcc7-e2b8-48c6-b7f1-f0eeb8904898</t>
  </si>
  <si>
    <t>BRADORIAN DR FS CIVIC 16</t>
  </si>
  <si>
    <t>1fd2287a-bb3f-4afb-bf94-212509576dd4</t>
  </si>
  <si>
    <t>ST MARGARETS BAY RD NS CIVIC 1966</t>
  </si>
  <si>
    <t>398b3997-d1e7-4fde-b39e-efaf72ee0f83</t>
  </si>
  <si>
    <t>PRINCE ALBERT RD  AT SUPERSTORE</t>
  </si>
  <si>
    <t>6187430e-71a4-4d18-84c6-dbd47127d86a</t>
  </si>
  <si>
    <t>ST MARGARETS BAY RD NS CIVIC 2177</t>
  </si>
  <si>
    <t>3d20bb6b-c726-4ac2-a2ee-c05dee030c1f</t>
  </si>
  <si>
    <t>BRAEMAR DR  NS BRAEMAR APT.</t>
  </si>
  <si>
    <t>218ec087-9cb6-4baf-b88f-d958c36c12cb</t>
  </si>
  <si>
    <t>ST MARGARETS BAY RD NS CIVIC 2357</t>
  </si>
  <si>
    <t>84197ab1-00b4-460e-92b2-8a021597b467</t>
  </si>
  <si>
    <t>BRAEMAR DR NS PARCLO</t>
  </si>
  <si>
    <t>e4ac2fdd-33c3-4318-8253-111ba2ffbe45</t>
  </si>
  <si>
    <t>ST MARGARETS BAY RD NS DEVONSHIRE DR</t>
  </si>
  <si>
    <t>c5ef66e9-7df9-4f61-b7e3-04f235c0ac56</t>
  </si>
  <si>
    <t>BRAEMAR DR OPP MAPLE ST</t>
  </si>
  <si>
    <t>f39ef15d-e969-4765-bd01-37d05915c946</t>
  </si>
  <si>
    <t>312f5a02-0303-428e-91cd-48ab0da676c6</t>
  </si>
  <si>
    <t>BRENTWOOD AVE AT CIVIC 5</t>
  </si>
  <si>
    <t>42733e4e-da4e-40ac-b72d-be412da7f09c</t>
  </si>
  <si>
    <t>ST MARGARETS BAY RD NS DONOVON DR</t>
  </si>
  <si>
    <t>f442e203-9214-42ab-a2c7-08228e50e8db</t>
  </si>
  <si>
    <t>BRENTWOOD AVE FS CIVIC 73</t>
  </si>
  <si>
    <t>5a1658a4-1406-4f2f-ab47-09a64ea562e3</t>
  </si>
  <si>
    <t>ST MARGARETS BAY RD NS GOVERNORS LAKE RD</t>
  </si>
  <si>
    <t>7a85554a-0a45-4831-ab07-a1fb918197d6</t>
  </si>
  <si>
    <t>BRENTWOOD AVE NS ST MARGARETS BAY RD</t>
  </si>
  <si>
    <t>8afa79fa-d083-4bb9-b2ee-d9b3121bbdd7</t>
  </si>
  <si>
    <t>ST MARGARETS BAY RD NS BEECH TREE RUN</t>
  </si>
  <si>
    <t>79c09c62-7156-4598-9492-62c2f4fad7a4</t>
  </si>
  <si>
    <t>BRENTWOOD AVE NS CIVIC 52</t>
  </si>
  <si>
    <t>cf4413c2-9911-41ca-b0e7-663232fbeaf7</t>
  </si>
  <si>
    <t>ST MARGARETS BAY RD NS RAINES MILLS RD</t>
  </si>
  <si>
    <t>4e2fdc45-d2eb-4b2b-9a7a-62642368deb9</t>
  </si>
  <si>
    <t>BROADHOLME LANE FS KEARNEY LAKE RD</t>
  </si>
  <si>
    <t>4ca101f5-7d3b-426d-aa36-7ddba7bf3ac4</t>
  </si>
  <si>
    <t>ST MARGARETS BAY RD NS RAINES MILL RD</t>
  </si>
  <si>
    <t>397e418a-1c58-466f-8010-f049364351d9</t>
  </si>
  <si>
    <t>BROADHOLME LANE FS OHARA DR</t>
  </si>
  <si>
    <t>a85374e6-5054-4a45-9954-68deb2d9dc49</t>
  </si>
  <si>
    <t>ST MARGARETS BAY RD NS TIMBERLEA MANOR ENTRANCE</t>
  </si>
  <si>
    <t>8eb0ce5f-11b2-42b1-ad74-c37405883e3f</t>
  </si>
  <si>
    <t>BROOKFIELD AVE FS CALDWELL RD</t>
  </si>
  <si>
    <t>bfba3355-e4d8-4dd7-8198-2c6de501b282</t>
  </si>
  <si>
    <t>ST MARGARETS BAY RD OPP BAKERS DR</t>
  </si>
  <si>
    <t>159b6c86-2ede-4c8f-b7a5-2f0a1e93bf17</t>
  </si>
  <si>
    <t>ROBIE ST OPP CIVIC 1222 &lt;NB&gt;</t>
  </si>
  <si>
    <t>1d2f6460-16ce-4fe1-98b1-e473a50ce6cc</t>
  </si>
  <si>
    <t>ST MARGARETS BAY RD OPP CIVIC 1254</t>
  </si>
  <si>
    <t>8d6d95a0-ef92-422f-a8d4-997d92b14977</t>
  </si>
  <si>
    <t>ROBIE ST OPP CIVIC 2432 &lt;NB&gt;</t>
  </si>
  <si>
    <t>063bfcda-bffa-4c08-a63a-052e977e1903</t>
  </si>
  <si>
    <t>ST MARGARETS BAY RD OPP CIVIC 1264</t>
  </si>
  <si>
    <t>bed196b7-9447-4e3f-a1ec-2e66b70e693f</t>
  </si>
  <si>
    <t>ROBIE ST OPP CIVIC 2542 &lt;NB&gt;</t>
  </si>
  <si>
    <t>6ba1be9f-5fca-4a19-917e-d908889df680</t>
  </si>
  <si>
    <t>ST MARGARETS BAY RD OPP CIVIC 1697</t>
  </si>
  <si>
    <t>a29db834-4ff8-4ae3-8952-441bc0097b54</t>
  </si>
  <si>
    <t>ROBIE ST OPP PEPPERELL AT (QEH) &lt;NB&gt;</t>
  </si>
  <si>
    <t>f78df68f-2b09-45f5-8388-925376aeb2b2</t>
  </si>
  <si>
    <t>ST MARGARETS BAY RD OPP CIVIC 46</t>
  </si>
  <si>
    <t>b0af9481-e6d6-4bb7-8960-e9b34a991b56</t>
  </si>
  <si>
    <t>ROBIE ST &lt;SB&gt; FS SOUTH ST</t>
  </si>
  <si>
    <t>66733c9e-81fd-413d-88f4-325a7110f99a</t>
  </si>
  <si>
    <t>CALDWELL RD NS CIVIC 2001</t>
  </si>
  <si>
    <t>4aefada5-b6c4-46ac-9353-d1264148be21</t>
  </si>
  <si>
    <t>ROCK MANOR FS REDBANK [IB]</t>
  </si>
  <si>
    <t>f71fb80a-f387-414e-8594-4b22f0557795</t>
  </si>
  <si>
    <t>CALDWELL RD AT OCEANVIEW MANOR</t>
  </si>
  <si>
    <t>a1934349-f1bb-4797-8997-431bb98529a3</t>
  </si>
  <si>
    <t>ROCK MANOR  DR FS ROCKY LAKE</t>
  </si>
  <si>
    <t>1aa3e1c2-b48d-4cc2-a7ee-4e9d11496d2f</t>
  </si>
  <si>
    <t>CALDWELL RD NS CIVIC 385</t>
  </si>
  <si>
    <t>5720d579-f871-492f-ac6d-7e16ecfac24e</t>
  </si>
  <si>
    <t>CALDWELL RD NS CIVIC 564</t>
  </si>
  <si>
    <t>17d26597-7de4-4ad6-9de7-10607b916c0d</t>
  </si>
  <si>
    <t>ROCK MANOR NS ROCKY LAKE [IB]</t>
  </si>
  <si>
    <t>a3731cf9-1038-4739-8962-20f95e9dcb0a</t>
  </si>
  <si>
    <t>CALDWELL RD NS DELTA DR</t>
  </si>
  <si>
    <t>7edb1ec0-5461-45da-bcb9-0ca7025dd4e8</t>
  </si>
  <si>
    <t>ROCK MANOR OPP CIVIC 122 [IB]</t>
  </si>
  <si>
    <t>e061911a-c0ce-476b-8652-9fbedbb3b9ad</t>
  </si>
  <si>
    <t>CALDWELL RD NS HAMPTON GREEN</t>
  </si>
  <si>
    <t>bb256dd2-e364-4ac8-8e92-f4e9ae70322c</t>
  </si>
  <si>
    <t>ROCK MANOR OPP FS BIRCHWOOD [IB]</t>
  </si>
  <si>
    <t>fce712c5-e693-45ef-962c-08b3e5e3a90c</t>
  </si>
  <si>
    <t>CALDWELL RD NS NOVA TERRACE</t>
  </si>
  <si>
    <t>4b9bfe8b-f036-45d9-afc8-8c195b49fbdf</t>
  </si>
  <si>
    <t>ROCKINGSTONE AT CIVIC 25</t>
  </si>
  <si>
    <t>92f519bd-6844-4aaf-9164-1b385bea3ddf</t>
  </si>
  <si>
    <t>CALDWELL RD NS SHORE RD</t>
  </si>
  <si>
    <t>15e40126-22fc-4763-9a10-a7fee6c1ce81</t>
  </si>
  <si>
    <t>ROCKINGSTONE OPP CIVIC 25</t>
  </si>
  <si>
    <t>39401091-7a18-4477-aa04-543bc1815491</t>
  </si>
  <si>
    <t>CALDWELL RD AT CIVIC 96</t>
  </si>
  <si>
    <t>c2f30ac1-9923-4483-af82-ea206c7f4a19</t>
  </si>
  <si>
    <t>JAMES ST FS ST MARGARETS BAY RD [OB]</t>
  </si>
  <si>
    <t>1e4524da-99a1-456e-8510-9162aa0688d9</t>
  </si>
  <si>
    <t>CALDWELL RD OPP CIVIC 300 [IB]</t>
  </si>
  <si>
    <t>3117bb89-1132-4240-8590-f33351bc4492</t>
  </si>
  <si>
    <t>CALDWELL RD FS DELTA DR</t>
  </si>
  <si>
    <t>4e0fc8ab-cffe-4a6d-aaa5-547042106539</t>
  </si>
  <si>
    <t>CALDWELL RD NS DEERBROOKE DR</t>
  </si>
  <si>
    <t>e96d83d2-49ec-48fe-b012-c2f1e87654bb</t>
  </si>
  <si>
    <t>JAMES ST NS ST MARGARETS BAY RD [IB]</t>
  </si>
  <si>
    <t>5acea246-5639-4a6f-83ac-4469c44c0b2c</t>
  </si>
  <si>
    <t>BASINVIEW DR OPP GRANVILLE RD</t>
  </si>
  <si>
    <t>13b7ae42-b9db-4850-ab3a-355b1f25068c</t>
  </si>
  <si>
    <t>RONALD SMITH FS BURNSIDE DR</t>
  </si>
  <si>
    <t>b56c36ce-b77c-49fa-9a53-29125a52a835</t>
  </si>
  <si>
    <t>BASINVIEW DR OPP ROY CR</t>
  </si>
  <si>
    <t>7eb79041-8cb3-4403-8655-0c5381c0bd24</t>
  </si>
  <si>
    <t>RONALD SMITH FS ILSLEY AVE</t>
  </si>
  <si>
    <t>69368da4-f9b6-4cd1-b53f-50a7a74c2bc9</t>
  </si>
  <si>
    <t>ST MARGARETS BAY RD OPP CIVIC 1996</t>
  </si>
  <si>
    <t>b645bcd0-6937-458f-93a7-05ae34aa5f6a</t>
  </si>
  <si>
    <t>ROSEDALE AVE AT CIVIC 30</t>
  </si>
  <si>
    <t>8c3f78d7-64d7-4ab7-820c-239b1f6307e3</t>
  </si>
  <si>
    <t>ST MARGARETS BAY RD AT CIVIC 1140</t>
  </si>
  <si>
    <t>cdaee78a-1827-4169-a658-ebf1255b27c6</t>
  </si>
  <si>
    <t>ROSEDALE AVE FS CIVIC 23</t>
  </si>
  <si>
    <t>22e9d171-a51a-4c51-aaec-71dba618251d</t>
  </si>
  <si>
    <t>ST MARGARETS BAY RD AT CIVIC 1813</t>
  </si>
  <si>
    <t>f2e0077a-f7e7-4f2e-b543-f62d221fcd4a</t>
  </si>
  <si>
    <t>ROSEDALE AVE FS DUTCH VILLAGE RD</t>
  </si>
  <si>
    <t>b1da27c7-97a8-4c98-95f7-51bb42319c4d</t>
  </si>
  <si>
    <t>ST MARGARETS BAY RD FS CIVIC 1025</t>
  </si>
  <si>
    <t>468a30db-20b8-441c-9ece-07562ef0f023</t>
  </si>
  <si>
    <t>ROSEDALE AVE FS HILLCREST ST</t>
  </si>
  <si>
    <t>abae467a-a550-4f51-b8fb-e1911af64a72</t>
  </si>
  <si>
    <t>ST MARGARETS BAY RD FS 1505</t>
  </si>
  <si>
    <t>ef358101-761f-4228-80c3-49e56f427b90</t>
  </si>
  <si>
    <t>ROSEDALE AVE AT CIVIC 81</t>
  </si>
  <si>
    <t>6b64798c-4fba-4d15-8db6-df0b2ab787fb</t>
  </si>
  <si>
    <t>ST MARGARETS BAY RD FS CIVIC 1737</t>
  </si>
  <si>
    <t>0c59284f-dd08-45a9-9ce3-f469bd49eb2c</t>
  </si>
  <si>
    <t>ROSEDALE AVE AT CIVIC 60</t>
  </si>
  <si>
    <t>b7656bf5-2b8d-415d-a50d-0f76c1041549</t>
  </si>
  <si>
    <t>ST MARGARETS BAY RD FS CIVIC 1939</t>
  </si>
  <si>
    <t>3aec2221-fdac-449e-b125-592cfd8edcad</t>
  </si>
  <si>
    <t>ROSEDALE AVE AT ALEX ST</t>
  </si>
  <si>
    <t>841f5a7a-aa1f-41bd-b5b6-736bffdb8351</t>
  </si>
  <si>
    <t>ST MARGARETS BAY RD FS CIVIC 2172</t>
  </si>
  <si>
    <t>2865716e-d966-43c5-95f1-7487f812a8c4</t>
  </si>
  <si>
    <t>ST MARGARETS BAY RD FS CIVIC 2395</t>
  </si>
  <si>
    <t>4b993a87-dcdd-4ccf-a386-09891c59d1c3</t>
  </si>
  <si>
    <t>ROSEDALE AVE NS HILLCREST ST</t>
  </si>
  <si>
    <t>5aa33adb-6921-4006-918b-d3478c009574</t>
  </si>
  <si>
    <t>ROSS ST FS NORMAN CR</t>
  </si>
  <si>
    <t>d80c57fc-b9c0-40c7-aeed-9f8b2c417209</t>
  </si>
  <si>
    <t>ST MARGARETS BAY RD FS CIVIC 2404</t>
  </si>
  <si>
    <t>e15003aa-e166-4766-90e2-90583a7f00e9</t>
  </si>
  <si>
    <t>ROSS ST FS OPP OAKLEY AVE</t>
  </si>
  <si>
    <t>dac66264-f8cd-4999-8e9c-2006dfece246</t>
  </si>
  <si>
    <t>ST MARGARETS BAY RD FS COUNTY IND. PARK ENTRANCE</t>
  </si>
  <si>
    <t>59861338-9a98-4729-86e7-5a77b236c0ca</t>
  </si>
  <si>
    <t>RUSSELL LAKE DR OPP CIVIC 58 &lt;SB&gt;</t>
  </si>
  <si>
    <t>e96cedc9-8313-478c-a0f6-aa76e2238966</t>
  </si>
  <si>
    <t>ST MARGARETS BAY RD OPP BEECH TREE RUN</t>
  </si>
  <si>
    <t>e3c3c1e9-ef40-43ec-aa85-6687f5f81cc3</t>
  </si>
  <si>
    <t>MELROSE CR AT SAMUEL DANIEL</t>
  </si>
  <si>
    <t>988eb4ce-de5e-4d4c-adf1-3d674ca0b550</t>
  </si>
  <si>
    <t>ST MARGARETS BAY RD AT FITZGERALDS STORE</t>
  </si>
  <si>
    <t>577d8a24-87aa-4c7b-b95d-250d830197d6</t>
  </si>
  <si>
    <t>MELROSE CR AT CIVIC 180</t>
  </si>
  <si>
    <t>eec0ea28-173d-4cbe-bf5a-f049dc63fee4</t>
  </si>
  <si>
    <t>ST MARGARETS BAY RD FS GREENHEAD RD</t>
  </si>
  <si>
    <t>152cc7f9-b884-44b1-b28b-6ef8cced3063</t>
  </si>
  <si>
    <t>HERITAGE HILLS DR NS SEROP CR</t>
  </si>
  <si>
    <t>dd00dcc6-ac2f-4b71-9921-037f8781af78</t>
  </si>
  <si>
    <t>ST MARGARETS BAY RD AT CIVIC 1075</t>
  </si>
  <si>
    <t>9b4d9d1a-67fc-4643-8829-6935292149e1</t>
  </si>
  <si>
    <t>74ce6b7b-a283-40bf-abb9-e1d7dfe17bef</t>
  </si>
  <si>
    <t>ST MARGARETS BAY RD FS KEATING RD</t>
  </si>
  <si>
    <t>d7488ac7-da7c-4e1e-96e3-b2a108b4d70a</t>
  </si>
  <si>
    <t>LACEWOOD DR FS WILLET ST</t>
  </si>
  <si>
    <t>9029db98-f266-40ae-87ed-dced78c1c475</t>
  </si>
  <si>
    <t>ST MARGARETS BAY RD AT FAIRMOUNT RD</t>
  </si>
  <si>
    <t>af36f6b7-ef15-4b89-bb57-2f2050a8410a</t>
  </si>
  <si>
    <t>LACEWOOD DR FS OPP STRATFORD WAY</t>
  </si>
  <si>
    <t>c4abae2c-c575-442e-b9da-a97216819ff3</t>
  </si>
  <si>
    <t>ST MARGARETS BAY RD FS LAKELANDS BLVD</t>
  </si>
  <si>
    <t>ef27a476-6e83-4390-8792-0697baba97f9</t>
  </si>
  <si>
    <t>LACEWOOD DR AT CIVIC 159</t>
  </si>
  <si>
    <t>5fad3457-80cf-4d93-ad6b-b56a91a8fae0</t>
  </si>
  <si>
    <t>ST MARGARETS BAY RD AT CIVIC 1630</t>
  </si>
  <si>
    <t>36d07f62-7bc2-4227-b503-21840db85620</t>
  </si>
  <si>
    <t>LACEWOOD DR NS BAYVIEW AVE</t>
  </si>
  <si>
    <t>bb0379f5-c2fe-48eb-8722-7ca89d044224</t>
  </si>
  <si>
    <t>ST MARGARETS BAY RD [IB] AT CIVIC 1210</t>
  </si>
  <si>
    <t>3ef30359-13d6-47ed-95ed-398a82d44d16</t>
  </si>
  <si>
    <t>LACEWOOD DR NS CEDARBRAE</t>
  </si>
  <si>
    <t>ef991bc0-fd03-4ec3-8431-3a0c68b5016e</t>
  </si>
  <si>
    <t>ST MARGARETS BAY RD AT POST OFFICE</t>
  </si>
  <si>
    <t>890dfc35-2f15-4f91-8cd6-3303199a709b</t>
  </si>
  <si>
    <t>LACEWOOD DR NS DUNBRACK ST &lt;WB&gt;</t>
  </si>
  <si>
    <t>a63629fa-bc9d-49ff-907b-84faa399b4c1</t>
  </si>
  <si>
    <t>ST MARGARETS BAY RD AT CIVIC 1370</t>
  </si>
  <si>
    <t>de049bc2-7d80-4923-a696-91653f659aa4</t>
  </si>
  <si>
    <t>LACEWOOD DR NS DUNBRACK ST</t>
  </si>
  <si>
    <t>52a5c84c-464d-4bc1-8faa-2ba31f995730</t>
  </si>
  <si>
    <t>ST MARGARETS BAY RD AT CIVIC 1569</t>
  </si>
  <si>
    <t>47dc0702-6201-457f-aa68-fdb34e95ebb6</t>
  </si>
  <si>
    <t>LACEWOOD DR NS EVANS AVE&lt;EB&gt;</t>
  </si>
  <si>
    <t>983c9df0-1415-45eb-893b-a3dfc4be3f96</t>
  </si>
  <si>
    <t>ST MARGARETS BAY RD AT CIVIC 1578</t>
  </si>
  <si>
    <t>1eb6b42b-7523-428d-b76b-ae2ed3f3c2ce</t>
  </si>
  <si>
    <t>LACEWOOD DR NS PARKLAND DR [OB]</t>
  </si>
  <si>
    <t>a50871ca-94db-4571-ac9a-e442af502a24</t>
  </si>
  <si>
    <t>ST MARGARETS BAY RD AT CIVIC 1618</t>
  </si>
  <si>
    <t>b40940aa-7b1a-4e11-9c18-cea844d8f81f</t>
  </si>
  <si>
    <t>LACEWOOD DR OPP FS PARKLAND DR [IB]</t>
  </si>
  <si>
    <t>e0069440-5c4b-40fb-8d6b-34a167b19c98</t>
  </si>
  <si>
    <t>ST MARGARETS BAY RD AT CIVIC 46</t>
  </si>
  <si>
    <t>1d22c28f-6ffb-4a14-8eed-3bd880b14da3</t>
  </si>
  <si>
    <t>LACEWOOD DR NS WILLET ST [IB] ?? CHECK DESC</t>
  </si>
  <si>
    <t>74ca378c-3e9f-4292-aca1-1e5a0fa4d5c1</t>
  </si>
  <si>
    <t>LADY HAMMOND RD FS HIGH ST &lt;WB&gt;</t>
  </si>
  <si>
    <t>63f61821-55fb-4066-819f-4afe549f5f58</t>
  </si>
  <si>
    <t>LACEWOOD DR NS OPP GLENFOREST</t>
  </si>
  <si>
    <t>23fa07dc-d080-4dd5-86dc-909e9766a6ee</t>
  </si>
  <si>
    <t>BARRINGTON ST &lt;NB&gt; NS HOLLIS ST</t>
  </si>
  <si>
    <t>4d9482d4-53f4-4f2e-974a-b51eb2054cba</t>
  </si>
  <si>
    <t>LACEWOOD DR OPP BRAESIDE &lt;EB&gt;</t>
  </si>
  <si>
    <t>612fd631-7644-43b0-b051-62a0340e26e1</t>
  </si>
  <si>
    <t>LADY HAMMOND RD &lt;WB&gt; FS MACINTOSH</t>
  </si>
  <si>
    <t>3d080a87-39e4-44b1-b586-9883c30a5376</t>
  </si>
  <si>
    <t>LACEWOOD DR OPP CEDARBRAE</t>
  </si>
  <si>
    <t>34966943-9f93-4c39-a24d-d89fc3008796</t>
  </si>
  <si>
    <t>LADY HAMMOND RD FS ROBIE ST &lt;EB&gt;</t>
  </si>
  <si>
    <t>659b1e11-27bc-49f1-a6f0-720adea604d3</t>
  </si>
  <si>
    <t>LACEWOOD TERMINAL (WILLET ST)</t>
  </si>
  <si>
    <t>1815bbc4-7ad4-43ca-be7d-ad4d2bb1698f</t>
  </si>
  <si>
    <t>LADY HAMMOND RD NS BASINVIEW DR &lt;WB&gt;</t>
  </si>
  <si>
    <t>93138dcb-f0f3-4482-942d-8437a2b7e383</t>
  </si>
  <si>
    <t>LACEWOOD TERMINAL (inside)</t>
  </si>
  <si>
    <t>3270b681-3d32-45c4-b50b-1bd1f8403eab</t>
  </si>
  <si>
    <t>MILLWOOD DR AT CIVIC 192 &lt;WB&gt;</t>
  </si>
  <si>
    <t>3c165acc-aec8-4aeb-bac9-169039017824</t>
  </si>
  <si>
    <t>LADY HAMMOND RD OPP BASINVIEW DR</t>
  </si>
  <si>
    <t>2c22a3da-a96a-4463-8823-156e091dc957</t>
  </si>
  <si>
    <t>LADY HAMMOND RD NS ROBIE ST</t>
  </si>
  <si>
    <t>5e3c19e4-a2a7-4376-8020-2ca054537677</t>
  </si>
  <si>
    <t>ROBIE ST NS MAY &lt;NB&gt;</t>
  </si>
  <si>
    <t>20c28c14-5ded-4482-ae2a-ee8103884a42</t>
  </si>
  <si>
    <t>LADY HAMMOND RD EB NS ROBIE ST</t>
  </si>
  <si>
    <t>85a52218-df58-49cf-86ae-85fc142d25a2</t>
  </si>
  <si>
    <t>ROBIE ST NS NORMANDY</t>
  </si>
  <si>
    <t>e1424ca1-60a7-4585-81f3-b43cb9d556ef</t>
  </si>
  <si>
    <t>LAKE LOON RD FS CIVIC 141 &lt;EB&gt;</t>
  </si>
  <si>
    <t>0e40fd51-4abd-4430-81ba-6c2f0efcf1df</t>
  </si>
  <si>
    <t>ROBIE ST NS NORMANDY &lt;SB&gt;</t>
  </si>
  <si>
    <t>787201a6-d008-4886-860e-92be0a8b5f8f</t>
  </si>
  <si>
    <t>MILLWOOD DR NS CIVIC 30</t>
  </si>
  <si>
    <t>d3b089c2-e3bd-4d5c-8338-ee90fa355660</t>
  </si>
  <si>
    <t>ROBIE ST NS NORTH ST &lt;SB&gt;</t>
  </si>
  <si>
    <t>364c6539-5741-4a85-91aa-4d9b88f952f5</t>
  </si>
  <si>
    <t>LAKE LOON RD FS MONTAGUE RD</t>
  </si>
  <si>
    <t>7b7dc2d2-4347-4591-8840-588ff32e40d5</t>
  </si>
  <si>
    <t>ROBIE ST NS QUINPOOL RD &lt;SB&gt;</t>
  </si>
  <si>
    <t>c287f90c-72c7-412e-9604-b083663d0c11</t>
  </si>
  <si>
    <t>LAKE LOON RD NS MACLAUGHLIN RD</t>
  </si>
  <si>
    <t>c2c1b25c-4894-4ced-823a-9f98c9c991a5</t>
  </si>
  <si>
    <t>ROBIE ST NS RUSSELL ST</t>
  </si>
  <si>
    <t>85135db0-9a11-43ab-b6af-3673a61b7001</t>
  </si>
  <si>
    <t>LAKE LOON RD FS SPARKS DR</t>
  </si>
  <si>
    <t>df3f2488-b0aa-4284-8821-5151abc93d7a</t>
  </si>
  <si>
    <t>MASSACHUSETTS AVE NS STANLEY ST</t>
  </si>
  <si>
    <t>12b0ac16-32a8-462b-937f-48a41a9b1b9d</t>
  </si>
  <si>
    <t>NORTH PRESTON RD AT NELSON WHYNDER SCHOOL</t>
  </si>
  <si>
    <t>57dd168a-0a56-407f-837d-e868927d86ba</t>
  </si>
  <si>
    <t>ROBIE ST NS STANLEY &lt;EB&gt;</t>
  </si>
  <si>
    <t>7d25b577-d842-4a78-94a7-ff267a2bff06</t>
  </si>
  <si>
    <t>LAKE MAJOR RD FS CHAMBERLAIN DR</t>
  </si>
  <si>
    <t>ba7c346e-1489-41fc-b6e2-75d41486c799</t>
  </si>
  <si>
    <t>ROBIE ST NS YOUNG ST &lt;SB&gt;</t>
  </si>
  <si>
    <t>efbab051-8494-452c-b941-ada663abeae6</t>
  </si>
  <si>
    <t>LAKE MAJOR RD FS CIVIC 148</t>
  </si>
  <si>
    <t>fa856269-64ee-4004-9b6e-58fef7c7e411</t>
  </si>
  <si>
    <t>ROBIE ST OPP BINNEY &lt;NB&gt;</t>
  </si>
  <si>
    <t>f5fd96c2-88da-4bf9-8cbb-6117ddf58d60</t>
  </si>
  <si>
    <t>LAKE MAJOR RD FS HWY #7</t>
  </si>
  <si>
    <t>2a770274-377b-472f-bb1e-eaebf212cdc5</t>
  </si>
  <si>
    <t>WILLET ST FS CORONATION AVE</t>
  </si>
  <si>
    <t>d6c5c399-4eb5-408f-95c8-313377c9e27f</t>
  </si>
  <si>
    <t>PORTLAND ST FS CANAL &lt;EB&gt;</t>
  </si>
  <si>
    <t>c972cf29-b537-4406-a375-12b68ed36a01</t>
  </si>
  <si>
    <t>WILLET ST FS DUNBRACK ST</t>
  </si>
  <si>
    <t>563bd965-6659-467c-8c4b-e10f8461859c</t>
  </si>
  <si>
    <t>PORTLAND ST FS CHESTNUT &lt;EB&gt;</t>
  </si>
  <si>
    <t>a9e96298-3e06-42de-a8c2-38ef31b938cb</t>
  </si>
  <si>
    <t>WILLET ST FS GLENFOREST DR</t>
  </si>
  <si>
    <t>1f85e276-a31f-43bc-8427-94d3dd747977</t>
  </si>
  <si>
    <t>HERRING COVE RD NS HILDEN DR</t>
  </si>
  <si>
    <t>0a1adb8b-6e0b-4a2d-bf99-99d07e9af6d6</t>
  </si>
  <si>
    <t>WILLET ST FS MAIN AVE</t>
  </si>
  <si>
    <t>2914f5db-3b5c-49c9-b283-60c51cdfc54c</t>
  </si>
  <si>
    <t>HERRING COVE RD NS LYNNETT RD</t>
  </si>
  <si>
    <t>c19abbc4-05d9-4d70-9060-e2f1a2e05c92</t>
  </si>
  <si>
    <t>4c8b883f-2dd5-4f4d-b021-b49337c361e7</t>
  </si>
  <si>
    <t>HERRING COVE RD NS MCINTOSH ST</t>
  </si>
  <si>
    <t>f40ee748-5cfa-4d2e-86c7-b35d516a2c0e</t>
  </si>
  <si>
    <t>WILLET ST  OPP GLENFOREST DR</t>
  </si>
  <si>
    <t>d6688f20-75a2-40d7-b06d-0b7e06559db1</t>
  </si>
  <si>
    <t>HERRING COVE RD NS OPP MELWOOD AVE</t>
  </si>
  <si>
    <t>7946580a-448a-4736-9a22-2975d20d9f68</t>
  </si>
  <si>
    <t>WILLET ST OPP SHERIDAN ST</t>
  </si>
  <si>
    <t>94335c7e-b276-45e0-b1b8-f792babb6c35</t>
  </si>
  <si>
    <t>HERRING COVE RD NS MELWOOD AVE</t>
  </si>
  <si>
    <t>b23b61a1-3dbb-4226-b489-5a9939b92524</t>
  </si>
  <si>
    <t>WILLET ST OPP WESTRIDGE DR</t>
  </si>
  <si>
    <t>5dced523-2a85-4026-8fc9-369caf4affd6</t>
  </si>
  <si>
    <t>HERRING COVE RD NS OCEANVIEW DR</t>
  </si>
  <si>
    <t>948380bd-2c3b-4a77-b85e-9b7d8903bc89</t>
  </si>
  <si>
    <t>WILLET ST NS ADELAIDE AVE</t>
  </si>
  <si>
    <t>566461cd-9d08-474a-b67e-edb622f7dc07</t>
  </si>
  <si>
    <t>HERRING COVE RD NS PURCELLS COVE RD</t>
  </si>
  <si>
    <t>a1e1440e-f53e-496d-a251-366f84e71cce</t>
  </si>
  <si>
    <t>WILLET ST NS APOLLO CT</t>
  </si>
  <si>
    <t>6ca71b68-22d1-49f1-b8c5-e86360a6f7cc</t>
  </si>
  <si>
    <t>HERRING COVE RD NS SYLVIA AVE</t>
  </si>
  <si>
    <t>0f6fa3a4-aa5a-468e-aa21-42834e461bec</t>
  </si>
  <si>
    <t>WILLET ST NS FREDERICK AVE</t>
  </si>
  <si>
    <t>e98ecb3e-3a90-4de1-81b8-bff6bf98f9e5</t>
  </si>
  <si>
    <t>HERRING COVE RD NS WILLIAMS LAKE RD</t>
  </si>
  <si>
    <t>00069eab-47f1-4a65-b8cb-91f1a25590f2</t>
  </si>
  <si>
    <t>WILLET ST NS MAIN AVE</t>
  </si>
  <si>
    <t>aedffd51-9e88-48de-876b-3c7ab8b21582</t>
  </si>
  <si>
    <t>WILLET ST NS ROSEDALE AVE</t>
  </si>
  <si>
    <t>0ffca701-c675-4648-8cb8-27557e8f8daf</t>
  </si>
  <si>
    <t>HERRING COVE RD AT WINCHESTER AVE</t>
  </si>
  <si>
    <t>f681f1bd-b2bc-4b36-bd2e-f0e3f6012933</t>
  </si>
  <si>
    <t>HERRING COVE RD OPP 382</t>
  </si>
  <si>
    <t>fd7da440-813a-4750-83f6-0a98872810dd</t>
  </si>
  <si>
    <t>WILLET ST NS WESTRIDGE DR</t>
  </si>
  <si>
    <t>c9dbe54e-f169-4238-afd4-3628aad58200</t>
  </si>
  <si>
    <t>DUNBRACK ST FS WILLET ST</t>
  </si>
  <si>
    <t>ff3a8f66-7f95-4f21-b4f5-9a62301ce698</t>
  </si>
  <si>
    <t>HERRING COVE RD OPP BRONSON AVE</t>
  </si>
  <si>
    <t>de50052a-0646-4fb9-b119-7863213c0843</t>
  </si>
  <si>
    <t>HERRING COVE RD OPP CIVIC 125</t>
  </si>
  <si>
    <t>a88dab32-2e18-4a57-9f5e-0d4d7a61738a</t>
  </si>
  <si>
    <t>HERRING COVE RD OPP CIVIC 47</t>
  </si>
  <si>
    <t>2518589b-9d77-4219-8926-1fcd82faa847</t>
  </si>
  <si>
    <t>NOVALEA DR FS YOUNG ST &lt;NB&gt;</t>
  </si>
  <si>
    <t>3b3b0c5c-eacb-4ed9-8c07-04b995e28200</t>
  </si>
  <si>
    <t>HERRING COVE RD OPP CIVIC 636</t>
  </si>
  <si>
    <t>9846b511-60ad-4447-b5b3-ff62939f83ad</t>
  </si>
  <si>
    <t>NOVALEA DR AT SAMUNEL PRINCE &lt;SB&gt; TO VIC MANOR</t>
  </si>
  <si>
    <t>32aa3367-53f8-4b2a-a46f-308c00ecc692</t>
  </si>
  <si>
    <t>EISENER BLVD OPP SUPERSTORE</t>
  </si>
  <si>
    <t>662e21ea-5fe8-4e55-b2b1-75b769883794</t>
  </si>
  <si>
    <t>NOVALEA DR NB AT DUFFUS ST</t>
  </si>
  <si>
    <t>50a2bcd2-ea74-4300-b9df-27d390558383</t>
  </si>
  <si>
    <t>EISENER BLVD FS SUPERSTORE ENTRANCE</t>
  </si>
  <si>
    <t>94f00db2-95c1-44ca-a342-57326c8c9e0d</t>
  </si>
  <si>
    <t>NOVALEA DR SB AT DUFFUS ST</t>
  </si>
  <si>
    <t>7f76d6f6-81d5-47c4-9660-e73d7e5e1531</t>
  </si>
  <si>
    <t>EISENER FS WEDGEWOOD</t>
  </si>
  <si>
    <t>fbc50da6-884f-4fae-8511-11b962eb6b6b</t>
  </si>
  <si>
    <t>HORNES RD AT LIONS CLUB</t>
  </si>
  <si>
    <t>e4cdb5fe-a485-4b12-97ea-a5b6245db92b</t>
  </si>
  <si>
    <t>ELLENVALE AVE AT CIVIC 54</t>
  </si>
  <si>
    <t>d5d1202b-c9e7-4388-9803-7a6a2804e06b</t>
  </si>
  <si>
    <t>HORNES RD OPP CIVIC 42</t>
  </si>
  <si>
    <t>7479bc50-af49-48a6-8574-ea04143a6238</t>
  </si>
  <si>
    <t>INGLIS ST OPP SMU</t>
  </si>
  <si>
    <t>2f8a7704-46d4-4dff-9d43-e849230932ff</t>
  </si>
  <si>
    <t>HORNES RD AT CIVIC 15</t>
  </si>
  <si>
    <t>d96b44ac-f56a-42c2-8bf9-4c34e4ded8c1</t>
  </si>
  <si>
    <t>INGLIS ST FS BELLVUE AVE</t>
  </si>
  <si>
    <t>ef509766-2812-4c40-8456-66a8c75e0f6d</t>
  </si>
  <si>
    <t>CALDWELL RD OPP CIVIC 1592</t>
  </si>
  <si>
    <t>c85582e3-63f0-4949-9618-0cbabc29fef8</t>
  </si>
  <si>
    <t>INGLIS ST FS ROBIE ST</t>
  </si>
  <si>
    <t>9d403b15-4234-4909-9a66-c4f8e1949f94</t>
  </si>
  <si>
    <t>CALDWELL RD AT CIVIC 1627</t>
  </si>
  <si>
    <t>2977f3fc-fa43-4393-b8bc-4855a6165736</t>
  </si>
  <si>
    <t>INGLIS ST NS BARRINGTON ST</t>
  </si>
  <si>
    <t>a8f44a24-0068-4c18-b5a0-a46fbfed5d2c</t>
  </si>
  <si>
    <t>CALDWELL RD FS CIVIC 1739</t>
  </si>
  <si>
    <t>a0642b36-e11d-4184-bd6e-4447c37c6b71</t>
  </si>
  <si>
    <t>INGLIS ST NS BELLEVUE AVE</t>
  </si>
  <si>
    <t>f033012f-c8e1-4987-8a14-0b6d7960fb8a</t>
  </si>
  <si>
    <t>COW BAY RD FS CIVIC 385</t>
  </si>
  <si>
    <t>adc8274b-181f-469a-afae-3fb726fffa92</t>
  </si>
  <si>
    <t>INGLIS ST NS CAN MARTYRS CHURCH</t>
  </si>
  <si>
    <t>3f658585-714c-4ab8-afb7-7d7a033a64ec</t>
  </si>
  <si>
    <t>COW BAY RD NS CIVIC 443</t>
  </si>
  <si>
    <t>ee2d0c73-36e4-498d-ab7d-92cb373c6ee7</t>
  </si>
  <si>
    <t>INGLIS ST NS ROBIE ST</t>
  </si>
  <si>
    <t>ea3a15f3-841e-4797-8352-5d0d60f7884f</t>
  </si>
  <si>
    <t>COW BAY RD AT CIVIC 535</t>
  </si>
  <si>
    <t>aa191bf3-27b0-45d2-a921-094360a3f87f</t>
  </si>
  <si>
    <t>INGLIS ST NS SOUTH BLAND ST</t>
  </si>
  <si>
    <t>f0f8d8bf-bc8c-42e0-826b-f35df6870bbe</t>
  </si>
  <si>
    <t>SAMUEL DANIEL DR FS COW BAY RD</t>
  </si>
  <si>
    <t>242c3c13-1602-4448-9f7d-a87b417e2361</t>
  </si>
  <si>
    <t>INGLIS ST NS SOUTH PARK ST</t>
  </si>
  <si>
    <t>ed37ce68-4e62-4e22-b26f-544b1b4a9c43</t>
  </si>
  <si>
    <t>PLEASANT ST OPP CIVIC 243 &lt;SB&gt;</t>
  </si>
  <si>
    <t>359bd084-c14e-4ff0-9c58-1bab1bf9256b</t>
  </si>
  <si>
    <t>OXFORD ST AT NORWOOD &lt;NB&gt;</t>
  </si>
  <si>
    <t>48dcc625-7a41-4f81-be63-ada9500ff295</t>
  </si>
  <si>
    <t>PLEASANT ST OPP DART GENERAL &lt;SB&gt;</t>
  </si>
  <si>
    <t>9b40e276-253e-4d59-94c4-97f6f6422572</t>
  </si>
  <si>
    <t>OXFORD ST FS ALMON ST &lt;NB&gt;</t>
  </si>
  <si>
    <t>f0ddc6ba-8285-4256-bf24-bd7641b80b52</t>
  </si>
  <si>
    <t>OXFORD ST FS ALMON ST &lt;SB&gt;</t>
  </si>
  <si>
    <t>501bef33-c383-4bf5-a91e-440a9903b9ec</t>
  </si>
  <si>
    <t>OXFORD ST FS JUBILEE RD &lt;SB&gt;</t>
  </si>
  <si>
    <t>fcfbde10-cc96-4be9-aa04-1e10ce747f0e</t>
  </si>
  <si>
    <t>PLEASANT ST OPP EVERETTE ST &lt;SB&gt;</t>
  </si>
  <si>
    <t>3f7b9e36-e9cb-4865-abc6-1d898d60bd9f</t>
  </si>
  <si>
    <t>OXFORD ST FS JUBLILEE RD&lt;NB&gt;</t>
  </si>
  <si>
    <t>4f8a9040-d8a8-4703-b43e-31dd086848e6</t>
  </si>
  <si>
    <t>OXFORD ST FS NORTH ST &lt;NB&gt;</t>
  </si>
  <si>
    <t>6b98ea5c-4a36-4fdd-8e2e-4ee363cca8db</t>
  </si>
  <si>
    <t>PLEASANT ST OPP HOWARD &lt;SB&gt;</t>
  </si>
  <si>
    <t>ec856f06-bb30-4829-82c6-6b8fa4a4fe8a</t>
  </si>
  <si>
    <t>PURCELLS COVE RD OPP CIVIC 85</t>
  </si>
  <si>
    <t>16289e26-795d-4d75-8a54-0b29b99c1833</t>
  </si>
  <si>
    <t>PLEASANT ST OPP IMPERIAL REFN &lt;EB&gt;</t>
  </si>
  <si>
    <t>9756123e-38cb-4ec9-aca1-334ec4db3a1f</t>
  </si>
  <si>
    <t>PURCELLS COVE RD OPP DEVILS HILL</t>
  </si>
  <si>
    <t>fc64b77e-d035-4aa5-974b-61d80e089829</t>
  </si>
  <si>
    <t>PLEASANT ST OPP LANGILLES LANE &lt;SB&gt;</t>
  </si>
  <si>
    <t>c876dc5b-f882-43d5-a8fe-df31dbb0c8ca</t>
  </si>
  <si>
    <t>PURCELLS COVE RD OPP FERGUSON COVE RD</t>
  </si>
  <si>
    <t>b6420bd9-4be8-4f0a-bcd4-21b28ec1462e</t>
  </si>
  <si>
    <t>PURCELLS COVE RD AT CIVIC 533</t>
  </si>
  <si>
    <t>5c22e982-52ad-489c-a14e-ad2a6ab86329</t>
  </si>
  <si>
    <t>PURCELLS COVE RD OPP RNYS</t>
  </si>
  <si>
    <t>7afd5dec-f903-42d8-88b4-26b0062f5490</t>
  </si>
  <si>
    <t>PURCELLS COVE RD AT CIVIC 558</t>
  </si>
  <si>
    <t>faea22ec-cb3c-43ac-9f89-5a6a1e06459c</t>
  </si>
  <si>
    <t>QUARRY NS ST MARGARETS BAY RD</t>
  </si>
  <si>
    <t>bdb048ca-9ebb-49ce-8df1-e3de0b506720</t>
  </si>
  <si>
    <t>PURCELLS COVE RD AT CIVIC 600</t>
  </si>
  <si>
    <t>3bd95350-75f2-4439-b586-23458a837999</t>
  </si>
  <si>
    <t>PURCELLS COVE RD AT CIVIC 601</t>
  </si>
  <si>
    <t>9447e3e4-a09a-4607-bd88-bfc670c1a420</t>
  </si>
  <si>
    <t>QUINPOOL RD AT HORSE SHOE ISLAND</t>
  </si>
  <si>
    <t>dd5c2f8e-3d8e-446a-a175-a418954d146b</t>
  </si>
  <si>
    <t>PURCELLS COVE RD AT CIVIC 87</t>
  </si>
  <si>
    <t>5397b3cd-0a4b-4515-8a1d-a584272f2edb</t>
  </si>
  <si>
    <t>QUINPOOL RD FS ARMCRESCENT</t>
  </si>
  <si>
    <t>616db905-7bca-4b4a-87a8-f2592151368a</t>
  </si>
  <si>
    <t>QUINPOOL RD FS ARMDALE ROTARY</t>
  </si>
  <si>
    <t>78130a2d-baa8-4ec8-beb3-5ed07b5ce426</t>
  </si>
  <si>
    <t>PURCELLS COVE RD AT RNSYS</t>
  </si>
  <si>
    <t>c2e7ab62-121b-41e0-a33f-f4c8d6926cc3</t>
  </si>
  <si>
    <t>QUINPOOL RD NS BEECH &lt;EB&gt;</t>
  </si>
  <si>
    <t>2cad18ce-e962-4a5d-be2d-140084ad0790</t>
  </si>
  <si>
    <t>PURCELLS COVE RD NS BATTERY DR</t>
  </si>
  <si>
    <t>304b2538-bfa1-4d22-85c4-f6166c4121bd</t>
  </si>
  <si>
    <t>QUINPOOL RD FS BEECH &lt;WB&gt;</t>
  </si>
  <si>
    <t>35ebf4e9-02b0-4217-ae3a-ec3f809895a5</t>
  </si>
  <si>
    <t>PURCELLS COVE RD NS COUNTRY CR</t>
  </si>
  <si>
    <t>2b0ff84f-6212-4166-8d17-9633d62a510c</t>
  </si>
  <si>
    <t>PURCELLS COVE RD NS HOMESTEAD RD</t>
  </si>
  <si>
    <t>1a4e2a23-57dc-4f45-a8eb-329ec40d219c</t>
  </si>
  <si>
    <t>QUINPOOL RD FS CONNAUGHT AVE &lt;EB&gt;</t>
  </si>
  <si>
    <t>efc7f34b-10d3-4e6a-9e30-59a01de8267e</t>
  </si>
  <si>
    <t>PURCELLS COVE RD NS KEEFE DR</t>
  </si>
  <si>
    <t>d68496f0-72b9-40a7-97e1-03557ebea740</t>
  </si>
  <si>
    <t>QUINPOOL RD FS OXFORD ST &lt;EB&gt;</t>
  </si>
  <si>
    <t>086300a9-9821-48df-b668-8c1a0aea57e9</t>
  </si>
  <si>
    <t>PURCELLS COVE RD NS MELVIN RD</t>
  </si>
  <si>
    <t>aacf3d40-c3d0-4ed5-bee1-9c0fcaf036ae</t>
  </si>
  <si>
    <t>PURCELLS COVE RD NS OCEANVIEW DR</t>
  </si>
  <si>
    <t>b95ff2a0-deea-4b24-9244-b947a595a66f</t>
  </si>
  <si>
    <t>QUINPOOL RD FS OXFORD ST &lt;WB&gt;</t>
  </si>
  <si>
    <t>959ee751-247f-44c4-a0e9-4e9ab8d14a5b</t>
  </si>
  <si>
    <t>PURCELLS COVE RD NS ROCKLYN RD</t>
  </si>
  <si>
    <t>66772db2-7fa5-441a-b49b-21d14d8ca9f8</t>
  </si>
  <si>
    <t>QUINPOOL RD FS VERNON &lt;WB&gt;</t>
  </si>
  <si>
    <t>5381a380-80f8-44d1-a0af-8c679b9dfef8</t>
  </si>
  <si>
    <t>PURCELLS COVE RD FS WILLAMS LAKE RD</t>
  </si>
  <si>
    <t>3d27afff-3198-4c94-9474-b78b8914550f</t>
  </si>
  <si>
    <t>QUINPOOL RD AT CIVIC 7137</t>
  </si>
  <si>
    <t>867c763d-abb7-4025-8e62-2b951f3ae3d7</t>
  </si>
  <si>
    <t>PURCELLS COVE RD FS YORK REDOUBT</t>
  </si>
  <si>
    <t>4d8ad253-0345-487b-8581-d8dc7dc633d1</t>
  </si>
  <si>
    <t>OTAGO DR OPP CIVIC 29 &lt;SB&gt;</t>
  </si>
  <si>
    <t>54cc0105-99d4-4f2d-8f6d-bdacfb4fd6ca</t>
  </si>
  <si>
    <t>PURCELLS COVE RD AT ST CECELIA DR</t>
  </si>
  <si>
    <t>cf64d6f2-9588-44d6-a951-a3c823b38e48</t>
  </si>
  <si>
    <t>OUTRIGGER FS FLEETVIEW</t>
  </si>
  <si>
    <t>b4aa8508-a0fb-4432-9b74-88d17cc78225</t>
  </si>
  <si>
    <t>2010-07-07T03:00:00.000Z</t>
  </si>
  <si>
    <t>CRANBERRY CR &lt;AT&gt; CIVIC 3</t>
  </si>
  <si>
    <t>31937a21-7dff-47ab-98ce-0a30eff3d2e9</t>
  </si>
  <si>
    <t>OXFORD ST AT CIVIC 1545 &lt;NB&gt;</t>
  </si>
  <si>
    <t>f9997c41-d7fa-471c-a771-838605ff702c</t>
  </si>
  <si>
    <t>VICTORIA RD OPP CIVIC 108</t>
  </si>
  <si>
    <t>6331e0aa-c764-4922-8742-7ac0d8f74d4f</t>
  </si>
  <si>
    <t>OXFORD ST AT CIVIC 1598 &lt;SB&gt;</t>
  </si>
  <si>
    <t>5143c5ac-8916-4b03-884f-ce2e172d4025</t>
  </si>
  <si>
    <t>WALKER CON. FS OLD SACKVILLE RD</t>
  </si>
  <si>
    <t>02d8603b-796c-4a6d-9e8e-39fa63eeb855</t>
  </si>
  <si>
    <t>OXFORD ST AT CIVIC 1615 &lt;NB&gt;</t>
  </si>
  <si>
    <t>669a8a9c-75bd-4acc-a1d7-6cbd88027a2e</t>
  </si>
  <si>
    <t>WALKER CON. NS OLD SACKVILLE RD</t>
  </si>
  <si>
    <t>da07a307-24d4-440f-b4c1-e328293db91d</t>
  </si>
  <si>
    <t>OXFORD ST AT CIVIC 2505 &lt;NB&gt;</t>
  </si>
  <si>
    <t>b638dd13-30ea-4908-ac8f-a2e7cf08b2a2</t>
  </si>
  <si>
    <t>DOWNSVIEW AT WENDYS</t>
  </si>
  <si>
    <t>81f42227-cda3-4f32-8e36-43a0d627107b</t>
  </si>
  <si>
    <t>OXFORD ST AT CIVICIC 2749 &lt;NB&gt;</t>
  </si>
  <si>
    <t>49efaf34-17b9-4556-b13c-85135c1654ce</t>
  </si>
  <si>
    <t>WATER ST TRANSIT TERMINAL</t>
  </si>
  <si>
    <t>19c53923-321b-4dd4-b7df-5423c80a4948</t>
  </si>
  <si>
    <t>GOTTINGEN ST EB FS NORTH ST</t>
  </si>
  <si>
    <t>cc9a84b5-c4de-4a2d-b636-ced92d458099</t>
  </si>
  <si>
    <t>BRAEMAR DR AT SUTHERLAND TERR</t>
  </si>
  <si>
    <t>778b45af-47dc-4594-81ab-c63f48ce7505</t>
  </si>
  <si>
    <t>GOTTINGEN ST SB FS YOUNG ST</t>
  </si>
  <si>
    <t>10ee5dc4-18d8-4d06-aac3-a122e4c7944b</t>
  </si>
  <si>
    <t>DAMASCUS AT TURNING LOOP</t>
  </si>
  <si>
    <t>ee009c92-0cdf-40a5-a569-f15395117d0e</t>
  </si>
  <si>
    <t>GOTTINGEN ST AT 2034 NS COGSWELL ST</t>
  </si>
  <si>
    <t>9e59301d-e673-44b5-b306-caa9ba52e08d</t>
  </si>
  <si>
    <t>CLARENCE ST AT CIVIC 32</t>
  </si>
  <si>
    <t>e09417fe-ceb6-48fd-9d8e-cea89c0e100c</t>
  </si>
  <si>
    <t>GOTTINGEN ST &lt;EB&gt; NS AHERN MANOR</t>
  </si>
  <si>
    <t>a27cf20b-9f12-4b7f-b6ed-edc89afe1f02</t>
  </si>
  <si>
    <t>CLARENCE ST AT CIVIC 6</t>
  </si>
  <si>
    <t>0c9e1e2b-d782-489d-825f-3bd52b440a76</t>
  </si>
  <si>
    <t>2011-01-21T04:00:00.000Z</t>
  </si>
  <si>
    <t>GOTTINGEN ST NB AT COGSWELL ST</t>
  </si>
  <si>
    <t>89c4058a-f86e-466d-a5f6-95a7dab0bd05</t>
  </si>
  <si>
    <t>WINDMILL RD  RD FS AKERLEY BLVD</t>
  </si>
  <si>
    <t>8545e630-f746-4bc5-a9d7-62e9e14b6444</t>
  </si>
  <si>
    <t>GOTTINGEN ST NS CORNWALLIS ST &lt;NB&gt;</t>
  </si>
  <si>
    <t>4c0c3d7f-4e30-4c8b-9ba1-d6bc4b321533</t>
  </si>
  <si>
    <t>WINDMILL RD  FS ALBRO LAKE RD</t>
  </si>
  <si>
    <t>6391149b-9a72-4c96-a2db-c2cce0a0af59</t>
  </si>
  <si>
    <t>GOTTINGEN ST NS CUNARD ST &lt;NB&gt;</t>
  </si>
  <si>
    <t>35d13dc8-1edc-4477-97ec-392f9aa62a01</t>
  </si>
  <si>
    <t>WINDMILL RD  FS DAWSON ST</t>
  </si>
  <si>
    <t>51bf617f-924e-49d8-83f2-22084a3059b1</t>
  </si>
  <si>
    <t>GOTTINGEN ST NS GERRISH ST&lt;SB&gt;</t>
  </si>
  <si>
    <t>09319cc7-bb8a-4450-989a-5c70fd35d785</t>
  </si>
  <si>
    <t>WINDMILL RD  FS PRINCESS MARGARET BLVD</t>
  </si>
  <si>
    <t>795d2620-d26c-47b0-9b56-a15e8336f63a</t>
  </si>
  <si>
    <t>ROBIE ST NS CABOT &lt;SB&gt;</t>
  </si>
  <si>
    <t>005ceee2-b0f2-432f-b350-9093e39ed5f7</t>
  </si>
  <si>
    <t>WINDMILL RD  FS SHANNON PLAZA</t>
  </si>
  <si>
    <t>cef65df6-12ec-4a33-a36c-6bc8838dda08</t>
  </si>
  <si>
    <t>ROBIE ST NS CABOT &lt;NB&gt;</t>
  </si>
  <si>
    <t>17899b2c-fd93-46ba-a2bd-da8eeedb13f5</t>
  </si>
  <si>
    <t>WINDMILL RD  FS TRINITY AVE</t>
  </si>
  <si>
    <t>97d9d8c1-3556-4797-b63f-42f757ef8482</t>
  </si>
  <si>
    <t>ROBIE ST NS COMPTON &lt;SB&gt;</t>
  </si>
  <si>
    <t>9457789f-f5a3-43fb-a41b-9716e2d258a8</t>
  </si>
  <si>
    <t>WINDMILL RD  FS VICTORIA RD</t>
  </si>
  <si>
    <t>d410aaeb-efba-45be-bf76-34de00d1cf3f</t>
  </si>
  <si>
    <t>BEDFORD HWY OPP LARRY UTECK BLVD</t>
  </si>
  <si>
    <t>ee2363df-581c-45a4-bf35-329e86c9aca0</t>
  </si>
  <si>
    <t>WINDMILL RD  FS WRIGHT AVE</t>
  </si>
  <si>
    <t>f11075cf-5357-46f1-a445-afe72b607e66</t>
  </si>
  <si>
    <t>BEDFORD HWY OPP FERN AVE</t>
  </si>
  <si>
    <t>5da5d2b7-4da1-456d-8ffd-36e0bda4dafe</t>
  </si>
  <si>
    <t>WINDMILL RD AT CIVIC 370</t>
  </si>
  <si>
    <t>32e14e9b-0794-4fc4-a066-85e4ae80cdcc</t>
  </si>
  <si>
    <t>BEDFORD HWY OPP KENT AVE</t>
  </si>
  <si>
    <t>32024130-4042-45a8-9046-429349387c6d</t>
  </si>
  <si>
    <t>WINDMILL RD AT CIVIC 623</t>
  </si>
  <si>
    <t>4e0885ac-2519-4103-b670-8866b36c75f3</t>
  </si>
  <si>
    <t>BEDFORD HWY OPP LODGE DR</t>
  </si>
  <si>
    <t>27c4bb79-02a3-416e-92bb-94a6e2b8f53a</t>
  </si>
  <si>
    <t>WINDMILL RD  AT CIVIC 520</t>
  </si>
  <si>
    <t>f77158ae-8176-4b09-ab46-ccc1d52f60ce</t>
  </si>
  <si>
    <t>BEDFORD HWY AT CIVIC 748</t>
  </si>
  <si>
    <t>9f777b23-e12c-4d57-b87a-372bd04f80bc</t>
  </si>
  <si>
    <t>WINDMILL RD  AT CIVIC 552</t>
  </si>
  <si>
    <t>6ed2fe47-a34c-4824-8bc2-b9fcbd0c6709</t>
  </si>
  <si>
    <t>MACDONALD AVE AT NSCSA</t>
  </si>
  <si>
    <t>684e6bae-a3d5-4abc-afed-f849e8c4a6d8</t>
  </si>
  <si>
    <t>WINDMILL RD AT CIVIC 618</t>
  </si>
  <si>
    <t>80e0c6db-1ec2-44e3-9e1b-4503126766c0</t>
  </si>
  <si>
    <t>BEDFORD HWY OPP ROCKY LAKE DR</t>
  </si>
  <si>
    <t>0856b49f-486b-4df0-801b-5a49b1ab1d3e</t>
  </si>
  <si>
    <t>WINDMILL RD  NS CIVIC 395</t>
  </si>
  <si>
    <t>7c3597f0-4d96-48d5-91c2-248f29ce79b2</t>
  </si>
  <si>
    <t>BEDFORD HWY OPP SPRING AVE</t>
  </si>
  <si>
    <t>ca43dcfe-0b14-4f34-a83b-1477cc7bafc7</t>
  </si>
  <si>
    <t>WINDMILL RD  NS DAWN DR</t>
  </si>
  <si>
    <t>218125ed-9130-44fe-97f0-673dd8816939</t>
  </si>
  <si>
    <t>BEDFORD HWY AT BEDFORD TOWER</t>
  </si>
  <si>
    <t>234a50eb-1277-4896-a152-82cf4d4abb33</t>
  </si>
  <si>
    <t>CUNARD ST FS ROBIE ST</t>
  </si>
  <si>
    <t>a54f49ae-edaf-400b-bae6-872da402ed1f</t>
  </si>
  <si>
    <t>BEDFORD HWY AT CIVIC 1157</t>
  </si>
  <si>
    <t>887aa3db-6271-4060-84a2-3fbeac8e4ea2</t>
  </si>
  <si>
    <t>CUTTER DR NS STARBOARD DR</t>
  </si>
  <si>
    <t>f4d1addc-33e6-4b98-83bf-41c1c8f68cd2</t>
  </si>
  <si>
    <t>BEDFORD HWY AT CIVIC 836</t>
  </si>
  <si>
    <t>3940fb22-864d-4252-8e0f-8e47698e7a2c</t>
  </si>
  <si>
    <t>DARTMOUTH RD FS CIVIC 128</t>
  </si>
  <si>
    <t>c0e16638-aa85-45a6-9f34-a6408e7204de</t>
  </si>
  <si>
    <t>BEDFORD HWY AT ESQUIRE MOTEL</t>
  </si>
  <si>
    <t>94fa0513-8738-44d2-9a52-0d0f8b23c44a</t>
  </si>
  <si>
    <t>DARTMOUTH RD FS CIVIC 94</t>
  </si>
  <si>
    <t>1b62cf12-f1c9-40eb-8a92-4bd3af2c14c0</t>
  </si>
  <si>
    <t>BEDFORD HWY AT LODGE DR</t>
  </si>
  <si>
    <t>807f7d05-3fab-448b-a97b-3bf46fcf0481</t>
  </si>
  <si>
    <t>DARTMOUTH RD FS EAGLEWOOD DR</t>
  </si>
  <si>
    <t>41c2ab46-355c-4f55-9674-1431a22382cb</t>
  </si>
  <si>
    <t>BEDFORD HWY AT SHAUNSLIEVE DR</t>
  </si>
  <si>
    <t>9a3e6bc6-e911-40bf-a520-741b81774b0c</t>
  </si>
  <si>
    <t>DARTMOUTH RD FS NORTH ST</t>
  </si>
  <si>
    <t>ed700c6c-ce45-4d55-a9f3-3f4555b2b0c3</t>
  </si>
  <si>
    <t>BEDFORD HWY AT CONVOY RUN</t>
  </si>
  <si>
    <t>557d4bdf-ca5f-466e-a94c-531c333130b1</t>
  </si>
  <si>
    <t>DARTMOUTH RD FS OBRINE ST</t>
  </si>
  <si>
    <t>ec92b156-a183-46b7-8920-073076421f9d</t>
  </si>
  <si>
    <t>9d752d9e-3105-4aac-80fa-7da26ccd9366</t>
  </si>
  <si>
    <t>DARTMOUTH RD NS DARTMOUR CR</t>
  </si>
  <si>
    <t>d15fda40-a6b8-4d75-a5c9-28672a7a8e9a</t>
  </si>
  <si>
    <t>BEDFORD HWY AT SUNNYSIDE ESSO</t>
  </si>
  <si>
    <t>5f4f108e-f01d-4320-a473-e59e7b19b1ee</t>
  </si>
  <si>
    <t>DARTMOUTH RD NS RIDGEVALE DR</t>
  </si>
  <si>
    <t>2fc21e50-ee25-497e-b362-f36a851f27de</t>
  </si>
  <si>
    <t>BEDFORD HWY OB AT DART. RD</t>
  </si>
  <si>
    <t>b98ef2a6-0c5c-41a5-86ac-1483c120aa3b</t>
  </si>
  <si>
    <t>DARTMOUTH RD NS WARDOOR ST</t>
  </si>
  <si>
    <t>970a2311-6091-4bf2-90da-bd8e8d28a45c</t>
  </si>
  <si>
    <t>BEDFORD HWY NS LARRY UTECK BLVD</t>
  </si>
  <si>
    <t>98374d7e-ca3e-4217-a229-58fef3f9472d</t>
  </si>
  <si>
    <t>DENIITH AT PARK N RIDE</t>
  </si>
  <si>
    <t>6395422f-0b19-4bf4-baea-e7d7c207bd5c</t>
  </si>
  <si>
    <t>BEDFORD HWY AT HOLLAND AVE</t>
  </si>
  <si>
    <t>e6217035-eb7a-4ff7-938d-d935cef5a982</t>
  </si>
  <si>
    <t>CHAIN LAKE DR [OB] AT SUBWAY</t>
  </si>
  <si>
    <t>62ce1fcd-758b-4b3a-8538-5cb169e4e65e</t>
  </si>
  <si>
    <t>BEDFORD HWY AT NELSONS LANDING BLVD</t>
  </si>
  <si>
    <t>6697b67d-dd2a-41f7-a718-f13854de8e20</t>
  </si>
  <si>
    <t>CHAIN LAKE DR OPP ALTANTIC TENNIS COURTS</t>
  </si>
  <si>
    <t>93dd6760-9d2c-474d-bd32-7550ea10af90</t>
  </si>
  <si>
    <t>BEDFORD HWY AT TALL TREES LANE</t>
  </si>
  <si>
    <t>43a85599-dcb8-4282-8f9f-b674d13df6ae</t>
  </si>
  <si>
    <t>BEDFORD HWY AT CIVIC 1749</t>
  </si>
  <si>
    <t>2fe76ed2-58ec-48e5-801f-cdbae26e7c5e</t>
  </si>
  <si>
    <t>CHEBUCTO RD &lt;WB&gt; FS OXFORD ST</t>
  </si>
  <si>
    <t>ceea8d30-b8b3-4b0f-8eb0-224bb7cdfecb</t>
  </si>
  <si>
    <t>BEDFORD HWY AT CIVIC 1189</t>
  </si>
  <si>
    <t>111d7e47-ce4f-4bf8-a0a6-0c4c98af8331</t>
  </si>
  <si>
    <t>CHEBUCTO RD &lt;EB&gt; FS OXFORD ST</t>
  </si>
  <si>
    <t>ea415520-bca0-42eb-a80d-d9787e79ed29</t>
  </si>
  <si>
    <t>BEDFORD HWY AT BEDFORD PLACE MALL</t>
  </si>
  <si>
    <t>3d43951e-c296-4aa4-b91f-6095ef5b241b</t>
  </si>
  <si>
    <t>CHEBUCTO RD FS PHILLIPS ST [OB]</t>
  </si>
  <si>
    <t>01fb0a5f-6f72-4723-9a67-5237946a938e</t>
  </si>
  <si>
    <t>CHEBUCTO RD FS ARMDALE ROUNDABOUT</t>
  </si>
  <si>
    <t>d8c0fc47-9aec-4a17-ab8a-7b9c68133cad</t>
  </si>
  <si>
    <t>BAYERS RD &lt;EB&gt; AT ROMANS AVE</t>
  </si>
  <si>
    <t>cdb36be6-d550-49cb-8833-a36259870749</t>
  </si>
  <si>
    <t>BAYERS RD &lt;WB&gt; AT ROMANS AVE</t>
  </si>
  <si>
    <t>48dc9f01-5d37-470b-a492-69f6a3e0364c</t>
  </si>
  <si>
    <t>CHEBUCTO RD FS ST MATTHIAS</t>
  </si>
  <si>
    <t>0f82769f-1551-4249-b0a5-b9308c6af019</t>
  </si>
  <si>
    <t>BAYERS RD &lt;WB&gt; AT CIVIC 6779</t>
  </si>
  <si>
    <t>d59d29a6-c773-4dcf-be56-31f7c6861828</t>
  </si>
  <si>
    <t>CHEBUCTO RD &lt;EB&gt; FS OPP DUBLIN ST</t>
  </si>
  <si>
    <t>c5c717b1-272e-4067-a37a-a5109e264940</t>
  </si>
  <si>
    <t>BAYERS RD &lt;WB&gt; AT CONNOLLY ST</t>
  </si>
  <si>
    <t>88af3abd-3d57-40f8-80b9-97d0ca1685a5</t>
  </si>
  <si>
    <t>CHEBUCTO RD AT CIVIC 6361</t>
  </si>
  <si>
    <t>50d3496b-efcc-44c8-aa09-12c2467420f8</t>
  </si>
  <si>
    <t>ROBIE ST NS OPP OAKLAND</t>
  </si>
  <si>
    <t>c6d68bf5-52c1-4a6a-a30d-f17bacd8ec83</t>
  </si>
  <si>
    <t>CHEBUCTO RD &lt;EB&gt; NS ARMCRESCENT</t>
  </si>
  <si>
    <t>afa7d0f1-c4bf-47f3-aaf2-ae2cbb027a80</t>
  </si>
  <si>
    <t>BAYERS RD &lt;EB&gt; AT CONNOLLY ST</t>
  </si>
  <si>
    <t>72a405a1-0c56-4bc4-8d7c-2af2cf27da7e</t>
  </si>
  <si>
    <t>CHEBUCTO RD &lt;WB&gt; NS CONNAUGHT AVE</t>
  </si>
  <si>
    <t>55a68017-563f-4769-9779-efcd07ed257c</t>
  </si>
  <si>
    <t>BEACON ST FS CIVIC 3</t>
  </si>
  <si>
    <t>3d69e2b1-dc57-46a9-a50d-bc56d10cedc1</t>
  </si>
  <si>
    <t>CHEBUCTO RD &lt;WB&gt; NS CONNOLLY ST</t>
  </si>
  <si>
    <t>ac51a8e8-0e9e-4996-8845-14a90a79783d</t>
  </si>
  <si>
    <t>BEACON ST NS HARRIS RD</t>
  </si>
  <si>
    <t>89672a82-358d-4236-bda7-124bb61cba69</t>
  </si>
  <si>
    <t>CHEBUCTO RD &lt;EB&gt;NS ELM ST</t>
  </si>
  <si>
    <t>8d01b900-4469-4598-8c63-9bc4cbcc4cdf</t>
  </si>
  <si>
    <t>BEAUFORT AVE &lt;SB&gt; FS SOUTH ST</t>
  </si>
  <si>
    <t>11a4a8c1-fc6f-4698-b1c8-3a1f5840872a</t>
  </si>
  <si>
    <t>CHEBUCTO RD &lt;EB&gt;NS NEWTON ST</t>
  </si>
  <si>
    <t>9cb8e6d9-170f-4c6b-8bf3-28ca5f06c6ed</t>
  </si>
  <si>
    <t>BEAUFORT AVE &lt;NB&gt; AT CIVIC 1021</t>
  </si>
  <si>
    <t>ccb470da-c5b6-4d34-a521-9b1658b7cfc1</t>
  </si>
  <si>
    <t>CHEBUCTO RD NS PHILLIPS ST  [IB]</t>
  </si>
  <si>
    <t>18233315-2ae6-422d-aea6-9d2d54e2d9dd</t>
  </si>
  <si>
    <t>BEAUFORT AVE &lt;SB&gt; NS INGLIS ST</t>
  </si>
  <si>
    <t>e6d9cd04-b6e9-4cb0-b497-f9b8aa80d8a4</t>
  </si>
  <si>
    <t>CHEBUCTO RD &lt;EB&gt; NS QUINN ST</t>
  </si>
  <si>
    <t>36a71d90-91d0-4874-b94d-53b8f7eff913</t>
  </si>
  <si>
    <t>BEAUFORT AVE SB NS OAKLAND RD</t>
  </si>
  <si>
    <t>c1611fbd-7a28-415c-8081-62b0644f94ac</t>
  </si>
  <si>
    <t>CHEBUCTO RD NS ARMDALE ROUNDABOUT</t>
  </si>
  <si>
    <t>7c17dda5-eee6-4be9-a78f-c36f77c25ad5</t>
  </si>
  <si>
    <t>BEAUFORT AVE NB NS OAKLAND RD</t>
  </si>
  <si>
    <t>c3775166-64b0-41d9-bb50-dc125d797c59</t>
  </si>
  <si>
    <t>CHEBUCTO RD NS THE BAY [OB]</t>
  </si>
  <si>
    <t>e5c9e905-f791-4415-a0a6-49371bd39b7b</t>
  </si>
  <si>
    <t>BEAUFORT AVE &lt;NB&gt; NS SOUTH ST</t>
  </si>
  <si>
    <t>edae8113-e72f-4706-add4-34bd47936893</t>
  </si>
  <si>
    <t>CHEBUCTO RD OPP BENJAMIN GREEN DR</t>
  </si>
  <si>
    <t>119052d1-30a0-49b3-97e6-a9fd9c953156</t>
  </si>
  <si>
    <t>BEAVER BANK RD FS FIRE DEPT</t>
  </si>
  <si>
    <t>7ead016c-8d25-407f-83c4-dcb540a9b892</t>
  </si>
  <si>
    <t>CHEBUCTO RD &lt;WB&gt; OPP QUINN ST</t>
  </si>
  <si>
    <t>986dd190-9243-4102-8414-c4e871454014</t>
  </si>
  <si>
    <t>BEAVER BANK RD FS GLORIA  AVE</t>
  </si>
  <si>
    <t>56700bd8-aab5-4466-b0f9-de7ed501de98</t>
  </si>
  <si>
    <t>CHEBUCTO RD OPP THE BAY [IB]</t>
  </si>
  <si>
    <t>8a9ff0fb-cc7d-4e1c-9131-b0d1cf237711</t>
  </si>
  <si>
    <t>CHERRY BROOK RD AT CIVIC 126 &lt;SB&gt;</t>
  </si>
  <si>
    <t>dc8b240f-67e9-44a6-b48f-d2a93e559bf5</t>
  </si>
  <si>
    <t>BEAVER BANK RD NS GLORIA AVE</t>
  </si>
  <si>
    <t>49bb5117-ecc3-4fae-ad51-1fe8d6ecfaab</t>
  </si>
  <si>
    <t>BEAVER BANK RD AT CIVIC 5</t>
  </si>
  <si>
    <t>8121753c-2f02-4b19-bfbd-d03b9048fe1a</t>
  </si>
  <si>
    <t>CHERRY BROOK RD FS MACLAUGHLIN RD</t>
  </si>
  <si>
    <t>7cb4d2f0-ca9e-4a98-b818-7582c97348e6</t>
  </si>
  <si>
    <t>BEDFORD HWY AT MELODY (MSVU)</t>
  </si>
  <si>
    <t>d5c4e8ba-ab7e-41bd-809c-cb1cbce3cb08</t>
  </si>
  <si>
    <t>CHERRY BROOK RD AT JR HIGH SCHOOL</t>
  </si>
  <si>
    <t>4a436e6c-5194-4ce9-8155-ba3f2fd59a9f</t>
  </si>
  <si>
    <t>BEDFORD HWY NS SHERBROOKE DR</t>
  </si>
  <si>
    <t>af79bf27-c0a4-4f4f-99e6-ae27a09951de</t>
  </si>
  <si>
    <t>CHERRY BROOK RD NS HWY #7</t>
  </si>
  <si>
    <t>20c6a53c-b8ab-4932-b3d0-28e8d858845f</t>
  </si>
  <si>
    <t>BEDFORD HWY OPP MSVU</t>
  </si>
  <si>
    <t>cae5b90e-4320-4152-9089-a96d671ce4d4</t>
  </si>
  <si>
    <t>CHERRYBROOK RD AT CIVIC 202</t>
  </si>
  <si>
    <t>17253949-6d22-49e5-9ae8-5dc3ce58c705</t>
  </si>
  <si>
    <t>PARKLAND DR DR NS WOODBURY COMPLEX</t>
  </si>
  <si>
    <t>6b3c8f19-f5a6-4fc3-9da9-ac9b31716dcd</t>
  </si>
  <si>
    <t>CIRCASSION DR FS CIVIC 199</t>
  </si>
  <si>
    <t>3aa76ddb-351e-467b-961b-8f836bec36d8</t>
  </si>
  <si>
    <t>PARKLAND DR DR OPP BETHANY WAY</t>
  </si>
  <si>
    <t>9fffe5e7-c637-4f85-b9b6-f888d6817700</t>
  </si>
  <si>
    <t>CIRCASSION DR FS POPLAR DR</t>
  </si>
  <si>
    <t>975ae2e1-b8c8-41e5-9e1f-cfbf5e51ea7a</t>
  </si>
  <si>
    <t>PARKLAND DR DR OPP CIVIC 51</t>
  </si>
  <si>
    <t>53b5b40f-d99c-4f0f-becd-1e0e774eee38</t>
  </si>
  <si>
    <t>CIRCASSION DR AT CIVIC 110</t>
  </si>
  <si>
    <t>78616ae5-456c-4167-b85d-933980366ec3</t>
  </si>
  <si>
    <t>PEARL DR AT CIVIC 46</t>
  </si>
  <si>
    <t>5193c3c4-704b-45aa-9039-0e769b7ed6dc</t>
  </si>
  <si>
    <t>CIRCASSION DR AT CIVIC 19</t>
  </si>
  <si>
    <t>05efb01a-fe2e-4500-8658-5baf069a1ceb</t>
  </si>
  <si>
    <t>PEARL DR NS AMETHYST CR</t>
  </si>
  <si>
    <t>8757383e-4c1f-4122-96c3-d56261c33e24</t>
  </si>
  <si>
    <t>CIRCASSION DR AT CIVIC 78</t>
  </si>
  <si>
    <t>4b030b36-c8f3-4a55-b10c-e62940c0e2f8</t>
  </si>
  <si>
    <t>PEDDARS WAY NS BOW ST</t>
  </si>
  <si>
    <t>a517728d-72be-42d2-bc34-359a9c42fdde</t>
  </si>
  <si>
    <t>CIRCASSION DR DR AT CIVIC 85</t>
  </si>
  <si>
    <t>5ec7c523-cae2-4937-ad59-81797980f4f4</t>
  </si>
  <si>
    <t>MT EDWARD RD NS CRANBERRY CR</t>
  </si>
  <si>
    <t>247355a6-a7b9-4680-84fe-a991bfdcbedd</t>
  </si>
  <si>
    <t>CIRCASSION DR OPP CIVIC 134</t>
  </si>
  <si>
    <t>f459d94c-1d86-4593-a935-a0e04b2bdaca</t>
  </si>
  <si>
    <t>MT EDWARD RD NS STEWART HARRIS DR</t>
  </si>
  <si>
    <t>cf4e06c9-2acc-43e2-b803-4d9dd937c56d</t>
  </si>
  <si>
    <t>CIRCASSION DR OPP CIVIC 19</t>
  </si>
  <si>
    <t>430eb740-ae67-4c41-8038-3aeb4d609568</t>
  </si>
  <si>
    <t>MT EDWARD RD OPP CIVIC 119</t>
  </si>
  <si>
    <t>336eb059-ac48-40d2-9708-c176163e4302</t>
  </si>
  <si>
    <t>COBEQUID RD FS GLENDALE DR[OB]</t>
  </si>
  <si>
    <t>ef38fa92-509f-46fe-85a2-dce5d898e31b</t>
  </si>
  <si>
    <t>HAMMONDS PLAINS RD &lt;OP&gt; CIVIC 69</t>
  </si>
  <si>
    <t>6b054fe3-8f31-428c-b4c3-8ab4bdbbbcd7</t>
  </si>
  <si>
    <t>COBEQUID RD FS MACINTYRE LANE</t>
  </si>
  <si>
    <t>148f8158-a3ab-41be-ac1f-0709cf846ed4</t>
  </si>
  <si>
    <t>MAIN AVE NS HOMEWARD AVE &lt;WB&gt;</t>
  </si>
  <si>
    <t>ebf409c7-5090-4182-8ea5-5f1485fab347</t>
  </si>
  <si>
    <t>COBEQUID RD FS MAPLE GROVE DR</t>
  </si>
  <si>
    <t>05cdf6cb-dea6-42a4-8592-efd236ca2ee4</t>
  </si>
  <si>
    <t>MAIN AVE NS WILLET ST &lt;WB&gt;</t>
  </si>
  <si>
    <t>349d63ce-e2d8-4d79-a40f-d99d7ee5a992</t>
  </si>
  <si>
    <t>COBEQUID RD FS RAMP EXIT TO DAMASCUS RD</t>
  </si>
  <si>
    <t>62934546-20c0-424d-85ef-14879a9c0a8d</t>
  </si>
  <si>
    <t>MAIN ST AT CIVIC 126 &lt;EB&gt;</t>
  </si>
  <si>
    <t>74990313-2f4d-4d1b-9923-64a69d426782</t>
  </si>
  <si>
    <t>COBEQUID RD FS ZINCK TO DAMASCUS RD</t>
  </si>
  <si>
    <t>1d73d334-65e0-40e1-bcd6-cc60b22c4255</t>
  </si>
  <si>
    <t>MAIN ST FS TIM PARCLO</t>
  </si>
  <si>
    <t>367ed4c0-c972-4044-a4bc-225bd21f44d1</t>
  </si>
  <si>
    <t>COBEQUID RD NS CIVIC 112 TO DAMASCUS RD</t>
  </si>
  <si>
    <t>7ff92615-7d06-4703-b96d-8cc1df49b595</t>
  </si>
  <si>
    <t>MAIN ST NS MAJOR ST &lt;WB&gt;</t>
  </si>
  <si>
    <t>24657861-e2c7-489a-9bc1-8ca60fd8d2a6</t>
  </si>
  <si>
    <t>COBEQUID RD NS CIVIC 160 TO DAMASCUS RD</t>
  </si>
  <si>
    <t>0361c1be-9670-487a-a734-fc8fbb4f599d</t>
  </si>
  <si>
    <t>FLAMINGO DR AT SWALLOW ST</t>
  </si>
  <si>
    <t>a8fc5010-b874-40e1-be7f-ff6ef1b52b82</t>
  </si>
  <si>
    <t>COBEQUID RD NS GLENDALE DR</t>
  </si>
  <si>
    <t>593e0439-3741-4b55-bb52-a3a5dfaf161f</t>
  </si>
  <si>
    <t>MANOR DR NS PEDDARS WAY</t>
  </si>
  <si>
    <t>c3543220-d5e1-4663-9660-8cef3f963b85</t>
  </si>
  <si>
    <t>COBEQUID RD NS JUDY ANNE CT</t>
  </si>
  <si>
    <t>e4f7316b-3321-4cae-8485-ebe5868f055a</t>
  </si>
  <si>
    <t>MAPLEWOOD AVE FS CIVIC 67</t>
  </si>
  <si>
    <t>e24607b7-1596-46c6-927f-87c96875d3f0</t>
  </si>
  <si>
    <t>COBEQUID RD NS MCVEIGH CT</t>
  </si>
  <si>
    <t>789cc60d-47a3-4b43-b9c5-65fd604e4bc4</t>
  </si>
  <si>
    <t>MAPLEWOOD AVE FS EISENER ST</t>
  </si>
  <si>
    <t>56bdb837-b095-45dc-afc7-aa593b9ec266</t>
  </si>
  <si>
    <t>COBEQUID RD AT CIVIC 477</t>
  </si>
  <si>
    <t>60d8183c-b028-4854-a541-ea720a4f676f</t>
  </si>
  <si>
    <t>MAPLEWOOD AVE NS NORWAY MAPLE DR</t>
  </si>
  <si>
    <t>448f37dd-9429-4ad5-b231-36c58dad5cb1</t>
  </si>
  <si>
    <t>COBEQUID RD NS OPP HILLSIDE TO DAMASCUS RD</t>
  </si>
  <si>
    <t>0f270f8a-a86a-46e7-8a8c-7864912c0426</t>
  </si>
  <si>
    <t>MAPLEWOOD AVE NS NORWAY MAPLE DR [IB]</t>
  </si>
  <si>
    <t>ecb91a58-64b0-4ff5-b3ae-62c315da5c83</t>
  </si>
  <si>
    <t>COBEQUID RD NS OPP JUDY ANNE CT</t>
  </si>
  <si>
    <t>8eb76fe2-cd1b-486c-a75d-72be2acec9d0</t>
  </si>
  <si>
    <t>MARGARET RD NS MOUNTAIN RD</t>
  </si>
  <si>
    <t>e1015091-0e6e-460d-a42d-7c8cf8b9b569</t>
  </si>
  <si>
    <t>MARGARET RD OPP CIVIC 4</t>
  </si>
  <si>
    <t>86cf5073-8a28-423d-a9ec-6ece234134fb</t>
  </si>
  <si>
    <t>COBEQUID RD AT CIVIC 276</t>
  </si>
  <si>
    <t>46134548-fe14-4f2a-a30d-55ee564122a0</t>
  </si>
  <si>
    <t>MARGARET RD FS KNOBHILL CR</t>
  </si>
  <si>
    <t>efd0738a-e01a-4a7f-a97a-a126213985ce</t>
  </si>
  <si>
    <t>COBEQUID TERMINAL TO SACKVILLE (INSIDE)</t>
  </si>
  <si>
    <t>d412d6cd-4b38-46d9-9ef7-5bb3a2ea2749</t>
  </si>
  <si>
    <t>OSBORNE ST AT CIVIC 16 [IB]</t>
  </si>
  <si>
    <t>0b16b9a6-218c-4dc9-aabe-e8b0ff7b4e08</t>
  </si>
  <si>
    <t>c4192c21-7138-41a2-9523-bf3d564ab7e7</t>
  </si>
  <si>
    <t>MAYO ST AT CIVIC 7</t>
  </si>
  <si>
    <t>69a6ad58-45b1-4d26-a2ab-1bb84a207d9a</t>
  </si>
  <si>
    <t>COBURG RD  &lt;EB&gt; AT DUNN BLDG</t>
  </si>
  <si>
    <t>dc2d2ef8-7db9-47c0-b0c7-9a1d5e2cb388</t>
  </si>
  <si>
    <t>MAYO ST NS WITHROD DR</t>
  </si>
  <si>
    <t>6550cda5-5dc6-4dc2-937a-7dd64877dedb</t>
  </si>
  <si>
    <t>COBURG RD &lt;WB&gt; NS HENRY ST</t>
  </si>
  <si>
    <t>7b6ffa96-3024-4365-aee3-4ff27c3f203e</t>
  </si>
  <si>
    <t>COBURG RD &lt;EB&gt;  NS LEMARCHANT ST</t>
  </si>
  <si>
    <t>8db0aa11-d61d-49b8-9e46-c2d31cc695c8</t>
  </si>
  <si>
    <t>MEADOWBROOK DR FS BASINVIEW DR</t>
  </si>
  <si>
    <t>91f08eb1-62a2-499a-935c-de684a643142</t>
  </si>
  <si>
    <t>COBURG RD &lt;WB&gt; NS LEMARCHANT ST</t>
  </si>
  <si>
    <t>a3b0f752-43d3-4667-94b0-3d12f6c1bd1d</t>
  </si>
  <si>
    <t>MEADOWBROOK DR FS BEECH ST</t>
  </si>
  <si>
    <t>8fd55ed8-966a-40a2-b645-763ff2fdb362</t>
  </si>
  <si>
    <t>MEADOWBROOK DR AT CIVIC 105</t>
  </si>
  <si>
    <t>8c5e75a4-4c4e-4f21-970b-178077e76a4a</t>
  </si>
  <si>
    <t>COBURG RD &lt;WB&gt; NS LILAC ST</t>
  </si>
  <si>
    <t>27284650-fd77-479e-9347-aa3d10bb10ff</t>
  </si>
  <si>
    <t>MEADOWBROOK DR AT CIVIC 60</t>
  </si>
  <si>
    <t>b54a6f2b-90b6-4ab5-b3f1-bcd78b575e8c</t>
  </si>
  <si>
    <t>COBURG RD &lt;EB&gt; NS ROBIE ST</t>
  </si>
  <si>
    <t>637e4217-e9d9-4d25-bc77-94e88487e312</t>
  </si>
  <si>
    <t>MEADOWBROOK DR NS PLEASANT ST</t>
  </si>
  <si>
    <t>caf137d8-8eb1-4d04-ad78-ea379bd02979</t>
  </si>
  <si>
    <t>COBURG RD &lt;EB&gt; OPP COBURG PLACE</t>
  </si>
  <si>
    <t>d28ba3e5-9975-413e-bc73-569e5d6bc806</t>
  </si>
  <si>
    <t>RUSSELL LAKE DR FS EISENER DR</t>
  </si>
  <si>
    <t>961fab06-2a83-4cf3-89b2-25ac0ec3893a</t>
  </si>
  <si>
    <t>PORTLAND ST AT MAZDA &lt;EB&gt;</t>
  </si>
  <si>
    <t>aa1370f3-1e8c-49c1-8306-ab83731348c6</t>
  </si>
  <si>
    <t>RUSSELL LAKE DR FS PORT.EST.WEST</t>
  </si>
  <si>
    <t>4eab62a2-ede0-4072-8370-a7ec82ee244e</t>
  </si>
  <si>
    <t>PORTLAND ST FS GASTON &lt;EB&gt;</t>
  </si>
  <si>
    <t>b87afb75-150f-4eda-b63d-486242fbfe1a</t>
  </si>
  <si>
    <t>RUSSELL LAKE DR NS EISENER DR</t>
  </si>
  <si>
    <t>218f70b6-3ff9-4c7c-9261-51bed92c0d48</t>
  </si>
  <si>
    <t>PORTLAND ST FS HAWTHORNE &lt;WB&gt;</t>
  </si>
  <si>
    <t>c6254a0e-eb6d-4bf5-a8f4-e673d588cf1e</t>
  </si>
  <si>
    <t>RUSSELL LAKE DR NS GEORGIAN CT</t>
  </si>
  <si>
    <t>3e518e70-950d-458f-b351-14bebb7df2a8</t>
  </si>
  <si>
    <t>PORTLAND ST FS JERSEY &lt;EB&gt;</t>
  </si>
  <si>
    <t>360ae157-1801-4494-b727-e1f00ad03150</t>
  </si>
  <si>
    <t>RUSSELL LAKE DR AT CIVIC 30</t>
  </si>
  <si>
    <t>671a479a-78de-4bab-b2a5-af86c7f1dd3c</t>
  </si>
  <si>
    <t>PORTLAND ST FS JERSEY &lt;WB&gt;</t>
  </si>
  <si>
    <t>13dee62f-d239-487e-9c0d-71330b862922</t>
  </si>
  <si>
    <t>SACKVILLE DR NS WALMART ENTRANCE</t>
  </si>
  <si>
    <t>72a44a31-3f1c-4dcb-93b1-70bc76bed821</t>
  </si>
  <si>
    <t>PORTLAND ST FS LAKEFRONT &lt;WB&gt;</t>
  </si>
  <si>
    <t>0e361a28-a911-4241-bdfd-58eb5f1ed7a6</t>
  </si>
  <si>
    <t>96383297-8104-4824-95c3-38e95c4c108b</t>
  </si>
  <si>
    <t>PORTLAND ST FS MAYNARD &lt;WB&gt;</t>
  </si>
  <si>
    <t>a66ad6e6-5ad7-4976-b241-4e07f655d33d</t>
  </si>
  <si>
    <t>SCOT ST ST NS DESMOND AVE &lt;EB&gt;</t>
  </si>
  <si>
    <t>ea6b203a-236a-4b7a-9e1a-300c12b9292a</t>
  </si>
  <si>
    <t>PORTLAND ST FS PRINCE ARTHUR &lt;EB&gt;</t>
  </si>
  <si>
    <t>edd0fd20-2bd2-4333-8cf1-80853037ecb7</t>
  </si>
  <si>
    <t>SEA KING DR FS LANCASTER DR</t>
  </si>
  <si>
    <t>71463800-f844-433e-92cb-34ed4fa1259d</t>
  </si>
  <si>
    <t>PORTLAND ST FS SETTLE &lt;WB&gt;</t>
  </si>
  <si>
    <t>377c0b9d-3aa1-420e-aa60-b8b5da1843dd</t>
  </si>
  <si>
    <t>SEA KING DR AT CIVIC 6</t>
  </si>
  <si>
    <t>a4923cdc-e5c7-43eb-9dbc-6805432ea16e</t>
  </si>
  <si>
    <t>PORTLAND ST FS SPRING &lt;EB&gt;</t>
  </si>
  <si>
    <t>3d067c70-872f-4612-90de-7baf51008562</t>
  </si>
  <si>
    <t>JOSEPH HOWE DR FS SPRUCE  &lt;NB&gt;</t>
  </si>
  <si>
    <t>358b681a-93e6-4fd6-a3dc-a9253a1fb014</t>
  </si>
  <si>
    <t>PORTLAND ST FS SPRING &lt;WB&gt;</t>
  </si>
  <si>
    <t>72780317-492a-4105-93ba-93528207cf19</t>
  </si>
  <si>
    <t>JOSEPH HOWE DR SB AT HARRIS &amp; ROOME</t>
  </si>
  <si>
    <t>30321c00-69d3-41eb-8fb6-04035e7aca9d</t>
  </si>
  <si>
    <t>PORTLAND  HILLS TERMINAL</t>
  </si>
  <si>
    <t>d7d88d91-b6e8-413c-8b98-8679770c268c</t>
  </si>
  <si>
    <t>JOSEPH HOWE DR NS CIVIC 3825</t>
  </si>
  <si>
    <t>004062bd-5635-4967-8489-120ba6affdb3</t>
  </si>
  <si>
    <t>PORTLAND  HILLS METROLINK</t>
  </si>
  <si>
    <t>e5daa965-71da-4ddb-a569-817543d6ff96</t>
  </si>
  <si>
    <t>JOSEPH HOWE DR &lt;NB&gt; NS DUTCH VILLAGE</t>
  </si>
  <si>
    <t>27a75233-aa90-4552-814a-936c3662aceb</t>
  </si>
  <si>
    <t>PORTLAND ST FS WOODLAWN RD</t>
  </si>
  <si>
    <t>1e292c68-aa45-49c7-8ceb-07aa8b69da9c</t>
  </si>
  <si>
    <t>JOSEPH HOWE DR NS SCOT ST</t>
  </si>
  <si>
    <t>4f88ce50-5a50-404d-aa62-3985bb98b30e</t>
  </si>
  <si>
    <t>PORTLAND ST AT CIVIC 254 &lt;EB&gt;</t>
  </si>
  <si>
    <t>0b1f2f19-27b3-404b-8733-6e562f2dac9d</t>
  </si>
  <si>
    <t>BARRINGTON ST &lt;NB&gt; OPP DEVONSHIRE ST</t>
  </si>
  <si>
    <t>f1a1dda2-6856-4f59-844d-a9e081f21151</t>
  </si>
  <si>
    <t>PORTLAND ST AT CIVIC 308 &lt;EB&gt;</t>
  </si>
  <si>
    <t>2dcf481f-1a96-493a-be7c-bf66273928a8</t>
  </si>
  <si>
    <t>BASINVIEW DR FS ATLEE CT</t>
  </si>
  <si>
    <t>6d491c92-7cfe-45a9-9633-856b98b7aedb</t>
  </si>
  <si>
    <t>PORTLAND ST AT CIVIC 347 &lt;WB&gt;</t>
  </si>
  <si>
    <t>8f79ab20-5939-4745-a472-51157b1d762c</t>
  </si>
  <si>
    <t>BASINVIEW DR FS GLEN MOIR TERR</t>
  </si>
  <si>
    <t>3d705483-98e7-4a8d-9f0b-b89937ebe604</t>
  </si>
  <si>
    <t>PORTLAND ST AT PONTIAC &lt;EB&gt;</t>
  </si>
  <si>
    <t>e9cb5941-dcc0-4eae-9230-ec5aff4f25ab</t>
  </si>
  <si>
    <t>BASINVIEW DR FS HAMMONDS PLAINS RD</t>
  </si>
  <si>
    <t>b5771102-a79b-4a71-aaf2-b2acb07a9cb4</t>
  </si>
  <si>
    <t>KENNEDY DR FS CHURCHILL &lt;WB&gt;</t>
  </si>
  <si>
    <t>d29e07b2-4259-4c88-919e-c3ecf87d9e1e</t>
  </si>
  <si>
    <t>BASINVIEW DR FS OPP CIVIC 284</t>
  </si>
  <si>
    <t>8dca8ab5-08b1-44df-9404-e7af45c1b241</t>
  </si>
  <si>
    <t>KENNEDY DR AT CIVIC 37 &lt;EB&gt;</t>
  </si>
  <si>
    <t>7ac60a24-40af-45e3-975b-45a6e52a1bad</t>
  </si>
  <si>
    <t>BASINVIEW DR AT CIVIC 548</t>
  </si>
  <si>
    <t>d47bba5c-b4dc-46ee-82fc-5237a35d24f0</t>
  </si>
  <si>
    <t>2014-10-06T03:00:00.000Z</t>
  </si>
  <si>
    <t>KENNEDY DR &lt;FS&gt; DAVID ST</t>
  </si>
  <si>
    <t>73dea614-d7d0-4e44-b4bd-24ea9f1926ff</t>
  </si>
  <si>
    <t>BASINVIEW DR NS CARRIAGEWAY CT</t>
  </si>
  <si>
    <t>1763a19c-dc47-4f12-9b46-2821b3858989</t>
  </si>
  <si>
    <t>KETCH HARBOUR RD OPP CIVIC 18</t>
  </si>
  <si>
    <t>b6e6a98a-9f47-4795-9588-82e14626c2f7</t>
  </si>
  <si>
    <t>BASINVIEW DR NS CIVIC 138</t>
  </si>
  <si>
    <t>a3936d1f-8d76-44b3-8c6d-9bcf8d9fbf86</t>
  </si>
  <si>
    <t>KETCH HARBOUR RD FS CIVIC 39</t>
  </si>
  <si>
    <t>1efd6931-03a7-40bc-ab98-69ed0e8f9b88</t>
  </si>
  <si>
    <t>BASINVIEW DR NS CIVIC 284</t>
  </si>
  <si>
    <t>a6236169-50bd-4817-ba28-bccd7e6177fe</t>
  </si>
  <si>
    <t>KETCH HARBOUR RD FS CIVIC 67</t>
  </si>
  <si>
    <t>d0180c1c-0613-4144-a0a7-a3797539f8aa</t>
  </si>
  <si>
    <t>BASINVIEW DR NS GRANVILLE RD</t>
  </si>
  <si>
    <t>89301381-0750-4a6c-809c-90e93abf8aea</t>
  </si>
  <si>
    <t>BASINVIEW DR NS ROY CR</t>
  </si>
  <si>
    <t>ad2e4227-d500-4dc9-87cb-a662e7f3bb35</t>
  </si>
  <si>
    <t>BASINVIEW DR AT CIVIC 147</t>
  </si>
  <si>
    <t>74541858-f1a1-47f6-9e9e-9be19d1ee002</t>
  </si>
  <si>
    <t>BASINVIEW DR OPP CIVIC 64</t>
  </si>
  <si>
    <t>c3f2028a-77e6-4d10-a81d-29422ab052ef</t>
  </si>
  <si>
    <t>STOKIL DR NS SPINNER CR</t>
  </si>
  <si>
    <t>99949b66-409a-4560-a231-6b442fd3c6d0</t>
  </si>
  <si>
    <t>2014-12-05T04:00:00.000Z</t>
  </si>
  <si>
    <t>STOKIL DR &lt;OP&gt; SARATOGA</t>
  </si>
  <si>
    <t>45eaa9fd-cfa4-4a20-b456-74d4579f91dd</t>
  </si>
  <si>
    <t>STONEHAVEN RD NS GLENMORE AVE</t>
  </si>
  <si>
    <t>f99b53b0-2a3f-40a1-a60f-523a4a24e090</t>
  </si>
  <si>
    <t>STONEHAVEN RD OPP CIVIC 10</t>
  </si>
  <si>
    <t>9a8af42b-0f6a-4a5c-b8a4-f0bd14e2eec7</t>
  </si>
  <si>
    <t>SUMMER ST FS BELL RD</t>
  </si>
  <si>
    <t>8a0d375b-8c93-442e-8f1d-c9247d5e0502</t>
  </si>
  <si>
    <t>SUMMER ST NS BELL RD</t>
  </si>
  <si>
    <t>adc5240f-3900-48b4-8df4-3a92a831b3fa</t>
  </si>
  <si>
    <t>SUMMER ST OPP VETERANS MEM. LN</t>
  </si>
  <si>
    <t>7c688d52-2dcc-409c-a573-0eedbbcd65c4</t>
  </si>
  <si>
    <t>SUSIE LAKE DR AT CIVIC 100</t>
  </si>
  <si>
    <t>aa5372dd-8d61-421f-8408-60450730ccbe</t>
  </si>
  <si>
    <t>SUSIE LAKE DR FS CHAIN LAKE DR</t>
  </si>
  <si>
    <t>9cfb53a8-4435-4832-a85b-c96de352e75b</t>
  </si>
  <si>
    <t>TACOMA DR &lt;NS&gt; VALLEYFIELD RD</t>
  </si>
  <si>
    <t>f6fa34af-fa0a-4b25-9cd1-4848968710b2</t>
  </si>
  <si>
    <t>TAMARACK DR FS MEDINA CT</t>
  </si>
  <si>
    <t>c3b64e1e-f9a3-4b9b-ac61-a3984fe1aed0</t>
  </si>
  <si>
    <t>TAMARACK FS MOUNTAIN RD</t>
  </si>
  <si>
    <t>cbb4ac92-c536-46b3-ba22-f488fd308052</t>
  </si>
  <si>
    <t>TAMARACK OPP MEDINA CT</t>
  </si>
  <si>
    <t>9900e9c6-69d5-43c8-a70b-a71f88cedd3f</t>
  </si>
  <si>
    <t>TAMARACK OPP NS MOUNTAIN RD</t>
  </si>
  <si>
    <t>cd5942de-1710-4a45-a99c-f32825b166db</t>
  </si>
  <si>
    <t>TARANAKI DR AT CIVIC 171</t>
  </si>
  <si>
    <t>6b819b74-3736-4993-86a1-02a2241da510</t>
  </si>
  <si>
    <t>TARANAKI DR AT CIVIC 238</t>
  </si>
  <si>
    <t>3cdd5ae9-f948-434c-9a24-5637e10667a9</t>
  </si>
  <si>
    <t>HERRING COVE RD AT CIVIC 872</t>
  </si>
  <si>
    <t>1ab45151-d41b-4a50-ab91-7da5295d9c65</t>
  </si>
  <si>
    <t>HERRING COVE RD AT CIVIC 935</t>
  </si>
  <si>
    <t>87ac874b-a992-412e-a3f3-83efd122adc9</t>
  </si>
  <si>
    <t>HERRING COVE RD AT CIVIC 946</t>
  </si>
  <si>
    <t>cce528b6-8ef4-4a93-837d-e0bdc3327410</t>
  </si>
  <si>
    <t>HERRING COVE RD OPP CIVIC 964</t>
  </si>
  <si>
    <t>8f3be63b-13c2-4798-85b8-9436b98e0837</t>
  </si>
  <si>
    <t>HERRING COVE RD AT CIVIC 954</t>
  </si>
  <si>
    <t>68fbce27-16b4-488a-9992-0af39feaea70</t>
  </si>
  <si>
    <t>HERRING COVE RD AT CIVIC 988</t>
  </si>
  <si>
    <t>d2d9ee32-f60e-47c3-a350-5a3f9ec1ad6f</t>
  </si>
  <si>
    <t>HERRING COVE RD NS CIRCLE DR</t>
  </si>
  <si>
    <t>44eeae81-06d1-41af-b806-77a3db04c7f2</t>
  </si>
  <si>
    <t>2014-11-28T04:00:00.000Z</t>
  </si>
  <si>
    <t>HERRING COVE RD &lt;NS&gt; CIVIC 172</t>
  </si>
  <si>
    <t>77b651e2-a9c8-44ce-b3e8-cad158056cc1</t>
  </si>
  <si>
    <t>HERRING COVE RD NS CIVIC 427</t>
  </si>
  <si>
    <t>67615ecc-3511-468d-8494-55e27bdf43de</t>
  </si>
  <si>
    <t>HERRING COVE RD NS CIVIC 569</t>
  </si>
  <si>
    <t>40b51bad-f506-48f2-a06c-c40adfb20bc7</t>
  </si>
  <si>
    <t>HERRING COVE RD NS CIVIC 726</t>
  </si>
  <si>
    <t>d0c5458e-31e5-4c60-9ca3-04eaf36f58fc</t>
  </si>
  <si>
    <t>HERRING COVE RD NS CIVIC 819</t>
  </si>
  <si>
    <t>a8e3e973-c1b6-4397-bca8-da858d790b2f</t>
  </si>
  <si>
    <t>HERRING COVE RD NS CIVIC 896</t>
  </si>
  <si>
    <t>0af33016-7861-418d-b77e-5a4084078a3d</t>
  </si>
  <si>
    <t>ALBRO LAKE RD FS CEDAR COURT</t>
  </si>
  <si>
    <t>2595fe5c-0930-437f-9ede-8f12de1f7bd8</t>
  </si>
  <si>
    <t>ALBRO LAKE RD FS CHAPMAN ST</t>
  </si>
  <si>
    <t>31536253-9fe4-4c62-9510-69548d488374</t>
  </si>
  <si>
    <t>ALBRO LAKE RD FS RICHMOND ST</t>
  </si>
  <si>
    <t>07a3be02-2e22-4f0a-b00f-38263f4a727d</t>
  </si>
  <si>
    <t>ALBRO LAKE RD NS OPP CHAPMAN ST</t>
  </si>
  <si>
    <t>ab4e8f3b-4fed-491f-b81b-c785d8133d4b</t>
  </si>
  <si>
    <t>ALBRO LAKE RD NS OPP SLAYTER ST</t>
  </si>
  <si>
    <t>9bfb3f72-2ffb-453f-917f-61c47f1dbd5d</t>
  </si>
  <si>
    <t>ALBRO LAKE RD  NS RICHMOND ST</t>
  </si>
  <si>
    <t>cac16638-3aff-4961-b404-f7650cfdd451</t>
  </si>
  <si>
    <t>ALBRO LAKE RD  NS CIVIC 176</t>
  </si>
  <si>
    <t>90e72950-f95d-4aed-9955-34754bcd389f</t>
  </si>
  <si>
    <t>ALBRO LAKE RD  OPP SHERIDAN ST</t>
  </si>
  <si>
    <t>8da1921f-72d4-47c9-a419-4504c5a20150</t>
  </si>
  <si>
    <t>ALDERNEY DR &lt;NB&gt; AT ALDERNEY MANOR</t>
  </si>
  <si>
    <t>3dbfb94a-126b-4034-89fe-801bbc8a5f78</t>
  </si>
  <si>
    <t>ALDERNEY DR &lt;SB&gt; OPP ALDERNEY MANOR</t>
  </si>
  <si>
    <t>1396d6d5-94a5-48a9-9e92-22c4ee248646</t>
  </si>
  <si>
    <t>ALDERNEY DR METROLINK</t>
  </si>
  <si>
    <t>e137851a-5256-4201-8d31-19537d10d5a8</t>
  </si>
  <si>
    <t>ALDERNEY DR &lt;EB&gt; NS PRINCE ST</t>
  </si>
  <si>
    <t>bbd12786-0da6-46d0-a5bb-bcf0d4278dbe</t>
  </si>
  <si>
    <t>ALDERNEY DR &lt;WB&gt; NS PRINCE ST</t>
  </si>
  <si>
    <t>f0d604c1-2f7b-40ba-8e9c-85993c229154</t>
  </si>
  <si>
    <t>ALDERNEY DR METROLINK [IB]</t>
  </si>
  <si>
    <t>422a7806-9745-46dd-a87d-ef6b9fcfc512</t>
  </si>
  <si>
    <t>ALDERNEY DR AT TERMINAL</t>
  </si>
  <si>
    <t>d2fea2ba-6878-488f-b828-c343845fb563</t>
  </si>
  <si>
    <t>ALMA CR  NS TITUS ST</t>
  </si>
  <si>
    <t>490a3970-f12f-43e5-a5c5-43b5a0eab5d1</t>
  </si>
  <si>
    <t>ARKLOW DR FS ASHLEY</t>
  </si>
  <si>
    <t>05c3c825-ada0-4fd2-a0ce-e8f3e73fbef6</t>
  </si>
  <si>
    <t>ARKLOW DR FS DALKEITH</t>
  </si>
  <si>
    <t>0fa7a614-3202-4f46-a16c-0667a91fae50</t>
  </si>
  <si>
    <t>POINT PLEASANT OPP YOUNG ST &lt;EB&gt;</t>
  </si>
  <si>
    <t>b1454f32-bfe3-4b29-8589-71860392cc01</t>
  </si>
  <si>
    <t>POINT PLEASENT PARK OPP CANTEEN</t>
  </si>
  <si>
    <t>5840ef46-8f0c-44dc-ad20-3457cba2c278</t>
  </si>
  <si>
    <t>POPLAR AT CIVIC 118</t>
  </si>
  <si>
    <t>0033e4ac-d3ce-4295-9299-d546d5b22bba</t>
  </si>
  <si>
    <t>POPLAR AT CIVIC 62</t>
  </si>
  <si>
    <t>9d7a7b2d-7221-4dee-b1d9-6d9db54d80ef</t>
  </si>
  <si>
    <t>POPLAR NS CIVIC 117</t>
  </si>
  <si>
    <t>4c9fb7a2-591e-421f-a549-26ab75a0ea82</t>
  </si>
  <si>
    <t>POPLAR NS EVERGREEN</t>
  </si>
  <si>
    <t>c99221a4-14cb-49c2-b3aa-30cc8840c8c7</t>
  </si>
  <si>
    <t>PORTLAND ST NS JOFFERE</t>
  </si>
  <si>
    <t>66d68bb9-7544-49f9-af9a-f2ccc8537d16</t>
  </si>
  <si>
    <t>PORTLAND  EST.BLVD.WEST. AT PARK</t>
  </si>
  <si>
    <t>0a26e3c1-2862-4aa7-ae3c-ef12596563d2</t>
  </si>
  <si>
    <t>PORTLAND EST.BLVD.WEST NS OLD BIRCH RD</t>
  </si>
  <si>
    <t>c161940c-aa43-4576-8dcc-98a768f91e81</t>
  </si>
  <si>
    <t>HIGHFIELD PARK DR AT CIVIC 80</t>
  </si>
  <si>
    <t>6ba0b43a-de8f-4d5b-bc98-150bd5ec79ae</t>
  </si>
  <si>
    <t>HIGHFIELD PARK DR OPP CIVIC 21</t>
  </si>
  <si>
    <t>9a5a45cb-4893-4fde-b481-9fc2ae7bf404</t>
  </si>
  <si>
    <t>HIGHFIELD PARK DR AT CIVIC 15</t>
  </si>
  <si>
    <t>d4a94177-c742-4c4e-9e85-a62f064e4457</t>
  </si>
  <si>
    <t>HIGHFIELD TERMINAL &lt;NB&gt;</t>
  </si>
  <si>
    <t>2a28f17a-ae4a-4cdd-93a1-a5f00a1e89f1</t>
  </si>
  <si>
    <t>HIGHFIELD TERMINAL &lt;SB&gt;</t>
  </si>
  <si>
    <t>71467cea-f8ea-4b6a-a0e6-586571c91b98</t>
  </si>
  <si>
    <t>HIGHFIELD OPP PUNCH BOWL DR</t>
  </si>
  <si>
    <t>15b80ce4-3cbf-4904-b9a1-782d0b7ee056</t>
  </si>
  <si>
    <t>HILLSBORO DR FS CIVIC 12</t>
  </si>
  <si>
    <t>620d479c-ad35-4a1e-8e6f-76246a95c3bc</t>
  </si>
  <si>
    <t>HILLSBORO DR FS CIVIC 15</t>
  </si>
  <si>
    <t>4467d84b-c125-4890-90e6-15fb023a1e17</t>
  </si>
  <si>
    <t>HILLSBORO DR FS HWY #7</t>
  </si>
  <si>
    <t>f154b821-b27a-43ea-b8b2-2b45ec4b11be</t>
  </si>
  <si>
    <t>HILLSBORO DR NS BARBARA DR</t>
  </si>
  <si>
    <t>dbb59da6-e5dc-467a-a070-3993e2119d66</t>
  </si>
  <si>
    <t>HILLSBORO DR NS CIVIC 2A</t>
  </si>
  <si>
    <t>45ddad95-1e41-442e-861a-8b0f15aea2b8</t>
  </si>
  <si>
    <t>HILLSBORO DR NS CIVIC 3</t>
  </si>
  <si>
    <t>57e300fa-9f6d-49ad-a8e4-83d2c712a3b9</t>
  </si>
  <si>
    <t>HOLLIS ST FS BARRINGTON ST</t>
  </si>
  <si>
    <t>e604586b-db74-4d86-9dd1-121314a18ea9</t>
  </si>
  <si>
    <t>HUBLEY CENTER</t>
  </si>
  <si>
    <t>84eacbce-ba53-4fe6-869b-99d091693554</t>
  </si>
  <si>
    <t>HWY #7 AT CIVIC 802</t>
  </si>
  <si>
    <t>902166c3-df3a-4b67-bf17-7b3271f9f0ef</t>
  </si>
  <si>
    <t>QUINPOOL RD NS BLOOMINGDLE &lt;EB&gt;</t>
  </si>
  <si>
    <t>27ef2e3c-0b0c-4132-9df1-3e6b0c4fb8eb</t>
  </si>
  <si>
    <t>QUINPOOL RD NS MACDONALD</t>
  </si>
  <si>
    <t>df3cfe9e-0b71-4371-ab8d-d9b63ff9f605</t>
  </si>
  <si>
    <t>QUINPOOL RD NS OPP MACDONALD &lt;EB&gt;</t>
  </si>
  <si>
    <t>7b8c30d2-fc7e-4972-9a5b-d4ee026b05ef</t>
  </si>
  <si>
    <t>QUINPOOL RD NS NEWTON</t>
  </si>
  <si>
    <t>78fc4968-3035-4392-ab69-52adada7ef6d</t>
  </si>
  <si>
    <t>QUINPOOL RD NS POPLAR &lt;WB&gt;</t>
  </si>
  <si>
    <t>c02287e4-178a-4f76-a477-0b9958e7cd9b</t>
  </si>
  <si>
    <t>QUINPOOL RD NS PRESTON</t>
  </si>
  <si>
    <t>0d660e6b-73c0-4458-b072-b3046654af79</t>
  </si>
  <si>
    <t>QUINPOOL RD NS PRESTON &lt;WB&gt;</t>
  </si>
  <si>
    <t>3f751154-6655-4d7e-b8cc-80637261874d</t>
  </si>
  <si>
    <t>QUINPOOL RD NS VERNON &lt;EB&gt;</t>
  </si>
  <si>
    <t>60649958-4077-4d1e-817a-bf9c72071484</t>
  </si>
  <si>
    <t>QUINPOOL RD NS WINDSOR ST &lt;EB&gt;</t>
  </si>
  <si>
    <t>36935620-bbe9-4ece-8e93-bccb4892df97</t>
  </si>
  <si>
    <t>QUINPOOL RD NS WINDSOR ST &lt;WB&gt;</t>
  </si>
  <si>
    <t>4b14a6f9-499b-490a-84f3-7d453e6b155e</t>
  </si>
  <si>
    <t>QUINPOOL RD NS WOODLAWN TERR &lt;EB&gt;</t>
  </si>
  <si>
    <t>46356864-616c-4353-a2aa-5ac81c53d636</t>
  </si>
  <si>
    <t>QUINPOOL RD OPP CIVIC 7111</t>
  </si>
  <si>
    <t>64630551-cf7b-4e64-bbb0-c0264522311e</t>
  </si>
  <si>
    <t>QUINPOOL RD OPP HORSESHOE &lt;NB&gt;</t>
  </si>
  <si>
    <t>5a89bcfe-32f7-4c81-aaa0-d364fba981bb</t>
  </si>
  <si>
    <t>QUINPOOL RD OPP QUINN &lt;EB&gt;</t>
  </si>
  <si>
    <t>8b0ef9ae-961c-417b-8148-d645cd5660bc</t>
  </si>
  <si>
    <t>VICTORIA RD NS MOIRA ST</t>
  </si>
  <si>
    <t>e88ef4a8-439d-4f8f-96f5-55bcd754b329</t>
  </si>
  <si>
    <t>VICTORIA RD NS PRIMROSE ST</t>
  </si>
  <si>
    <t>956ad260-8994-4fdf-aa1c-98cea99699c5</t>
  </si>
  <si>
    <t>VICTORIA RD NS THISTLE ST</t>
  </si>
  <si>
    <t>75da6a4a-ab4b-4837-9cde-99489bd21a6d</t>
  </si>
  <si>
    <t>VICTORIA RD AT CIVIC 182</t>
  </si>
  <si>
    <t>22de0884-0cd9-405d-8ef9-80a92b8f0d44</t>
  </si>
  <si>
    <t>PARKLAND DR FS THE WEDGEWOOD</t>
  </si>
  <si>
    <t>f044b071-4780-4172-85bd-9801dc79a885</t>
  </si>
  <si>
    <t>PARKLAND DR FS CASTLE HILL</t>
  </si>
  <si>
    <t>6fadbfd7-ca45-46f3-8778-af8736d2ec9d</t>
  </si>
  <si>
    <t>PARKLAND DR OPP LAWTONS</t>
  </si>
  <si>
    <t>93614855-dd0c-4f64-8aa2-994301db2795</t>
  </si>
  <si>
    <t>KEARNEY LAKE RD FS PINEWOOD TERR</t>
  </si>
  <si>
    <t>e2b85562-35ac-4c7a-8c4d-42206d80787b</t>
  </si>
  <si>
    <t>KEARNEY LAKE RD AT CIVIC 30</t>
  </si>
  <si>
    <t>988a8490-3ec5-4ba5-b810-b3a07942bb0c</t>
  </si>
  <si>
    <t>KEARNEY LAKE RD FS DAKIN DR</t>
  </si>
  <si>
    <t>3bbc64ed-e60e-4a48-b402-72dd55ba8f58</t>
  </si>
  <si>
    <t>PARKLAND DR AT CIVIC 980</t>
  </si>
  <si>
    <t>ae34531c-8a2c-45c7-b512-7821dc639605</t>
  </si>
  <si>
    <t>LAKE MAJOR RD AT CIVIC 301</t>
  </si>
  <si>
    <t>990f46bf-abfe-424c-ab81-554de23f8e5c</t>
  </si>
  <si>
    <t>LAKE MAJOR RD NS CRANEHILL RD</t>
  </si>
  <si>
    <t>953b9f15-3fd6-49b9-9084-1731bb424784</t>
  </si>
  <si>
    <t>NORTH PRESTON RD OPP CIVIC 1032</t>
  </si>
  <si>
    <t>3cfdc153-9147-47bb-939a-df77621b2b59</t>
  </si>
  <si>
    <t>HWY #7 [IB] FS CHERRYBROOK RD</t>
  </si>
  <si>
    <t>3202c52a-203e-48e0-b5f2-955db9f4d020</t>
  </si>
  <si>
    <t>HWY #7 OPP CHERRYBROOK RD</t>
  </si>
  <si>
    <t>f5f6d309-b703-4cfc-91c3-34e7fdca29cd</t>
  </si>
  <si>
    <t>HWY #7 FS MACLAUGHLIN RD</t>
  </si>
  <si>
    <t>235852bf-cfec-4c34-8bde-d224896c49b6</t>
  </si>
  <si>
    <t>HWY #7 AT WESTPHAL WAY</t>
  </si>
  <si>
    <t>f9f026e1-0a88-4c24-a935-efd48dcd2ef2</t>
  </si>
  <si>
    <t>HWY #7 FS RILEY RD</t>
  </si>
  <si>
    <t>00f6c67f-4b94-4df3-b9e0-b0cc811a7c58</t>
  </si>
  <si>
    <t>HWY #7 OPP CIVIC 925</t>
  </si>
  <si>
    <t>b6c8e0bb-79ce-4f8d-bf1a-bd12ed9cdecd</t>
  </si>
  <si>
    <t>HWY #7 OPP WESTPHAL WAY</t>
  </si>
  <si>
    <t>9e33557e-c348-45e7-8e50-53cc14604872</t>
  </si>
  <si>
    <t>ILSLEY AVE OPP CIV 200</t>
  </si>
  <si>
    <t>f83b0993-1884-4b00-bd3c-e382f3c7284e</t>
  </si>
  <si>
    <t>ILSLEY AVE AT CIVIC 40</t>
  </si>
  <si>
    <t>eea8aabb-8826-4202-be55-f7d5b7d3d2c3</t>
  </si>
  <si>
    <t>ILSLEY AVE FS WRIGHT AVE</t>
  </si>
  <si>
    <t>e23d6657-91df-4611-8780-e0d5315ff757</t>
  </si>
  <si>
    <t>BARRINGTON ST &lt;SB&gt; AT CIVIC 2170</t>
  </si>
  <si>
    <t>09d4e809-93a1-4dfe-baf5-f1f791017df9</t>
  </si>
  <si>
    <t>e03ec589-3348-44cf-9ce9-732a4f059c6e</t>
  </si>
  <si>
    <t>INGLIS ST EB NS TOWER RD</t>
  </si>
  <si>
    <t>3ecea544-caad-4ca2-ad88-14e3bde7043d</t>
  </si>
  <si>
    <t>INGLIS ST WB NS TOWER RD</t>
  </si>
  <si>
    <t>595a6f7b-4a5e-494c-b7fa-d39d7b6d09c5</t>
  </si>
  <si>
    <t>INGLIS ST OPP SOUTH BLAND ST</t>
  </si>
  <si>
    <t>7c3d777f-db5c-49ec-aaba-3ccfcd039f85</t>
  </si>
  <si>
    <t>INVERARY DR NS STRATH LANE</t>
  </si>
  <si>
    <t>c4c16aea-aaa9-4fde-843a-41fe1d410be2</t>
  </si>
  <si>
    <t>IRVING ST NS PLEASANT ST</t>
  </si>
  <si>
    <t>6d535e55-48c4-441a-b53a-3a74a08df2b6</t>
  </si>
  <si>
    <t>JAMES ST AT CIVIC 30</t>
  </si>
  <si>
    <t>3c85b7bc-b8ec-4a84-a130-1849ae9269d9</t>
  </si>
  <si>
    <t>JAMES ST NS CIVIC 27</t>
  </si>
  <si>
    <t>eaf7eb1c-0fe6-4d76-904c-83b6eb6a9928</t>
  </si>
  <si>
    <t>JOSEPH HOWE DR FS BAYERS RD &lt;SB&gt;</t>
  </si>
  <si>
    <t>fecf8a12-c4e2-4220-b9e7-7ec20a819e6b</t>
  </si>
  <si>
    <t>JOSEPH HOWE DR SB AT BI-HI</t>
  </si>
  <si>
    <t>0be669cf-94fd-46e1-8395-a93527ddc99d</t>
  </si>
  <si>
    <t>JOSEPH HOWE DR NB AT BI-HI</t>
  </si>
  <si>
    <t>6dc53c0e-3cd2-4d88-8e15-a078c72990de</t>
  </si>
  <si>
    <t>AKERLEY BLVD FS BURNSIDE DR</t>
  </si>
  <si>
    <t>55173966-7bba-4c43-a3f0-b8cbbe9fafc4</t>
  </si>
  <si>
    <t>AKERLEY BLVD FS CIVIC 95</t>
  </si>
  <si>
    <t>d9e628fd-fa38-44b1-a844-548b6c2426f0</t>
  </si>
  <si>
    <t>AKERLEY BLVD WB FS JOE ZATZMAN AVE</t>
  </si>
  <si>
    <t>8c577b92-260e-49f9-a291-4bf611a0cffb</t>
  </si>
  <si>
    <t>AKERLEY BLVD EB FS JOE ZATZMAN AVE</t>
  </si>
  <si>
    <t>a4cdcf98-d3c6-4e03-be55-7b1edfafd0f8</t>
  </si>
  <si>
    <t>AKERLEY BLVD FS WILLIAMS AVE</t>
  </si>
  <si>
    <t>355ef05c-8940-4a2d-b50f-a4927ab3cc22</t>
  </si>
  <si>
    <t>AKERLEY BLVD AT WINDMILL RD</t>
  </si>
  <si>
    <t>c47798e1-452c-4def-b5fa-4f014fe8c5aa</t>
  </si>
  <si>
    <t>AKERLEY BLVD EB AT CIVIC 10</t>
  </si>
  <si>
    <t>5a028be6-bb54-4a63-92cc-c0b95526feb2</t>
  </si>
  <si>
    <t>RIVERVIEW NS ROCK MANOR</t>
  </si>
  <si>
    <t>23719b31-0491-46ac-a004-12680ce80d18</t>
  </si>
  <si>
    <t>ROBERT BURNS FS PRIMROSE ST</t>
  </si>
  <si>
    <t>36906976-321e-4060-a80d-ca60c927c522</t>
  </si>
  <si>
    <t>ROBERT BURNS FS PRIMROSE ST &lt;WB&gt;</t>
  </si>
  <si>
    <t>d627ef11-8c76-49bd-89c7-9b7fd77b6952</t>
  </si>
  <si>
    <t>ROBIE ST FS CHARLES ST &lt;SB&gt;</t>
  </si>
  <si>
    <t>2e9db24a-d8c3-4b05-b7fc-5fb040514124</t>
  </si>
  <si>
    <t>ROBIE ST &lt;NB&gt; FS VETERNS MEMORIAL LANE</t>
  </si>
  <si>
    <t>60596c47-ff90-433f-b133-6f21d75729ad</t>
  </si>
  <si>
    <t>ROBIE ST FS LADY HAMMOND RD &lt;NB&gt;</t>
  </si>
  <si>
    <t>c6c4c84d-1f8f-404b-b7e8-7da82496aa34</t>
  </si>
  <si>
    <t>ROBIE ST FS NORTH ST &lt;NB&gt;</t>
  </si>
  <si>
    <t>d6acfbaa-42eb-4bd5-9dcd-1cc127b8b799</t>
  </si>
  <si>
    <t>ROBIE ST FS OF MAY &lt;SB&gt;</t>
  </si>
  <si>
    <t>cfccfd72-b3f6-4aa6-8930-c64dd1dfd8ba</t>
  </si>
  <si>
    <t>ROBIE ST &lt;SB&gt; FS PEPPERELL ST</t>
  </si>
  <si>
    <t>009d8788-29c3-4dad-9053-3b73c7dc2d68</t>
  </si>
  <si>
    <t>ROBIE ST FS QUINPOOL RD &lt;NB&gt;</t>
  </si>
  <si>
    <t>43d59fa5-f108-401e-9da9-8ac9a8317e2e</t>
  </si>
  <si>
    <t>ROBIE ST FS SPRING GARDEN RD&lt;NB&gt;</t>
  </si>
  <si>
    <t>69bf204e-0015-4cbe-adc5-1280e7db3c7d</t>
  </si>
  <si>
    <t>ROBIE ST FS SPRING GARDEN RD&lt;SB&gt;</t>
  </si>
  <si>
    <t>ebe9775f-1567-4347-9973-ee04ef766eee</t>
  </si>
  <si>
    <t>ELLENVALE AVE FS ANDERSON ST</t>
  </si>
  <si>
    <t>6c98388c-c5c5-4f3d-8bfc-80bb5196ae28</t>
  </si>
  <si>
    <t>BEDFORD HWY OPP TREMONT DR</t>
  </si>
  <si>
    <t>3d630413-1e5b-42f4-9d04-1e793d92d0e0</t>
  </si>
  <si>
    <t>RADCLIFFE NS DUNBRACK ST</t>
  </si>
  <si>
    <t>1e390a30-1037-42d3-88a4-6453a5034549</t>
  </si>
  <si>
    <t>RADCLIFFE FS ESSEX CIVIC 190 &lt;WB&gt;</t>
  </si>
  <si>
    <t>60fdd826-7ab4-40ff-8073-9f26c21bbba2</t>
  </si>
  <si>
    <t>RADCLIFFE FS LACEWOOD DR</t>
  </si>
  <si>
    <t>0f3c3061-754f-4c48-a776-5243e9036bbf</t>
  </si>
  <si>
    <t>RADCLIFFE NS BARKTON</t>
  </si>
  <si>
    <t>51614814-63b0-4849-98a7-f3f973c925ee</t>
  </si>
  <si>
    <t>RAYMOOR FS STRATH</t>
  </si>
  <si>
    <t>d63a9222-5d48-4914-889d-d7274f8d0d49</t>
  </si>
  <si>
    <t>RAYMOOR AT CIVIC 22 &lt;SB&gt;</t>
  </si>
  <si>
    <t>dd743b47-ad96-432c-aee1-1fcd6525f026</t>
  </si>
  <si>
    <t>RAYMOOR NS MAIN ST &lt;SB&gt;</t>
  </si>
  <si>
    <t>cb06713f-495d-46b0-932d-d7f3c31593b7</t>
  </si>
  <si>
    <t>RICHARD NS CIVIC 56 [IB]</t>
  </si>
  <si>
    <t>a20d32fd-73b3-4774-9985-f003352881c9</t>
  </si>
  <si>
    <t>RICHMOND MANOR TURNING LOOP TO MUMFORD</t>
  </si>
  <si>
    <t>4a9101e4-edd0-49ea-8426-035b275462e8</t>
  </si>
  <si>
    <t>RIDGEVALLEY FS CAVENDISH</t>
  </si>
  <si>
    <t>a4b541c2-e8a1-458c-9aa4-274d2d8fa64c</t>
  </si>
  <si>
    <t>RIDGEVALLEY AT CIVIC 39 [IB]</t>
  </si>
  <si>
    <t>10cfd312-736f-47ba-a672-b25c855e3f5d</t>
  </si>
  <si>
    <t>RIDGEVALLEY NS BROMLEY</t>
  </si>
  <si>
    <t>5878e4a8-afd1-46f4-a9d4-a34522008fb0</t>
  </si>
  <si>
    <t>RIDGEVALLEY NS HIGHFIELD</t>
  </si>
  <si>
    <t>1703f3fe-f142-4f1b-9402-68f3766b9a36</t>
  </si>
  <si>
    <t>RIVERVIEW CR AT CIVIC 46</t>
  </si>
  <si>
    <t>4ccb0e01-f556-4283-892b-aa88f36dcf32</t>
  </si>
  <si>
    <t>fefcbfe1-cbef-422b-9a66-7389c9147fee</t>
  </si>
  <si>
    <t>ILSLEY AVE NS RADDALL</t>
  </si>
  <si>
    <t>8d695e6f-503c-4306-8e20-6e7179526355</t>
  </si>
  <si>
    <t>ILSLEY AVE NS WRIGHT AVE</t>
  </si>
  <si>
    <t>021e09d9-75e4-4bda-9564-8ed3a12eaf96</t>
  </si>
  <si>
    <t>ILSLEY AVE OPP CIVIC 120</t>
  </si>
  <si>
    <t>4d714240-854e-436f-ad3b-e7c4377d5a00</t>
  </si>
  <si>
    <t>ILSLEY AVE OPP MACDONALD</t>
  </si>
  <si>
    <t>665c1e3c-d13e-44e7-abb3-43623cd4e1b7</t>
  </si>
  <si>
    <t>PURCELLS COVE RD AT MELVIN RD</t>
  </si>
  <si>
    <t>faff11fb-0c56-4ad2-88b8-aeb60737171b</t>
  </si>
  <si>
    <t>PURCELLS COVE RD NS CIVIC 142</t>
  </si>
  <si>
    <t>a4c015ca-3606-48f7-824f-602c9b10ec52</t>
  </si>
  <si>
    <t>PURCELLS COVE RD OPP CIVIC 45</t>
  </si>
  <si>
    <t>491ae652-4134-4289-a747-51602d52f492</t>
  </si>
  <si>
    <t>PURCELLS COVE RD AT CIVIC 116A</t>
  </si>
  <si>
    <t>72d5ce25-6ad7-4cbe-9fea-963a2ea59d8b</t>
  </si>
  <si>
    <t>PURCELLS COVE RD AT CIVIC 137</t>
  </si>
  <si>
    <t>72511ad5-0922-4dab-b144-16ac70e8fa1b</t>
  </si>
  <si>
    <t>PURCELLS COVE RD AT CIVIC 46</t>
  </si>
  <si>
    <t>23f0b0a8-4ce8-4413-933f-6485e6585d9a</t>
  </si>
  <si>
    <t>PURCELLS COVE RD AT CIVIC 527</t>
  </si>
  <si>
    <t>f00f6d7e-5584-478a-82d6-f2a6536c5d7d</t>
  </si>
  <si>
    <t>ROBIE ST NS CUNARD ST &lt;NB&gt;</t>
  </si>
  <si>
    <t>7a179f4a-d081-47cb-89af-7a26c2574cf4</t>
  </si>
  <si>
    <t>ROBIE ST NS DUFFUS ST &lt;NB&gt;</t>
  </si>
  <si>
    <t>c2629df4-963d-499a-92d9-997d00538d53</t>
  </si>
  <si>
    <t>ROBIE ST NS LADY HAMMOND RD &lt;SB&gt;</t>
  </si>
  <si>
    <t>9f8b2a03-f15d-4af6-a5a5-e3c02c373abf</t>
  </si>
  <si>
    <t>ROBIE ST NS LIVINGSTONE &lt;NB&gt;</t>
  </si>
  <si>
    <t>736e2a47-0f58-439d-83fa-9ece89fa062b</t>
  </si>
  <si>
    <t>JOSEPH HOWE DR OPP CLINTON AVE</t>
  </si>
  <si>
    <t>efb6052d-fab1-435a-a083-859cee1dbe24</t>
  </si>
  <si>
    <t>JOSEPH HOWE DR NS SPRINGVALE AVE</t>
  </si>
  <si>
    <t>2d9a5aaf-5cc1-406d-9b86-59227627bf5c</t>
  </si>
  <si>
    <t>JOSEPH HOWE DR OPP CIVIC 2885</t>
  </si>
  <si>
    <t>51c10597-8bac-43f8-be72-d07c9fdba94a</t>
  </si>
  <si>
    <t>JOSEPH HOWE DR FS MURDOCK AVE</t>
  </si>
  <si>
    <t>17547d47-d849-4d3a-a2da-82a0901cdaee</t>
  </si>
  <si>
    <t>KAREN DR FS HILLSBORO DR</t>
  </si>
  <si>
    <t>c05005d5-a8e8-42cf-9bd5-929cd82d4f1d</t>
  </si>
  <si>
    <t>KAREN DR NS HILLSBORO DR</t>
  </si>
  <si>
    <t>80fcf3e2-8f89-4c0b-87b7-52ed6c271eef</t>
  </si>
  <si>
    <t>KEARNEY LAKE RD FS BROADHOLME LANE</t>
  </si>
  <si>
    <t>3e928a5a-f22c-45ea-bc87-1e5cef9d1627</t>
  </si>
  <si>
    <t>KEARNEY LAKE RD FS CASTLE HILL DR</t>
  </si>
  <si>
    <t>23d9fb34-5f45-436f-9ef4-e905031b41ee</t>
  </si>
  <si>
    <t>KEARNEY LAKE RD FS CIVIC 377 [OB]</t>
  </si>
  <si>
    <t>01f1a4c6-f802-4292-9e81-02841c69aec6</t>
  </si>
  <si>
    <t>KEARNEY LAKE RD [OB] FS FRASER CONSTRUCTION</t>
  </si>
  <si>
    <t>d5cd1674-a42a-4bfd-943f-b9b69d3ecb34</t>
  </si>
  <si>
    <t>KEARNEY LAKE RD FS GROSVENOR RD</t>
  </si>
  <si>
    <t>6bba5d1b-9a05-445f-bf3c-cc1487a7a27a</t>
  </si>
  <si>
    <t>KEARNEY LAKE RD FS HAMSHAW DR</t>
  </si>
  <si>
    <t>5c8bd8d7-fe59-4927-9e50-4ecd5291421b</t>
  </si>
  <si>
    <t>KEARNEY LAKE RD FS LAFARGE [OB]</t>
  </si>
  <si>
    <t>da8948d0-60f7-453d-8e55-687296b8d4db</t>
  </si>
  <si>
    <t>UNIVERSITY AVE OPP SUMMER ST</t>
  </si>
  <si>
    <t>209e2428-2d1d-4dfb-8b30-7d1db1feba46</t>
  </si>
  <si>
    <t>UPPER WATER ST AT PURDYS TOWER</t>
  </si>
  <si>
    <t>ea59c28d-209e-40c9-93be-3f93577e8152</t>
  </si>
  <si>
    <t>PENHORN TERMINAL &lt;WB&gt; Outbound</t>
  </si>
  <si>
    <t>9a1431c2-44d3-43f0-a7f6-7770c03c6719</t>
  </si>
  <si>
    <t>COBEQUID TERMINAL TO DOWNTOWN (INSIDE)</t>
  </si>
  <si>
    <t>6b98a87d-a1be-46d3-9e3a-9ef9b39721b2</t>
  </si>
  <si>
    <t>3e8b7463-c2fd-4e28-bee6-25246714967d</t>
  </si>
  <si>
    <t>FLAMINGO DR FS ORIOLE ST</t>
  </si>
  <si>
    <t>2de27449-7e60-4a43-b6be-35f6ddf2e867</t>
  </si>
  <si>
    <t>VALLEYFIELD RD AT CIVIC 2</t>
  </si>
  <si>
    <t>895a6bf0-9547-48a3-9739-8f5cf4b0375f</t>
  </si>
  <si>
    <t>VESTRY ST AT NOVALEA DR</t>
  </si>
  <si>
    <t>c8ce55f7-dd1f-4dbe-8a7f-2a3a4e378a5b</t>
  </si>
  <si>
    <t>VICTORIA RD FS ALBRO LAKE RD</t>
  </si>
  <si>
    <t>bd792efe-9604-49a4-9618-fca972cacf7d</t>
  </si>
  <si>
    <t>VICTORIA RD NS BOLAND RD</t>
  </si>
  <si>
    <t>962906df-5a7a-4dde-8074-f452eebed888</t>
  </si>
  <si>
    <t>VICTORIA RD FS CHAPPELL ST</t>
  </si>
  <si>
    <t>fb7aae51-56f7-4843-9989-0276eaa1b90e</t>
  </si>
  <si>
    <t>c4d3d630-192c-4312-ae97-525d310f25ff</t>
  </si>
  <si>
    <t>VICTORIA RD &lt;SB&gt; FS FARRELL</t>
  </si>
  <si>
    <t>d4a37fd5-41e7-4b38-8ff4-6460b99f40d7</t>
  </si>
  <si>
    <t>VICTORIA RD NS FRANCES ST</t>
  </si>
  <si>
    <t>005a2b2f-12bf-44ed-bfb5-1f2d3ae18afb</t>
  </si>
  <si>
    <t>OXFORD ST FS QUINPOOL RD &lt;SB&gt;</t>
  </si>
  <si>
    <t>66258bd4-0fbb-4805-8f1b-4f58e192f6c5</t>
  </si>
  <si>
    <t>OXFORD ST FS YOUNG ST &lt;NB&gt;</t>
  </si>
  <si>
    <t>e3b567d7-cad6-4f4e-9596-0ed0b0fc35d4</t>
  </si>
  <si>
    <t>OXFORD ST AT ARMBRAE ACADEMY</t>
  </si>
  <si>
    <t>f0bb99fc-316c-4916-aa9c-f0f94fd9625f</t>
  </si>
  <si>
    <t>OXFORD ST NB AT CIVIC 1411</t>
  </si>
  <si>
    <t>1f71f92c-7172-40eb-a99a-5027f21b7f66</t>
  </si>
  <si>
    <t>OXFORD ST NS LIVERPOOL &lt;SB&gt;</t>
  </si>
  <si>
    <t>02caa91f-2384-4562-9d29-5083d53e942e</t>
  </si>
  <si>
    <t>OXFORD ST NS LIVERPOOL &lt;NB&gt;</t>
  </si>
  <si>
    <t>7736b0e3-94e3-44f0-a788-03e9807f5a65</t>
  </si>
  <si>
    <t>OXFORD ST NS NORTH &lt;SB&gt;</t>
  </si>
  <si>
    <t>b511e9aa-8b6f-4b3e-b10e-61c1947f0536</t>
  </si>
  <si>
    <t>OXFORD ST NS NORWOOD &lt;SB&gt;</t>
  </si>
  <si>
    <t>f1a85905-dd53-4fe9-8c4b-5dfa5bbf6abd</t>
  </si>
  <si>
    <t>OXFORD ST NS OAK &lt;SB&gt;</t>
  </si>
  <si>
    <t>6025c3a6-69bc-42cb-affd-6339e6acdfaf</t>
  </si>
  <si>
    <t>OXFORD ST NS QUINPOOL RD &lt;NB&gt;</t>
  </si>
  <si>
    <t>e27b00ca-e534-4d19-86a1-bb6e2705c87f</t>
  </si>
  <si>
    <t>OXFORD ST NS SUMMIT &lt;SB&gt;</t>
  </si>
  <si>
    <t>b6b3c5f5-04f2-450a-921f-2776d8223a0c</t>
  </si>
  <si>
    <t>PURCELLS COVE RD OPP SARAGUAY</t>
  </si>
  <si>
    <t>5ac8c729-f133-420c-94f2-613a4198962d</t>
  </si>
  <si>
    <t>ILSLEY AVE AT CIVIC 100</t>
  </si>
  <si>
    <t>71775e41-6d88-4fb0-8bcc-8369271e57eb</t>
  </si>
  <si>
    <t>ILSLEY AVE AT CIVIC 81</t>
  </si>
  <si>
    <t>7a8cf969-7cc7-4adc-8598-c85b3d6d1ccf</t>
  </si>
  <si>
    <t>ILSLEY AVE AT DOT STORAGE</t>
  </si>
  <si>
    <t>24647aaf-9f16-49c1-b38b-f66f251e8153</t>
  </si>
  <si>
    <t>ILSLEY AVE NS CIVIC 41</t>
  </si>
  <si>
    <t>b93e8620-f222-488d-807b-608ff4fb5f6e</t>
  </si>
  <si>
    <t>THISTLE ST NS BEECH ST</t>
  </si>
  <si>
    <t>8a286399-eb3b-44c7-9e3a-bc9337a8e43a</t>
  </si>
  <si>
    <t>TARANAKI DR AT CIVIC 251</t>
  </si>
  <si>
    <t>33933c39-93c3-4ecf-99bc-e11010156a5d</t>
  </si>
  <si>
    <t>TARANAKI DR AT CIVIC 289</t>
  </si>
  <si>
    <t>9e955e5b-0dbc-4ebb-b463-1c1093acc23f</t>
  </si>
  <si>
    <t>TARANAKI DR NS CIVIC 192</t>
  </si>
  <si>
    <t>b5b616d2-3145-44c7-9785-e6624e24ee56</t>
  </si>
  <si>
    <t>TARANAKI DR NS CIVIC 278</t>
  </si>
  <si>
    <t>a3db1611-4439-4c60-963b-b95f7c617daa</t>
  </si>
  <si>
    <t>TARANAKI DR OPP CIVIC 171</t>
  </si>
  <si>
    <t>cb731c22-be1f-43a1-a29e-9b688e81a7d4</t>
  </si>
  <si>
    <t>HIGHFIELD TERMINAL EXIT NS PINECREST DR</t>
  </si>
  <si>
    <t>aa912432-e800-450d-acff-14f9adbf0455</t>
  </si>
  <si>
    <t>THISTLE ST FS CHRICHTON PK RD</t>
  </si>
  <si>
    <t>1a1f2030-1b5e-4290-af0e-be03a591467e</t>
  </si>
  <si>
    <t>THISTLE ST FS MAPLE ST</t>
  </si>
  <si>
    <t>92a94808-80a6-4fed-b927-a4c4c744c420</t>
  </si>
  <si>
    <t>THISTLE ST FS MAYFLOWER ST</t>
  </si>
  <si>
    <t>4c188c3a-0f51-4eee-8882-e201135398c2</t>
  </si>
  <si>
    <t>THISTLE ST AT CIVIC 23</t>
  </si>
  <si>
    <t>f8e58e53-c63b-4695-bbbd-b72af88daf4c</t>
  </si>
  <si>
    <t>THISTLE ST AT CIVIC 99</t>
  </si>
  <si>
    <t>1a2ab4ea-c58f-4bef-b344-879a1153f4cf</t>
  </si>
  <si>
    <t>THISTLE ST AT DARTMOUTH HIGH</t>
  </si>
  <si>
    <t>2fe1e18b-f39a-450d-894e-6df08a4e1384</t>
  </si>
  <si>
    <t>THISTLE ST NS CRICHTON PARK RD</t>
  </si>
  <si>
    <t>ce78ea73-d10f-4fcc-9513-9a55add0401f</t>
  </si>
  <si>
    <t>THISTLE ST OPP DARTMOUTH HIGH SCHOOL</t>
  </si>
  <si>
    <t>633e42df-38a8-4e8d-8049-896927cd4cb4</t>
  </si>
  <si>
    <t>TITUS ST NS EVANS AVE TO VIC MANOR</t>
  </si>
  <si>
    <t>a80c54bb-eebe-4e0f-ba04-15ee657a006f</t>
  </si>
  <si>
    <t>TOPPLE DR FS MTT DRIVEWAY</t>
  </si>
  <si>
    <t>55d53073-3147-44bf-a721-c1afdb3bfb63</t>
  </si>
  <si>
    <t>TOPPLE DR NS VIDITO DR</t>
  </si>
  <si>
    <t>c67af1b7-4e92-4ff1-bc7c-e673300b5f02</t>
  </si>
  <si>
    <t>TOPSAIL OPP CIVIC 17</t>
  </si>
  <si>
    <t>e016c8d9-4697-4b8a-8a03-e0beef5ac8a1</t>
  </si>
  <si>
    <t>TOWER RD FS ROGERS DR</t>
  </si>
  <si>
    <t>64c95969-07f5-40d2-9622-fcfd8250a5d9</t>
  </si>
  <si>
    <t>TOWER RD FS OPP ATLANTIC</t>
  </si>
  <si>
    <t>393514ef-7a04-4117-a157-e756f8dda0ba</t>
  </si>
  <si>
    <t>TOWER RD NS ATLANTIC</t>
  </si>
  <si>
    <t>7f544853-3080-4dcd-a332-a54cdb450e33</t>
  </si>
  <si>
    <t>TOWER RD NS HARBORVIEW</t>
  </si>
  <si>
    <t>a75118cf-d927-4637-bf56-fcd9f725f65b</t>
  </si>
  <si>
    <t>TOWER RD NS OGILVIE</t>
  </si>
  <si>
    <t>5372c626-b658-4815-821f-033a8fbccfa0</t>
  </si>
  <si>
    <t>TOWER RD NS POINT PLEASANT AV</t>
  </si>
  <si>
    <t>6baaad05-77a6-4133-99e6-6429ca7227b9</t>
  </si>
  <si>
    <t>TOWER RD OPP HARBOURVIEW</t>
  </si>
  <si>
    <t>d07e89be-62ac-4199-a73e-09ae5dd4ceb9</t>
  </si>
  <si>
    <t>TOWER RD OPP SMU RINK</t>
  </si>
  <si>
    <t>6371a867-3206-4895-8c79-38a5a6dcab2c</t>
  </si>
  <si>
    <t>TOWER RD LOOP AT POINT PLEASANT PARK</t>
  </si>
  <si>
    <t>04538758-0c5f-4cd6-a1ac-0db62bf6f16c</t>
  </si>
  <si>
    <t>UNIVERSITY AVE NS SUMMER ST</t>
  </si>
  <si>
    <t>66182f12-7dde-4cad-ac6c-78301ca080a1</t>
  </si>
  <si>
    <t>HERRING COVE RD OPP CIVIC 894</t>
  </si>
  <si>
    <t>0a2839e5-550a-4f1e-8481-f83a69252e07</t>
  </si>
  <si>
    <t>HERRING COVE RD FS BARRY CR</t>
  </si>
  <si>
    <t>19cb8f94-e112-4de9-81c3-af731699401d</t>
  </si>
  <si>
    <t>HERRING COVE RD OPP BARRY CR</t>
  </si>
  <si>
    <t>1e999ff0-0fa8-4243-8e2c-394f1381a12f</t>
  </si>
  <si>
    <t>HERRING COVE RD AT CIVIC 543</t>
  </si>
  <si>
    <t>c03c7499-ee03-4dbd-bd34-0d1d8cbf15db</t>
  </si>
  <si>
    <t>HIGHFIELD NS PUNCH BOWL DR</t>
  </si>
  <si>
    <t>26fd2b4e-41a2-4bde-a23d-dfab693dad8b</t>
  </si>
  <si>
    <t>HIGHFIELD PARK DR AT CIVIC 90</t>
  </si>
  <si>
    <t>31a6bbe5-914c-470e-83d9-63664d3328d8</t>
  </si>
  <si>
    <t>HIGHFIELD PARK DR FS OPP TERMINAL</t>
  </si>
  <si>
    <t>322f5df8-8b33-4c40-9491-015e20f60e29</t>
  </si>
  <si>
    <t>HIGHFIELD PARK DR AT COVENTRY APTS</t>
  </si>
  <si>
    <t>8e34b5bb-10ad-4718-9d37-b6889d14dce6</t>
  </si>
  <si>
    <t>HIGHFIELD PARK DR AT CIVIC 60</t>
  </si>
  <si>
    <t>72f54206-b311-42d2-bcc1-054773ff54d0</t>
  </si>
  <si>
    <t>HIGHFIELD PARK DR FS JOSEPH YOUNG ST</t>
  </si>
  <si>
    <t>5bce79df-48df-4975-bab4-c504afe8b091</t>
  </si>
  <si>
    <t>HIGHFIELD PARK DR AT CIVIC 35</t>
  </si>
  <si>
    <t>acc6e0ae-bd89-451d-bf5b-2695a3b8ada4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</si>
</sst>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4"/>
  <sheetViews>
    <sheetView tabSelected="1" topLeftCell="A2487" workbookViewId="0">
      <selection activeCell="A2514" sqref="A2514"/>
    </sheetView>
  </sheetViews>
  <sheetFormatPr defaultRowHeight="15" x14ac:dyDescent="0.25"/>
  <cols>
    <col min="4" max="4" width="26.42578125" customWidth="1"/>
    <col min="9" max="9" width="3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>
        <v>-63.536434068762503</v>
      </c>
      <c r="B2">
        <v>44.690399150418003</v>
      </c>
      <c r="C2">
        <v>2001</v>
      </c>
      <c r="D2" t="s">
        <v>11</v>
      </c>
      <c r="E2" t="s">
        <v>12</v>
      </c>
      <c r="F2" t="s">
        <v>13</v>
      </c>
      <c r="G2" t="s">
        <v>14</v>
      </c>
      <c r="H2">
        <v>7057</v>
      </c>
      <c r="I2" t="s">
        <v>15</v>
      </c>
      <c r="J2" t="s">
        <v>16</v>
      </c>
      <c r="K2" t="s">
        <v>17</v>
      </c>
      <c r="L2" t="str">
        <f>CONCATENATE( "{ longitude: ", A2, ", latitude: ", B2, ", stopType: '", D2, "', gotime: \'", H2, "\', location: \'", I2, "\' }, ")</f>
        <v xml:space="preserve">{ longitude: -63.5364340687625, latitude: 44.690399150418, stopType: 'Bus Stop Non-Standard', gotime: \'7057\', location: \'KINCARDINE DR FS GREENOCH &lt;SB&gt;\' }, </v>
      </c>
    </row>
    <row r="3" spans="1:12" x14ac:dyDescent="0.25">
      <c r="A3">
        <v>-63.567066908495299</v>
      </c>
      <c r="B3">
        <v>44.665793035647098</v>
      </c>
      <c r="C3">
        <v>2002</v>
      </c>
      <c r="D3" t="s">
        <v>18</v>
      </c>
      <c r="E3" t="s">
        <v>12</v>
      </c>
      <c r="F3" t="s">
        <v>13</v>
      </c>
      <c r="G3" t="s">
        <v>19</v>
      </c>
      <c r="H3">
        <v>7058</v>
      </c>
      <c r="I3" t="s">
        <v>20</v>
      </c>
      <c r="J3" t="s">
        <v>21</v>
      </c>
      <c r="K3" t="s">
        <v>17</v>
      </c>
      <c r="L3" t="str">
        <f t="shared" ref="L3:L66" si="0">CONCATENATE( "{ longitude: ", A3, ", latitude: ", B3, ", stopType: '", D3, "', gotime: \'", H3, "\', location: \'", I3, "\' }, ")</f>
        <v xml:space="preserve">{ longitude: -63.5670669084953, latitude: 44.6657930356471, stopType: 'Bus Stop Shelter Non-Standard', gotime: \'7058\', location: \'KING ST FS PORTLAND ST &lt;NB&gt;\' }, </v>
      </c>
    </row>
    <row r="4" spans="1:12" x14ac:dyDescent="0.25">
      <c r="A4">
        <v>-63.502544706789003</v>
      </c>
      <c r="B4">
        <v>44.684537355985597</v>
      </c>
      <c r="C4">
        <v>2003</v>
      </c>
      <c r="D4" t="s">
        <v>22</v>
      </c>
      <c r="E4" t="s">
        <v>12</v>
      </c>
      <c r="F4" t="s">
        <v>13</v>
      </c>
      <c r="G4" t="s">
        <v>14</v>
      </c>
      <c r="H4">
        <v>6520</v>
      </c>
      <c r="I4" t="s">
        <v>23</v>
      </c>
      <c r="J4" t="s">
        <v>24</v>
      </c>
      <c r="K4" t="s">
        <v>17</v>
      </c>
      <c r="L4" t="str">
        <f t="shared" si="0"/>
        <v xml:space="preserve">{ longitude: -63.502544706789, latitude: 44.6845373559856, stopType: 'Bus Stop Shelter Accessible', gotime: \'6520\', location: \'CRANBERRY CR AT CIVIC 43\' }, </v>
      </c>
    </row>
    <row r="5" spans="1:12" x14ac:dyDescent="0.25">
      <c r="A5">
        <v>-63.5000756384729</v>
      </c>
      <c r="B5">
        <v>44.681160040132298</v>
      </c>
      <c r="C5">
        <v>2004</v>
      </c>
      <c r="D5" t="s">
        <v>11</v>
      </c>
      <c r="E5" t="s">
        <v>12</v>
      </c>
      <c r="F5" t="s">
        <v>25</v>
      </c>
      <c r="G5" t="s">
        <v>26</v>
      </c>
      <c r="H5">
        <v>6521</v>
      </c>
      <c r="I5" t="s">
        <v>27</v>
      </c>
      <c r="J5" t="s">
        <v>28</v>
      </c>
      <c r="K5" t="s">
        <v>17</v>
      </c>
      <c r="L5" t="str">
        <f t="shared" si="0"/>
        <v xml:space="preserve">{ longitude: -63.5000756384729, latitude: 44.6811600401323, stopType: 'Bus Stop Non-Standard', gotime: \'6521\', location: \'CRANBERRY CR FS VALKYRIE CR\' }, </v>
      </c>
    </row>
    <row r="6" spans="1:12" x14ac:dyDescent="0.25">
      <c r="A6">
        <v>-63.503739441714899</v>
      </c>
      <c r="B6">
        <v>44.6868796997611</v>
      </c>
      <c r="C6">
        <v>2005</v>
      </c>
      <c r="D6" t="s">
        <v>29</v>
      </c>
      <c r="E6" t="s">
        <v>12</v>
      </c>
      <c r="F6" t="s">
        <v>13</v>
      </c>
      <c r="G6" t="s">
        <v>14</v>
      </c>
      <c r="H6">
        <v>6522</v>
      </c>
      <c r="I6" t="s">
        <v>30</v>
      </c>
      <c r="J6" t="s">
        <v>31</v>
      </c>
      <c r="K6" t="s">
        <v>17</v>
      </c>
      <c r="L6" t="str">
        <f t="shared" si="0"/>
        <v xml:space="preserve">{ longitude: -63.5037394417149, latitude: 44.6868796997611, stopType: 'Bus Stop Accessible', gotime: \'6522\', location: \'CRANBERRY CR AT CIVIC 27\' }, </v>
      </c>
    </row>
    <row r="7" spans="1:12" x14ac:dyDescent="0.25">
      <c r="A7">
        <v>-63.503012723646599</v>
      </c>
      <c r="B7">
        <v>44.684956599553303</v>
      </c>
      <c r="C7">
        <v>2006</v>
      </c>
      <c r="D7" t="s">
        <v>11</v>
      </c>
      <c r="E7" t="s">
        <v>12</v>
      </c>
      <c r="F7" t="s">
        <v>25</v>
      </c>
      <c r="G7" t="s">
        <v>26</v>
      </c>
      <c r="H7">
        <v>6523</v>
      </c>
      <c r="I7" t="s">
        <v>32</v>
      </c>
      <c r="J7" t="s">
        <v>33</v>
      </c>
      <c r="K7" t="s">
        <v>17</v>
      </c>
      <c r="L7" t="str">
        <f t="shared" si="0"/>
        <v xml:space="preserve">{ longitude: -63.5030127236466, latitude: 44.6849565995533, stopType: 'Bus Stop Non-Standard', gotime: \'6523\', location: \'CRANBERRY CR NS CIVIC 56\' }, </v>
      </c>
    </row>
    <row r="8" spans="1:12" x14ac:dyDescent="0.25">
      <c r="A8">
        <v>-63.502033441337701</v>
      </c>
      <c r="B8">
        <v>44.681744148096101</v>
      </c>
      <c r="C8">
        <v>2007</v>
      </c>
      <c r="D8" t="s">
        <v>11</v>
      </c>
      <c r="E8" t="s">
        <v>12</v>
      </c>
      <c r="F8" t="s">
        <v>25</v>
      </c>
      <c r="G8" t="s">
        <v>26</v>
      </c>
      <c r="H8">
        <v>6524</v>
      </c>
      <c r="I8" t="s">
        <v>34</v>
      </c>
      <c r="J8" s="1" t="s">
        <v>35</v>
      </c>
      <c r="K8" t="s">
        <v>17</v>
      </c>
      <c r="L8" t="str">
        <f t="shared" si="0"/>
        <v xml:space="preserve">{ longitude: -63.5020334413377, latitude: 44.6817441480961, stopType: 'Bus Stop Non-Standard', gotime: \'6524\', location: \'CRANBERRY CR NS LAPIERRE CR\' }, </v>
      </c>
    </row>
    <row r="9" spans="1:12" x14ac:dyDescent="0.25">
      <c r="A9">
        <v>-63.4999342702612</v>
      </c>
      <c r="B9">
        <v>44.681311797387302</v>
      </c>
      <c r="C9">
        <v>2008</v>
      </c>
      <c r="D9" t="s">
        <v>29</v>
      </c>
      <c r="E9" t="s">
        <v>12</v>
      </c>
      <c r="F9" t="s">
        <v>25</v>
      </c>
      <c r="G9" t="s">
        <v>26</v>
      </c>
      <c r="H9">
        <v>6525</v>
      </c>
      <c r="I9" t="s">
        <v>36</v>
      </c>
      <c r="J9" t="s">
        <v>37</v>
      </c>
      <c r="K9" t="s">
        <v>17</v>
      </c>
      <c r="L9" t="str">
        <f t="shared" si="0"/>
        <v xml:space="preserve">{ longitude: -63.4999342702612, latitude: 44.6813117973873, stopType: 'Bus Stop Accessible', gotime: \'6525\', location: \'CRANBERRY CR OPP CIVIC 132\' }, </v>
      </c>
    </row>
    <row r="10" spans="1:12" x14ac:dyDescent="0.25">
      <c r="A10">
        <v>-63.564804377297499</v>
      </c>
      <c r="B10">
        <v>44.674113504945502</v>
      </c>
      <c r="C10">
        <v>2009</v>
      </c>
      <c r="D10" t="s">
        <v>11</v>
      </c>
      <c r="E10" t="s">
        <v>12</v>
      </c>
      <c r="F10" t="s">
        <v>13</v>
      </c>
      <c r="G10" t="s">
        <v>14</v>
      </c>
      <c r="H10">
        <v>6526</v>
      </c>
      <c r="I10" t="s">
        <v>38</v>
      </c>
      <c r="J10" t="s">
        <v>39</v>
      </c>
      <c r="K10" t="s">
        <v>17</v>
      </c>
      <c r="L10" t="str">
        <f t="shared" si="0"/>
        <v xml:space="preserve">{ longitude: -63.5648043772975, latitude: 44.6741135049455, stopType: 'Bus Stop Non-Standard', gotime: \'6526\', location: \'CRICHTON AVE NS OAK ST &lt;SB&gt;\' }, </v>
      </c>
    </row>
    <row r="11" spans="1:12" x14ac:dyDescent="0.25">
      <c r="A11">
        <v>-63.564792103719</v>
      </c>
      <c r="B11">
        <v>44.6729788984644</v>
      </c>
      <c r="C11">
        <v>2010</v>
      </c>
      <c r="D11" t="s">
        <v>22</v>
      </c>
      <c r="E11" t="s">
        <v>12</v>
      </c>
      <c r="F11" t="s">
        <v>13</v>
      </c>
      <c r="G11" t="s">
        <v>14</v>
      </c>
      <c r="H11">
        <v>6527</v>
      </c>
      <c r="I11" t="s">
        <v>40</v>
      </c>
      <c r="J11" t="s">
        <v>41</v>
      </c>
      <c r="K11" t="s">
        <v>17</v>
      </c>
      <c r="L11" t="str">
        <f t="shared" si="0"/>
        <v xml:space="preserve">{ longitude: -63.564792103719, latitude: 44.6729788984644, stopType: 'Bus Stop Shelter Accessible', gotime: \'6527\', location: \'CRICHTON AVE FS CIVIC 63 &lt;SB&gt;\' }, </v>
      </c>
    </row>
    <row r="12" spans="1:12" x14ac:dyDescent="0.25">
      <c r="A12">
        <v>-63.5638255358039</v>
      </c>
      <c r="B12">
        <v>44.676633598254497</v>
      </c>
      <c r="C12">
        <v>2011</v>
      </c>
      <c r="D12" t="s">
        <v>29</v>
      </c>
      <c r="E12" t="s">
        <v>12</v>
      </c>
      <c r="F12" t="s">
        <v>25</v>
      </c>
      <c r="G12" t="s">
        <v>19</v>
      </c>
      <c r="H12">
        <v>6528</v>
      </c>
      <c r="I12" t="s">
        <v>42</v>
      </c>
      <c r="J12" t="s">
        <v>43</v>
      </c>
      <c r="K12" t="s">
        <v>17</v>
      </c>
      <c r="L12" t="str">
        <f t="shared" si="0"/>
        <v xml:space="preserve">{ longitude: -63.5638255358039, latitude: 44.6766335982545, stopType: 'Bus Stop Accessible', gotime: \'6528\', location: \'CRICHTON AVE FS CIVIC 85 &lt;WB&gt;\' }, </v>
      </c>
    </row>
    <row r="13" spans="1:12" x14ac:dyDescent="0.25">
      <c r="A13">
        <v>-63.561469490935202</v>
      </c>
      <c r="B13">
        <v>44.681563836543397</v>
      </c>
      <c r="C13">
        <v>2012</v>
      </c>
      <c r="D13" t="s">
        <v>11</v>
      </c>
      <c r="E13" t="s">
        <v>12</v>
      </c>
      <c r="F13" t="s">
        <v>13</v>
      </c>
      <c r="G13" t="s">
        <v>14</v>
      </c>
      <c r="H13">
        <v>6529</v>
      </c>
      <c r="I13" t="s">
        <v>44</v>
      </c>
      <c r="J13" t="s">
        <v>45</v>
      </c>
      <c r="K13" t="s">
        <v>17</v>
      </c>
      <c r="L13" t="str">
        <f t="shared" si="0"/>
        <v xml:space="preserve">{ longitude: -63.5614694909352, latitude: 44.6815638365434, stopType: 'Bus Stop Non-Standard', gotime: \'6529\', location: \'CRICHTON AVE FS LAKESIDE TERR &lt;NB&gt;\' }, </v>
      </c>
    </row>
    <row r="14" spans="1:12" x14ac:dyDescent="0.25">
      <c r="A14">
        <v>-63.563970690934902</v>
      </c>
      <c r="B14">
        <v>44.677966927284899</v>
      </c>
      <c r="C14">
        <v>2013</v>
      </c>
      <c r="D14" t="s">
        <v>29</v>
      </c>
      <c r="E14" t="s">
        <v>12</v>
      </c>
      <c r="F14" t="s">
        <v>13</v>
      </c>
      <c r="G14" t="s">
        <v>14</v>
      </c>
      <c r="H14">
        <v>6530</v>
      </c>
      <c r="I14" t="s">
        <v>46</v>
      </c>
      <c r="J14" t="s">
        <v>47</v>
      </c>
      <c r="K14" t="s">
        <v>17</v>
      </c>
      <c r="L14" t="str">
        <f t="shared" si="0"/>
        <v xml:space="preserve">{ longitude: -63.5639706909349, latitude: 44.6779669272849, stopType: 'Bus Stop Accessible', gotime: \'6530\', location: \'CRICHTON AVE FS OAKDALE CR &lt;NB&gt;\' }, </v>
      </c>
    </row>
    <row r="15" spans="1:12" x14ac:dyDescent="0.25">
      <c r="A15">
        <v>-63.564342235885597</v>
      </c>
      <c r="B15">
        <v>44.678620651981603</v>
      </c>
      <c r="C15">
        <v>2014</v>
      </c>
      <c r="D15" t="s">
        <v>11</v>
      </c>
      <c r="E15" t="s">
        <v>12</v>
      </c>
      <c r="F15" t="s">
        <v>13</v>
      </c>
      <c r="G15" t="s">
        <v>14</v>
      </c>
      <c r="H15">
        <v>6531</v>
      </c>
      <c r="I15" t="s">
        <v>48</v>
      </c>
      <c r="J15" t="s">
        <v>49</v>
      </c>
      <c r="K15" t="s">
        <v>17</v>
      </c>
      <c r="L15" t="str">
        <f t="shared" si="0"/>
        <v xml:space="preserve">{ longitude: -63.5643422358856, latitude: 44.6786206519816, stopType: 'Bus Stop Non-Standard', gotime: \'6531\', location: \'CRICHTON AVE AT CIVIC 121 &lt;WB&gt;\' }, </v>
      </c>
    </row>
    <row r="16" spans="1:12" x14ac:dyDescent="0.25">
      <c r="A16">
        <v>-63.5620972062882</v>
      </c>
      <c r="B16">
        <v>44.6811245875369</v>
      </c>
      <c r="C16">
        <v>2015</v>
      </c>
      <c r="D16" t="s">
        <v>29</v>
      </c>
      <c r="E16" t="s">
        <v>12</v>
      </c>
      <c r="F16" t="s">
        <v>13</v>
      </c>
      <c r="G16" t="s">
        <v>14</v>
      </c>
      <c r="H16">
        <v>6532</v>
      </c>
      <c r="I16" t="s">
        <v>50</v>
      </c>
      <c r="J16" t="s">
        <v>51</v>
      </c>
      <c r="K16" t="s">
        <v>17</v>
      </c>
      <c r="L16" t="str">
        <f t="shared" si="0"/>
        <v xml:space="preserve">{ longitude: -63.5620972062882, latitude: 44.6811245875369, stopType: 'Bus Stop Accessible', gotime: \'6532\', location: \'CRICHTON AVE AT CIVIC 201 &lt;WB&gt;\' }, </v>
      </c>
    </row>
    <row r="17" spans="1:12" x14ac:dyDescent="0.25">
      <c r="A17">
        <v>-63.563644881878901</v>
      </c>
      <c r="B17">
        <v>44.6762831078061</v>
      </c>
      <c r="C17">
        <v>2016</v>
      </c>
      <c r="D17" t="s">
        <v>29</v>
      </c>
      <c r="E17" t="s">
        <v>12</v>
      </c>
      <c r="F17" t="s">
        <v>13</v>
      </c>
      <c r="G17" t="s">
        <v>19</v>
      </c>
      <c r="H17">
        <v>6534</v>
      </c>
      <c r="I17" t="s">
        <v>52</v>
      </c>
      <c r="J17" t="s">
        <v>53</v>
      </c>
      <c r="K17" t="s">
        <v>17</v>
      </c>
      <c r="L17" t="str">
        <f t="shared" si="0"/>
        <v xml:space="preserve">{ longitude: -63.5636448818789, latitude: 44.6762831078061, stopType: 'Bus Stop Accessible', gotime: \'6534\', location: \'CRICHTON AVE AT CIVIC 90 &lt;EB&gt;\' }, </v>
      </c>
    </row>
    <row r="18" spans="1:12" x14ac:dyDescent="0.25">
      <c r="A18">
        <v>-63.564542515844003</v>
      </c>
      <c r="B18">
        <v>44.6729074663304</v>
      </c>
      <c r="C18">
        <v>2017</v>
      </c>
      <c r="D18" t="s">
        <v>22</v>
      </c>
      <c r="E18" t="s">
        <v>12</v>
      </c>
      <c r="F18" t="s">
        <v>13</v>
      </c>
      <c r="G18" t="s">
        <v>14</v>
      </c>
      <c r="H18">
        <v>6535</v>
      </c>
      <c r="I18" t="s">
        <v>54</v>
      </c>
      <c r="J18" t="s">
        <v>55</v>
      </c>
      <c r="K18" t="s">
        <v>17</v>
      </c>
      <c r="L18" t="str">
        <f t="shared" si="0"/>
        <v xml:space="preserve">{ longitude: -63.564542515844, latitude: 44.6729074663304, stopType: 'Bus Stop Shelter Accessible', gotime: \'6535\', location: \'CRICHTON AVE NS DAHLIA ST &lt;NB&gt;\' }, </v>
      </c>
    </row>
    <row r="19" spans="1:12" x14ac:dyDescent="0.25">
      <c r="A19">
        <v>-63.5645774525183</v>
      </c>
      <c r="B19">
        <v>44.673965850787603</v>
      </c>
      <c r="C19">
        <v>2018</v>
      </c>
      <c r="D19" t="s">
        <v>29</v>
      </c>
      <c r="E19" t="s">
        <v>12</v>
      </c>
      <c r="F19" t="s">
        <v>13</v>
      </c>
      <c r="G19" t="s">
        <v>14</v>
      </c>
      <c r="H19">
        <v>6536</v>
      </c>
      <c r="I19" t="s">
        <v>56</v>
      </c>
      <c r="J19" t="s">
        <v>57</v>
      </c>
      <c r="K19" t="s">
        <v>17</v>
      </c>
      <c r="L19" t="str">
        <f t="shared" si="0"/>
        <v xml:space="preserve">{ longitude: -63.5645774525183, latitude: 44.6739658507876, stopType: 'Bus Stop Accessible', gotime: \'6536\', location: \'CRICHTON AVE FS OAK ST &lt;EB&gt;\' }, </v>
      </c>
    </row>
    <row r="20" spans="1:12" x14ac:dyDescent="0.25">
      <c r="A20">
        <v>-63.564563783907602</v>
      </c>
      <c r="B20">
        <v>44.672173442440801</v>
      </c>
      <c r="C20">
        <v>2019</v>
      </c>
      <c r="D20" t="s">
        <v>11</v>
      </c>
      <c r="E20" t="s">
        <v>12</v>
      </c>
      <c r="F20" t="s">
        <v>13</v>
      </c>
      <c r="G20" t="s">
        <v>14</v>
      </c>
      <c r="H20">
        <v>6537</v>
      </c>
      <c r="I20" t="s">
        <v>58</v>
      </c>
      <c r="J20" s="1" t="s">
        <v>59</v>
      </c>
      <c r="K20" t="s">
        <v>17</v>
      </c>
      <c r="L20" t="str">
        <f t="shared" si="0"/>
        <v xml:space="preserve">{ longitude: -63.5645637839076, latitude: 44.6721734424408, stopType: 'Bus Stop Non-Standard', gotime: \'6537\', location: \'CRICHTON AVE NS ST.PETERS CHURCH\' }, </v>
      </c>
    </row>
    <row r="21" spans="1:12" x14ac:dyDescent="0.25">
      <c r="A21">
        <v>-63.564119582047503</v>
      </c>
      <c r="B21">
        <v>44.671436504791501</v>
      </c>
      <c r="C21">
        <v>2020</v>
      </c>
      <c r="D21" t="s">
        <v>29</v>
      </c>
      <c r="E21" t="s">
        <v>12</v>
      </c>
      <c r="F21" t="s">
        <v>13</v>
      </c>
      <c r="G21" t="s">
        <v>14</v>
      </c>
      <c r="H21">
        <v>6538</v>
      </c>
      <c r="I21" t="s">
        <v>60</v>
      </c>
      <c r="J21" t="s">
        <v>61</v>
      </c>
      <c r="K21" t="s">
        <v>17</v>
      </c>
      <c r="L21" t="str">
        <f t="shared" si="0"/>
        <v xml:space="preserve">{ longitude: -63.5641195820475, latitude: 44.6714365047915, stopType: 'Bus Stop Accessible', gotime: \'6538\', location: \'CRICHTON AVE OPP ST.PETERS CHURCH\' }, </v>
      </c>
    </row>
    <row r="22" spans="1:12" x14ac:dyDescent="0.25">
      <c r="A22">
        <v>-63.583306874633799</v>
      </c>
      <c r="B22">
        <v>44.686628330618802</v>
      </c>
      <c r="C22">
        <v>2021</v>
      </c>
      <c r="D22" t="s">
        <v>22</v>
      </c>
      <c r="E22" t="s">
        <v>12</v>
      </c>
      <c r="F22" t="s">
        <v>25</v>
      </c>
      <c r="G22" t="s">
        <v>19</v>
      </c>
      <c r="H22">
        <v>6539</v>
      </c>
      <c r="I22" t="s">
        <v>62</v>
      </c>
      <c r="J22" t="s">
        <v>63</v>
      </c>
      <c r="K22" t="s">
        <v>17</v>
      </c>
      <c r="L22" t="str">
        <f t="shared" si="0"/>
        <v xml:space="preserve">{ longitude: -63.5833068746338, latitude: 44.6866283306188, stopType: 'Bus Stop Shelter Accessible', gotime: \'6539\', location: \'CRYSTAL DR DR AT HIGHLAND MANOR\' }, </v>
      </c>
    </row>
    <row r="23" spans="1:12" x14ac:dyDescent="0.25">
      <c r="A23">
        <v>-63.580934828422002</v>
      </c>
      <c r="B23">
        <v>44.687279653680598</v>
      </c>
      <c r="C23">
        <v>2022</v>
      </c>
      <c r="D23" t="s">
        <v>64</v>
      </c>
      <c r="E23" t="s">
        <v>12</v>
      </c>
      <c r="F23" t="s">
        <v>13</v>
      </c>
      <c r="G23" t="s">
        <v>65</v>
      </c>
      <c r="H23">
        <v>6540</v>
      </c>
      <c r="I23" t="s">
        <v>66</v>
      </c>
      <c r="J23" t="s">
        <v>67</v>
      </c>
      <c r="K23" t="s">
        <v>17</v>
      </c>
      <c r="L23" t="str">
        <f t="shared" si="0"/>
        <v xml:space="preserve">{ longitude: -63.580934828422, latitude: 44.6872796536806, stopType: 'Bus Stop Shelter Inaccessible', gotime: \'6540\', location: \'CRYSTAL DR DR NS PRIMROSE ST ST [IB]\' }, </v>
      </c>
    </row>
    <row r="24" spans="1:12" x14ac:dyDescent="0.25">
      <c r="A24">
        <v>-63.490505980759103</v>
      </c>
      <c r="B24">
        <v>44.668422412248503</v>
      </c>
      <c r="C24">
        <v>2023</v>
      </c>
      <c r="D24" t="s">
        <v>64</v>
      </c>
      <c r="E24" t="s">
        <v>12</v>
      </c>
      <c r="F24" t="s">
        <v>13</v>
      </c>
      <c r="G24" t="s">
        <v>65</v>
      </c>
      <c r="H24">
        <v>6541</v>
      </c>
      <c r="I24" t="s">
        <v>68</v>
      </c>
      <c r="J24" t="s">
        <v>69</v>
      </c>
      <c r="K24" t="s">
        <v>17</v>
      </c>
      <c r="L24" t="str">
        <f t="shared" si="0"/>
        <v xml:space="preserve">{ longitude: -63.4905059807591, latitude: 44.6684224122485, stopType: 'Bus Stop Shelter Inaccessible', gotime: \'6541\', location: \'CUMBERLAND DR FS COLBY DR\' }, </v>
      </c>
    </row>
    <row r="25" spans="1:12" x14ac:dyDescent="0.25">
      <c r="A25">
        <v>-63.489598040826799</v>
      </c>
      <c r="B25">
        <v>44.670718134377204</v>
      </c>
      <c r="C25">
        <v>2024</v>
      </c>
      <c r="D25" t="s">
        <v>11</v>
      </c>
      <c r="E25" t="s">
        <v>12</v>
      </c>
      <c r="F25" t="s">
        <v>25</v>
      </c>
      <c r="G25" t="s">
        <v>26</v>
      </c>
      <c r="H25">
        <v>6542</v>
      </c>
      <c r="I25" t="s">
        <v>70</v>
      </c>
      <c r="J25" t="s">
        <v>71</v>
      </c>
      <c r="K25" t="s">
        <v>17</v>
      </c>
      <c r="L25" t="str">
        <f t="shared" si="0"/>
        <v xml:space="preserve">{ longitude: -63.4895980408268, latitude: 44.6707181343772, stopType: 'Bus Stop Non-Standard', gotime: \'6542\', location: \'CUMBERLAND DR NS COLE HARBOUR RD\' }, </v>
      </c>
    </row>
    <row r="26" spans="1:12" x14ac:dyDescent="0.25">
      <c r="A26">
        <v>-63.589978181561897</v>
      </c>
      <c r="B26">
        <v>44.651297057553101</v>
      </c>
      <c r="C26">
        <v>2025</v>
      </c>
      <c r="D26" t="s">
        <v>29</v>
      </c>
      <c r="E26" t="s">
        <v>12</v>
      </c>
      <c r="F26" t="s">
        <v>13</v>
      </c>
      <c r="G26" t="s">
        <v>14</v>
      </c>
      <c r="H26">
        <v>6543</v>
      </c>
      <c r="I26" t="s">
        <v>72</v>
      </c>
      <c r="J26" t="s">
        <v>73</v>
      </c>
      <c r="K26" t="s">
        <v>17</v>
      </c>
      <c r="L26" t="str">
        <f t="shared" si="0"/>
        <v xml:space="preserve">{ longitude: -63.5899781815619, latitude: 44.6512970575531, stopType: 'Bus Stop Accessible', gotime: \'6543\', location: \'CUNARD ST FS JUNE ST\' }, </v>
      </c>
    </row>
    <row r="27" spans="1:12" x14ac:dyDescent="0.25">
      <c r="A27">
        <v>-63.594941670121102</v>
      </c>
      <c r="B27">
        <v>44.650322228128204</v>
      </c>
      <c r="C27">
        <v>2026</v>
      </c>
      <c r="D27" t="s">
        <v>29</v>
      </c>
      <c r="E27" t="s">
        <v>12</v>
      </c>
      <c r="F27" t="s">
        <v>13</v>
      </c>
      <c r="G27" t="s">
        <v>74</v>
      </c>
      <c r="H27">
        <v>6544</v>
      </c>
      <c r="I27" t="s">
        <v>75</v>
      </c>
      <c r="J27" t="s">
        <v>76</v>
      </c>
      <c r="K27" t="s">
        <v>17</v>
      </c>
      <c r="L27" t="str">
        <f t="shared" si="0"/>
        <v xml:space="preserve">{ longitude: -63.5949416701211, latitude: 44.6503222281282, stopType: 'Bus Stop Accessible', gotime: \'6544\', location: \'CUNARD ST &lt;NS&gt; WINDSOR ST\' }, </v>
      </c>
    </row>
    <row r="28" spans="1:12" x14ac:dyDescent="0.25">
      <c r="A28">
        <v>-63.594286637754799</v>
      </c>
      <c r="B28">
        <v>44.6502937256327</v>
      </c>
      <c r="C28">
        <v>2027</v>
      </c>
      <c r="D28" t="s">
        <v>29</v>
      </c>
      <c r="E28" t="s">
        <v>12</v>
      </c>
      <c r="F28" t="s">
        <v>13</v>
      </c>
      <c r="G28" t="s">
        <v>14</v>
      </c>
      <c r="H28">
        <v>6545</v>
      </c>
      <c r="I28" t="s">
        <v>77</v>
      </c>
      <c r="J28" t="s">
        <v>78</v>
      </c>
      <c r="K28" t="s">
        <v>17</v>
      </c>
      <c r="L28" t="str">
        <f t="shared" si="0"/>
        <v xml:space="preserve">{ longitude: -63.5942866377548, latitude: 44.6502937256327, stopType: 'Bus Stop Accessible', gotime: \'6545\', location: \'CUNARD ST OPP HUNTER ST\' }, </v>
      </c>
    </row>
    <row r="29" spans="1:12" x14ac:dyDescent="0.25">
      <c r="A29">
        <v>-63.465146343305904</v>
      </c>
      <c r="B29">
        <v>44.739247716870899</v>
      </c>
      <c r="C29">
        <v>2028</v>
      </c>
      <c r="D29" t="s">
        <v>11</v>
      </c>
      <c r="E29" t="s">
        <v>12</v>
      </c>
      <c r="F29" t="s">
        <v>25</v>
      </c>
      <c r="G29" t="s">
        <v>26</v>
      </c>
      <c r="H29">
        <v>7000</v>
      </c>
      <c r="I29" t="s">
        <v>79</v>
      </c>
      <c r="J29" t="s">
        <v>80</v>
      </c>
      <c r="K29" t="s">
        <v>17</v>
      </c>
      <c r="L29" t="str">
        <f t="shared" si="0"/>
        <v xml:space="preserve">{ longitude: -63.4651463433059, latitude: 44.7392477168709, stopType: 'Bus Stop Non-Standard', gotime: \'7000\', location: \'JOHNSON RD FS CIVIC 16\' }, </v>
      </c>
    </row>
    <row r="30" spans="1:12" x14ac:dyDescent="0.25">
      <c r="A30">
        <v>-63.7382264954663</v>
      </c>
      <c r="B30">
        <v>44.653339098716202</v>
      </c>
      <c r="C30">
        <v>2029</v>
      </c>
      <c r="D30" t="s">
        <v>11</v>
      </c>
      <c r="E30" t="s">
        <v>12</v>
      </c>
      <c r="F30" t="s">
        <v>13</v>
      </c>
      <c r="G30" t="s">
        <v>19</v>
      </c>
      <c r="H30">
        <v>6624</v>
      </c>
      <c r="I30" t="s">
        <v>81</v>
      </c>
      <c r="J30" t="s">
        <v>82</v>
      </c>
      <c r="K30" t="s">
        <v>17</v>
      </c>
      <c r="L30" t="str">
        <f t="shared" si="0"/>
        <v xml:space="preserve">{ longitude: -63.7382264954663, latitude: 44.6533390987162, stopType: 'Bus Stop Non-Standard', gotime: \'6624\', location: \'EISENER NS CIVIC 118\' }, </v>
      </c>
    </row>
    <row r="31" spans="1:12" x14ac:dyDescent="0.25">
      <c r="A31">
        <v>-63.522320666697297</v>
      </c>
      <c r="B31">
        <v>44.668051055856502</v>
      </c>
      <c r="C31">
        <v>2030</v>
      </c>
      <c r="D31" t="s">
        <v>11</v>
      </c>
      <c r="E31" t="s">
        <v>12</v>
      </c>
      <c r="F31" t="s">
        <v>25</v>
      </c>
      <c r="G31" t="s">
        <v>26</v>
      </c>
      <c r="H31">
        <v>6625</v>
      </c>
      <c r="I31" t="s">
        <v>83</v>
      </c>
      <c r="J31" t="s">
        <v>84</v>
      </c>
      <c r="K31" t="s">
        <v>17</v>
      </c>
      <c r="L31" t="str">
        <f t="shared" si="0"/>
        <v xml:space="preserve">{ longitude: -63.5223206666973, latitude: 44.6680510558565, stopType: 'Bus Stop Non-Standard', gotime: \'6625\', location: \'EISENER BLVD OPP CINEMAS\' }, </v>
      </c>
    </row>
    <row r="32" spans="1:12" x14ac:dyDescent="0.25">
      <c r="A32">
        <v>-63.6501564303206</v>
      </c>
      <c r="B32">
        <v>44.6528465581953</v>
      </c>
      <c r="C32">
        <v>2031</v>
      </c>
      <c r="D32" t="s">
        <v>29</v>
      </c>
      <c r="E32" t="s">
        <v>12</v>
      </c>
      <c r="F32" t="s">
        <v>13</v>
      </c>
      <c r="G32" t="s">
        <v>14</v>
      </c>
      <c r="H32">
        <v>6604</v>
      </c>
      <c r="I32" t="s">
        <v>85</v>
      </c>
      <c r="J32" t="s">
        <v>86</v>
      </c>
      <c r="K32" t="s">
        <v>17</v>
      </c>
      <c r="L32" t="str">
        <f t="shared" si="0"/>
        <v xml:space="preserve">{ longitude: -63.6501564303206, latitude: 44.6528465581953, stopType: 'Bus Stop Accessible', gotime: \'6604\', location: \'DUNBRACK ST NS MAIN AVE &lt;SB&gt;\' }, </v>
      </c>
    </row>
    <row r="33" spans="1:12" x14ac:dyDescent="0.25">
      <c r="A33">
        <v>-63.651362387572497</v>
      </c>
      <c r="B33">
        <v>44.654861753284401</v>
      </c>
      <c r="C33">
        <v>2032</v>
      </c>
      <c r="D33" t="s">
        <v>29</v>
      </c>
      <c r="E33" t="s">
        <v>12</v>
      </c>
      <c r="F33" t="s">
        <v>13</v>
      </c>
      <c r="G33" t="s">
        <v>14</v>
      </c>
      <c r="H33">
        <v>6605</v>
      </c>
      <c r="I33" t="s">
        <v>87</v>
      </c>
      <c r="J33" t="s">
        <v>88</v>
      </c>
      <c r="K33" t="s">
        <v>17</v>
      </c>
      <c r="L33" t="str">
        <f t="shared" si="0"/>
        <v xml:space="preserve">{ longitude: -63.6513623875725, latitude: 44.6548617532844, stopType: 'Bus Stop Accessible', gotime: \'6605\', location: \'DUNBRACK ST OPP BIRKDALE CR\' }, </v>
      </c>
    </row>
    <row r="34" spans="1:12" x14ac:dyDescent="0.25">
      <c r="A34">
        <v>-63.652669293539297</v>
      </c>
      <c r="B34">
        <v>44.660348979868402</v>
      </c>
      <c r="C34">
        <v>2033</v>
      </c>
      <c r="D34" t="s">
        <v>29</v>
      </c>
      <c r="E34" t="s">
        <v>12</v>
      </c>
      <c r="F34" t="s">
        <v>13</v>
      </c>
      <c r="G34" t="s">
        <v>19</v>
      </c>
      <c r="H34">
        <v>6606</v>
      </c>
      <c r="I34" t="s">
        <v>89</v>
      </c>
      <c r="J34" t="s">
        <v>90</v>
      </c>
      <c r="K34" t="s">
        <v>17</v>
      </c>
      <c r="L34" t="str">
        <f t="shared" si="0"/>
        <v xml:space="preserve">{ longitude: -63.6526692935393, latitude: 44.6603489798684, stopType: 'Bus Stop Accessible', gotime: \'6606\', location: \'DUNBRACK ST OPP NORTHCLIFFE CTR\' }, </v>
      </c>
    </row>
    <row r="35" spans="1:12" x14ac:dyDescent="0.25">
      <c r="A35">
        <v>-63.663797743953502</v>
      </c>
      <c r="B35">
        <v>44.673344288070901</v>
      </c>
      <c r="C35">
        <v>2034</v>
      </c>
      <c r="D35" t="s">
        <v>29</v>
      </c>
      <c r="E35" t="s">
        <v>12</v>
      </c>
      <c r="F35" t="s">
        <v>13</v>
      </c>
      <c r="G35" t="s">
        <v>14</v>
      </c>
      <c r="H35">
        <v>6607</v>
      </c>
      <c r="I35" t="s">
        <v>91</v>
      </c>
      <c r="J35" t="s">
        <v>92</v>
      </c>
      <c r="K35" t="s">
        <v>17</v>
      </c>
      <c r="L35" t="str">
        <f t="shared" si="0"/>
        <v xml:space="preserve">{ longitude: -63.6637977439535, latitude: 44.6733442880709, stopType: 'Bus Stop Accessible', gotime: \'6607\', location: \'DUNBRACK ST OPP FARNHAM GATE RD\' }, </v>
      </c>
    </row>
    <row r="36" spans="1:12" x14ac:dyDescent="0.25">
      <c r="A36">
        <v>-63.621636113063197</v>
      </c>
      <c r="B36">
        <v>44.617004454577298</v>
      </c>
      <c r="C36">
        <v>2035</v>
      </c>
      <c r="D36" t="s">
        <v>11</v>
      </c>
      <c r="E36" t="s">
        <v>12</v>
      </c>
      <c r="F36" t="s">
        <v>13</v>
      </c>
      <c r="G36" t="s">
        <v>14</v>
      </c>
      <c r="H36">
        <v>6608</v>
      </c>
      <c r="I36" t="s">
        <v>93</v>
      </c>
      <c r="J36" t="s">
        <v>94</v>
      </c>
      <c r="K36" t="s">
        <v>17</v>
      </c>
      <c r="L36" t="str">
        <f t="shared" si="0"/>
        <v xml:space="preserve">{ longitude: -63.6216361130632, latitude: 44.6170044545773, stopType: 'Bus Stop Non-Standard', gotime: \'6608\', location: \'OLD SAMBRO RD RD OPP SCHNARE\' }, </v>
      </c>
    </row>
    <row r="37" spans="1:12" x14ac:dyDescent="0.25">
      <c r="A37">
        <v>-63.6319483146764</v>
      </c>
      <c r="B37">
        <v>44.6565671770433</v>
      </c>
      <c r="C37">
        <v>2036</v>
      </c>
      <c r="D37" t="s">
        <v>29</v>
      </c>
      <c r="E37" t="s">
        <v>12</v>
      </c>
      <c r="F37" t="s">
        <v>13</v>
      </c>
      <c r="G37" t="s">
        <v>14</v>
      </c>
      <c r="H37">
        <v>6609</v>
      </c>
      <c r="I37" t="s">
        <v>95</v>
      </c>
      <c r="J37" t="s">
        <v>96</v>
      </c>
      <c r="K37" t="s">
        <v>17</v>
      </c>
      <c r="L37" t="str">
        <f t="shared" si="0"/>
        <v xml:space="preserve">{ longitude: -63.6319483146764, latitude: 44.6565671770433, stopType: 'Bus Stop Accessible', gotime: \'6609\', location: \'DUTCH VILLAGE RD AT ANDREW ST\' }, </v>
      </c>
    </row>
    <row r="38" spans="1:12" x14ac:dyDescent="0.25">
      <c r="A38">
        <v>-63.629729777001899</v>
      </c>
      <c r="B38">
        <v>44.648844514020503</v>
      </c>
      <c r="C38">
        <v>2037</v>
      </c>
      <c r="D38" t="s">
        <v>29</v>
      </c>
      <c r="E38" t="s">
        <v>12</v>
      </c>
      <c r="F38" t="s">
        <v>13</v>
      </c>
      <c r="G38" t="s">
        <v>19</v>
      </c>
      <c r="H38">
        <v>6610</v>
      </c>
      <c r="I38" t="s">
        <v>97</v>
      </c>
      <c r="J38" t="s">
        <v>98</v>
      </c>
      <c r="K38" t="s">
        <v>17</v>
      </c>
      <c r="L38" t="str">
        <f t="shared" si="0"/>
        <v xml:space="preserve">{ longitude: -63.6297297770019, latitude: 44.6488445140205, stopType: 'Bus Stop Accessible', gotime: \'6610\', location: \'JOSEPH HOWE DR AT CIVIC 3109\' }, </v>
      </c>
    </row>
    <row r="39" spans="1:12" x14ac:dyDescent="0.25">
      <c r="A39">
        <v>-63.631633687832696</v>
      </c>
      <c r="B39">
        <v>44.658732016545699</v>
      </c>
      <c r="C39">
        <v>2038</v>
      </c>
      <c r="D39" t="s">
        <v>29</v>
      </c>
      <c r="E39" t="s">
        <v>12</v>
      </c>
      <c r="F39" t="s">
        <v>13</v>
      </c>
      <c r="G39" t="s">
        <v>14</v>
      </c>
      <c r="H39">
        <v>6611</v>
      </c>
      <c r="I39" t="s">
        <v>99</v>
      </c>
      <c r="J39" t="s">
        <v>100</v>
      </c>
      <c r="K39" t="s">
        <v>17</v>
      </c>
      <c r="L39" t="str">
        <f t="shared" si="0"/>
        <v xml:space="preserve">{ longitude: -63.6316336878327, latitude: 44.6587320165457, stopType: 'Bus Stop Accessible', gotime: \'6611\', location: \'DUTCH VILLAGE RD NS DEAL ST\' }, </v>
      </c>
    </row>
    <row r="40" spans="1:12" x14ac:dyDescent="0.25">
      <c r="A40">
        <v>-63.629957263734603</v>
      </c>
      <c r="B40">
        <v>44.648807368340002</v>
      </c>
      <c r="C40">
        <v>2039</v>
      </c>
      <c r="D40" t="s">
        <v>29</v>
      </c>
      <c r="E40" t="s">
        <v>12</v>
      </c>
      <c r="F40" t="s">
        <v>25</v>
      </c>
      <c r="G40" t="s">
        <v>19</v>
      </c>
      <c r="H40">
        <v>6612</v>
      </c>
      <c r="I40" t="s">
        <v>101</v>
      </c>
      <c r="J40" t="s">
        <v>102</v>
      </c>
      <c r="K40" t="s">
        <v>17</v>
      </c>
      <c r="L40" t="str">
        <f t="shared" si="0"/>
        <v xml:space="preserve">{ longitude: -63.6299572637346, latitude: 44.64880736834, stopType: 'Bus Stop Accessible', gotime: \'6612\', location: \'JOSEPH HOWE DR SB NS MUMFORD RD\' }, </v>
      </c>
    </row>
    <row r="41" spans="1:12" x14ac:dyDescent="0.25">
      <c r="A41">
        <v>-63.6321847633712</v>
      </c>
      <c r="B41">
        <v>44.656134015714002</v>
      </c>
      <c r="C41">
        <v>2040</v>
      </c>
      <c r="D41" t="s">
        <v>103</v>
      </c>
      <c r="E41" t="s">
        <v>12</v>
      </c>
      <c r="F41" t="s">
        <v>13</v>
      </c>
      <c r="G41" t="s">
        <v>65</v>
      </c>
      <c r="H41">
        <v>6613</v>
      </c>
      <c r="I41" t="s">
        <v>104</v>
      </c>
      <c r="J41" t="s">
        <v>105</v>
      </c>
      <c r="K41" t="s">
        <v>17</v>
      </c>
      <c r="L41" t="str">
        <f t="shared" si="0"/>
        <v xml:space="preserve">{ longitude: -63.6321847633712, latitude: 44.656134015714, stopType: 'Bus Stop Inaccessible', gotime: \'6613\', location: \'DUTCH VILLAGE RD NS ROSEDALE AVE\' }, </v>
      </c>
    </row>
    <row r="42" spans="1:12" x14ac:dyDescent="0.25">
      <c r="A42">
        <v>-63.632469861292698</v>
      </c>
      <c r="B42">
        <v>44.657486235524303</v>
      </c>
      <c r="C42">
        <v>2041</v>
      </c>
      <c r="D42" t="s">
        <v>11</v>
      </c>
      <c r="E42" t="s">
        <v>12</v>
      </c>
      <c r="F42" t="s">
        <v>13</v>
      </c>
      <c r="G42" t="s">
        <v>14</v>
      </c>
      <c r="H42">
        <v>6614</v>
      </c>
      <c r="I42" t="s">
        <v>106</v>
      </c>
      <c r="J42" t="s">
        <v>107</v>
      </c>
      <c r="K42" t="s">
        <v>17</v>
      </c>
      <c r="L42" t="str">
        <f t="shared" si="0"/>
        <v xml:space="preserve">{ longitude: -63.6324698612927, latitude: 44.6574862355243, stopType: 'Bus Stop Non-Standard', gotime: \'6614\', location: \'DUTCH VILLAGE RD NS RUFUS AVE\' }, </v>
      </c>
    </row>
    <row r="43" spans="1:12" x14ac:dyDescent="0.25">
      <c r="A43">
        <v>-63.630236106092703</v>
      </c>
      <c r="B43">
        <v>44.659782992057103</v>
      </c>
      <c r="C43">
        <v>2042</v>
      </c>
      <c r="D43" t="s">
        <v>29</v>
      </c>
      <c r="E43" t="s">
        <v>12</v>
      </c>
      <c r="F43" t="s">
        <v>13</v>
      </c>
      <c r="G43" t="s">
        <v>19</v>
      </c>
      <c r="H43">
        <v>6615</v>
      </c>
      <c r="I43" t="s">
        <v>108</v>
      </c>
      <c r="J43" t="s">
        <v>109</v>
      </c>
      <c r="K43" t="s">
        <v>17</v>
      </c>
      <c r="L43" t="str">
        <f t="shared" si="0"/>
        <v xml:space="preserve">{ longitude: -63.6302361060927, latitude: 44.6597829920571, stopType: 'Bus Stop Accessible', gotime: \'6615\', location: \'DUTCH VILLAGE RD WB OPP PERCY ST\' }, </v>
      </c>
    </row>
    <row r="44" spans="1:12" x14ac:dyDescent="0.25">
      <c r="A44">
        <v>-63.663010051988202</v>
      </c>
      <c r="B44">
        <v>44.642916549048898</v>
      </c>
      <c r="C44">
        <v>2043</v>
      </c>
      <c r="D44" t="s">
        <v>103</v>
      </c>
      <c r="E44" t="s">
        <v>12</v>
      </c>
      <c r="F44" t="s">
        <v>25</v>
      </c>
      <c r="G44" t="s">
        <v>65</v>
      </c>
      <c r="H44">
        <v>6388</v>
      </c>
      <c r="I44" t="s">
        <v>110</v>
      </c>
      <c r="J44" t="s">
        <v>111</v>
      </c>
      <c r="K44" t="s">
        <v>17</v>
      </c>
      <c r="L44" t="str">
        <f t="shared" si="0"/>
        <v xml:space="preserve">{ longitude: -63.6630100519882, latitude: 44.6429165490489, stopType: 'Bus Stop Inaccessible', gotime: \'6388\', location: \'CHAIN LAKE DR AT BL CORPORATE CENTRE\' }, </v>
      </c>
    </row>
    <row r="45" spans="1:12" x14ac:dyDescent="0.25">
      <c r="A45">
        <v>-63.676236096084203</v>
      </c>
      <c r="B45">
        <v>44.651364777248503</v>
      </c>
      <c r="C45">
        <v>2044</v>
      </c>
      <c r="D45" t="s">
        <v>29</v>
      </c>
      <c r="E45" t="s">
        <v>12</v>
      </c>
      <c r="F45" t="s">
        <v>13</v>
      </c>
      <c r="G45" t="s">
        <v>14</v>
      </c>
      <c r="H45">
        <v>6389</v>
      </c>
      <c r="I45" t="s">
        <v>112</v>
      </c>
      <c r="J45" t="s">
        <v>113</v>
      </c>
      <c r="K45" t="s">
        <v>17</v>
      </c>
      <c r="L45" t="str">
        <f t="shared" si="0"/>
        <v xml:space="preserve">{ longitude: -63.6762360960842, latitude: 44.6513647772485, stopType: 'Bus Stop Accessible', gotime: \'6389\', location: \'CHAIN LAKE DR AT BURGER KING [OB]\' }, </v>
      </c>
    </row>
    <row r="46" spans="1:12" x14ac:dyDescent="0.25">
      <c r="A46">
        <v>-63.6625836160067</v>
      </c>
      <c r="B46">
        <v>44.638813841410197</v>
      </c>
      <c r="C46">
        <v>2045</v>
      </c>
      <c r="D46" t="s">
        <v>18</v>
      </c>
      <c r="E46" t="s">
        <v>12</v>
      </c>
      <c r="F46" t="s">
        <v>13</v>
      </c>
      <c r="G46" t="s">
        <v>65</v>
      </c>
      <c r="H46">
        <v>6390</v>
      </c>
      <c r="I46" t="s">
        <v>114</v>
      </c>
      <c r="J46" t="s">
        <v>115</v>
      </c>
      <c r="K46" t="s">
        <v>17</v>
      </c>
      <c r="L46" t="str">
        <f t="shared" si="0"/>
        <v xml:space="preserve">{ longitude: -63.6625836160067, latitude: 44.6388138414102, stopType: 'Bus Stop Shelter Non-Standard', gotime: \'6390\', location: \'CHAIN LAKE DR AT CIVIC 115 (TELL TEC)\' }, </v>
      </c>
    </row>
    <row r="47" spans="1:12" x14ac:dyDescent="0.25">
      <c r="A47">
        <v>-63.610825740133599</v>
      </c>
      <c r="B47">
        <v>44.670493323738</v>
      </c>
      <c r="C47">
        <v>2046</v>
      </c>
      <c r="D47" t="s">
        <v>29</v>
      </c>
      <c r="E47" t="s">
        <v>12</v>
      </c>
      <c r="F47" t="s">
        <v>13</v>
      </c>
      <c r="G47" t="s">
        <v>19</v>
      </c>
      <c r="H47">
        <v>7371</v>
      </c>
      <c r="I47" t="s">
        <v>116</v>
      </c>
      <c r="J47" t="s">
        <v>117</v>
      </c>
      <c r="K47" t="s">
        <v>17</v>
      </c>
      <c r="L47" t="str">
        <f t="shared" si="0"/>
        <v xml:space="preserve">{ longitude: -63.6108257401336, latitude: 44.670493323738, stopType: 'Bus Stop Accessible', gotime: \'7371\', location: \'NOVALEA DR NS LEEDS ST &lt;SB&gt; TO VIC MANOR\' }, </v>
      </c>
    </row>
    <row r="48" spans="1:12" x14ac:dyDescent="0.25">
      <c r="A48">
        <v>-63.607802845662697</v>
      </c>
      <c r="B48">
        <v>44.668688249199199</v>
      </c>
      <c r="C48">
        <v>2047</v>
      </c>
      <c r="D48" t="s">
        <v>29</v>
      </c>
      <c r="E48" t="s">
        <v>12</v>
      </c>
      <c r="F48" t="s">
        <v>13</v>
      </c>
      <c r="G48" t="s">
        <v>19</v>
      </c>
      <c r="H48">
        <v>7373</v>
      </c>
      <c r="I48" t="s">
        <v>118</v>
      </c>
      <c r="J48" t="s">
        <v>119</v>
      </c>
      <c r="K48" t="s">
        <v>17</v>
      </c>
      <c r="L48" t="str">
        <f t="shared" si="0"/>
        <v xml:space="preserve">{ longitude: -63.6078028456627, latitude: 44.6686882491992, stopType: 'Bus Stop Accessible', gotime: \'7373\', location: \'NOVALEA DR NS VESTRY &lt;NB&gt;\' }, </v>
      </c>
    </row>
    <row r="49" spans="1:12" x14ac:dyDescent="0.25">
      <c r="A49">
        <v>-63.6045992234571</v>
      </c>
      <c r="B49">
        <v>44.666412610688099</v>
      </c>
      <c r="C49">
        <v>2048</v>
      </c>
      <c r="D49" t="s">
        <v>29</v>
      </c>
      <c r="E49" t="s">
        <v>12</v>
      </c>
      <c r="F49" t="s">
        <v>13</v>
      </c>
      <c r="G49" t="s">
        <v>19</v>
      </c>
      <c r="H49">
        <v>7374</v>
      </c>
      <c r="I49" t="s">
        <v>120</v>
      </c>
      <c r="J49" t="s">
        <v>121</v>
      </c>
      <c r="K49" t="s">
        <v>17</v>
      </c>
      <c r="L49" t="str">
        <f t="shared" si="0"/>
        <v xml:space="preserve">{ longitude: -63.6045992234571, latitude: 44.6664126106881, stopType: 'Bus Stop Accessible', gotime: \'7374\', location: \'NOVALEA DR OPP CABOT PLACE &lt;NB&gt;\' }, </v>
      </c>
    </row>
    <row r="50" spans="1:12" x14ac:dyDescent="0.25">
      <c r="A50">
        <v>-63.610517179335503</v>
      </c>
      <c r="B50">
        <v>44.670489750879099</v>
      </c>
      <c r="C50">
        <v>2049</v>
      </c>
      <c r="D50" t="s">
        <v>29</v>
      </c>
      <c r="E50" t="s">
        <v>12</v>
      </c>
      <c r="F50" t="s">
        <v>13</v>
      </c>
      <c r="G50" t="s">
        <v>19</v>
      </c>
      <c r="H50">
        <v>7376</v>
      </c>
      <c r="I50" t="s">
        <v>122</v>
      </c>
      <c r="J50" t="s">
        <v>123</v>
      </c>
      <c r="K50" t="s">
        <v>17</v>
      </c>
      <c r="L50" t="str">
        <f t="shared" si="0"/>
        <v xml:space="preserve">{ longitude: -63.6105171793355, latitude: 44.6704897508791, stopType: 'Bus Stop Accessible', gotime: \'7376\', location: \'NOVALEA DR OPP LEEDS ST &lt;NB&gt;\' }, </v>
      </c>
    </row>
    <row r="51" spans="1:12" x14ac:dyDescent="0.25">
      <c r="A51">
        <v>-63.600759087147402</v>
      </c>
      <c r="B51">
        <v>44.6639446764638</v>
      </c>
      <c r="C51">
        <v>2050</v>
      </c>
      <c r="D51" t="s">
        <v>29</v>
      </c>
      <c r="E51" t="s">
        <v>12</v>
      </c>
      <c r="F51" t="s">
        <v>13</v>
      </c>
      <c r="G51" t="s">
        <v>19</v>
      </c>
      <c r="H51">
        <v>7377</v>
      </c>
      <c r="I51" t="s">
        <v>124</v>
      </c>
      <c r="J51" t="s">
        <v>125</v>
      </c>
      <c r="K51" t="s">
        <v>17</v>
      </c>
      <c r="L51" t="str">
        <f t="shared" si="0"/>
        <v xml:space="preserve">{ longitude: -63.6007590871474, latitude: 44.6639446764638, stopType: 'Bus Stop Accessible', gotime: \'7377\', location: \'NOVALEA DR OPP LIVINGSTONE &lt;NB&gt;\' }, </v>
      </c>
    </row>
    <row r="52" spans="1:12" x14ac:dyDescent="0.25">
      <c r="A52">
        <v>-63.612302725329002</v>
      </c>
      <c r="B52">
        <v>44.671658580175297</v>
      </c>
      <c r="C52">
        <v>2051</v>
      </c>
      <c r="D52" t="s">
        <v>29</v>
      </c>
      <c r="E52" t="s">
        <v>12</v>
      </c>
      <c r="F52" t="s">
        <v>13</v>
      </c>
      <c r="G52" t="s">
        <v>19</v>
      </c>
      <c r="H52">
        <v>7378</v>
      </c>
      <c r="I52" t="s">
        <v>126</v>
      </c>
      <c r="J52" t="s">
        <v>127</v>
      </c>
      <c r="K52" t="s">
        <v>17</v>
      </c>
      <c r="L52" t="str">
        <f t="shared" si="0"/>
        <v xml:space="preserve">{ longitude: -63.612302725329, latitude: 44.6716585801753, stopType: 'Bus Stop Accessible', gotime: \'7378\', location: \'NOVALEA DR OPP SAMUEL P MANOR &lt;NB&gt; 2G\' }, </v>
      </c>
    </row>
    <row r="53" spans="1:12" x14ac:dyDescent="0.25">
      <c r="A53">
        <v>-63.612224800864901</v>
      </c>
      <c r="B53">
        <v>44.671607755912298</v>
      </c>
      <c r="C53">
        <v>2052</v>
      </c>
      <c r="D53" t="s">
        <v>22</v>
      </c>
      <c r="E53" t="s">
        <v>12</v>
      </c>
      <c r="F53" t="s">
        <v>13</v>
      </c>
      <c r="G53" t="s">
        <v>19</v>
      </c>
      <c r="H53">
        <v>7379</v>
      </c>
      <c r="I53" t="s">
        <v>128</v>
      </c>
      <c r="J53" t="s">
        <v>129</v>
      </c>
      <c r="K53" t="s">
        <v>17</v>
      </c>
      <c r="L53" t="str">
        <f t="shared" si="0"/>
        <v xml:space="preserve">{ longitude: -63.6122248008649, latitude: 44.6716077559123, stopType: 'Bus Stop Shelter Accessible', gotime: \'7379\', location: \'NOVALEA DR OPP SAMUEL PRINCE 2R\' }, </v>
      </c>
    </row>
    <row r="54" spans="1:12" x14ac:dyDescent="0.25">
      <c r="A54">
        <v>-63.6020935364837</v>
      </c>
      <c r="B54">
        <v>44.664867840590802</v>
      </c>
      <c r="C54">
        <v>2053</v>
      </c>
      <c r="D54" t="s">
        <v>29</v>
      </c>
      <c r="E54" t="s">
        <v>12</v>
      </c>
      <c r="F54" t="s">
        <v>13</v>
      </c>
      <c r="G54" t="s">
        <v>19</v>
      </c>
      <c r="H54">
        <v>7381</v>
      </c>
      <c r="I54" t="s">
        <v>130</v>
      </c>
      <c r="J54" t="s">
        <v>131</v>
      </c>
      <c r="K54" t="s">
        <v>17</v>
      </c>
      <c r="L54" t="str">
        <f t="shared" si="0"/>
        <v xml:space="preserve">{ longitude: -63.6020935364837, latitude: 44.6648678405908, stopType: 'Bus Stop Accessible', gotime: \'7381\', location: \'NOVALEA DR OPP STANLEY PLACE &lt;NB&gt;\' }, </v>
      </c>
    </row>
    <row r="55" spans="1:12" x14ac:dyDescent="0.25">
      <c r="A55">
        <v>-63.607950153112597</v>
      </c>
      <c r="B55">
        <v>44.6685646635664</v>
      </c>
      <c r="C55">
        <v>2054</v>
      </c>
      <c r="D55" t="s">
        <v>29</v>
      </c>
      <c r="E55" t="s">
        <v>12</v>
      </c>
      <c r="F55" t="s">
        <v>13</v>
      </c>
      <c r="G55" t="s">
        <v>19</v>
      </c>
      <c r="H55">
        <v>7382</v>
      </c>
      <c r="I55" t="s">
        <v>132</v>
      </c>
      <c r="J55" t="s">
        <v>133</v>
      </c>
      <c r="K55" t="s">
        <v>17</v>
      </c>
      <c r="L55" t="str">
        <f t="shared" si="0"/>
        <v xml:space="preserve">{ longitude: -63.6079501531126, latitude: 44.6685646635664, stopType: 'Bus Stop Accessible', gotime: \'7382\', location: \'NOVALEA DR FS OPP VESTRY &lt;SB&gt;\' }, </v>
      </c>
    </row>
    <row r="56" spans="1:12" x14ac:dyDescent="0.25">
      <c r="A56">
        <v>-63.4678276895837</v>
      </c>
      <c r="B56">
        <v>44.741836876936198</v>
      </c>
      <c r="C56">
        <v>2055</v>
      </c>
      <c r="D56" t="s">
        <v>11</v>
      </c>
      <c r="E56" t="s">
        <v>12</v>
      </c>
      <c r="F56" t="s">
        <v>25</v>
      </c>
      <c r="G56" t="s">
        <v>26</v>
      </c>
      <c r="H56">
        <v>7001</v>
      </c>
      <c r="I56" t="s">
        <v>134</v>
      </c>
      <c r="J56" t="s">
        <v>135</v>
      </c>
      <c r="K56" t="s">
        <v>17</v>
      </c>
      <c r="L56" t="str">
        <f t="shared" si="0"/>
        <v xml:space="preserve">{ longitude: -63.4678276895837, latitude: 44.7418368769362, stopType: 'Bus Stop Non-Standard', gotime: \'7001\', location: \'JOHNSON RD AT CIVIC 114\' }, </v>
      </c>
    </row>
    <row r="57" spans="1:12" x14ac:dyDescent="0.25">
      <c r="A57">
        <v>-63.467406913710597</v>
      </c>
      <c r="B57">
        <v>44.741356092927496</v>
      </c>
      <c r="C57">
        <v>2056</v>
      </c>
      <c r="D57" t="s">
        <v>11</v>
      </c>
      <c r="E57" t="s">
        <v>12</v>
      </c>
      <c r="F57" t="s">
        <v>25</v>
      </c>
      <c r="G57" t="s">
        <v>26</v>
      </c>
      <c r="H57">
        <v>7002</v>
      </c>
      <c r="I57" t="s">
        <v>136</v>
      </c>
      <c r="J57" t="s">
        <v>137</v>
      </c>
      <c r="K57" t="s">
        <v>17</v>
      </c>
      <c r="L57" t="str">
        <f t="shared" si="0"/>
        <v xml:space="preserve">{ longitude: -63.4674069137106, latitude: 44.7413560929275, stopType: 'Bus Stop Non-Standard', gotime: \'7002\', location: \'JOHNSON RD AT CIVIC 80\' }, </v>
      </c>
    </row>
    <row r="58" spans="1:12" x14ac:dyDescent="0.25">
      <c r="A58">
        <v>-63.466799170156897</v>
      </c>
      <c r="B58">
        <v>44.740738621510097</v>
      </c>
      <c r="C58">
        <v>2057</v>
      </c>
      <c r="D58" t="s">
        <v>11</v>
      </c>
      <c r="E58" t="s">
        <v>12</v>
      </c>
      <c r="F58" t="s">
        <v>25</v>
      </c>
      <c r="G58" t="s">
        <v>26</v>
      </c>
      <c r="H58">
        <v>7003</v>
      </c>
      <c r="I58" t="s">
        <v>138</v>
      </c>
      <c r="J58" t="s">
        <v>139</v>
      </c>
      <c r="K58" t="s">
        <v>17</v>
      </c>
      <c r="L58" t="str">
        <f t="shared" si="0"/>
        <v xml:space="preserve">{ longitude: -63.4667991701569, latitude: 44.7407386215101, stopType: 'Bus Stop Non-Standard', gotime: \'7003\', location: \'JOHNSON RD NS CIVIC 50\' }, </v>
      </c>
    </row>
    <row r="59" spans="1:12" x14ac:dyDescent="0.25">
      <c r="A59">
        <v>-63.623411820670199</v>
      </c>
      <c r="B59">
        <v>44.643357629812598</v>
      </c>
      <c r="C59">
        <v>2058</v>
      </c>
      <c r="D59" t="s">
        <v>29</v>
      </c>
      <c r="E59" t="s">
        <v>12</v>
      </c>
      <c r="F59" t="s">
        <v>13</v>
      </c>
      <c r="G59" t="s">
        <v>19</v>
      </c>
      <c r="H59">
        <v>7004</v>
      </c>
      <c r="I59" t="s">
        <v>140</v>
      </c>
      <c r="J59" t="s">
        <v>141</v>
      </c>
      <c r="K59" t="s">
        <v>17</v>
      </c>
      <c r="L59" t="str">
        <f t="shared" si="0"/>
        <v xml:space="preserve">{ longitude: -63.6234118206702, latitude: 44.6433576298126, stopType: 'Bus Stop Accessible', gotime: \'7004\', location: \'JOSEPH HOWE DR AT CRAIGMORE DR\' }, </v>
      </c>
    </row>
    <row r="60" spans="1:12" x14ac:dyDescent="0.25">
      <c r="A60">
        <v>-63.627464301373202</v>
      </c>
      <c r="B60">
        <v>44.645586499391499</v>
      </c>
      <c r="C60">
        <v>2059</v>
      </c>
      <c r="D60" t="s">
        <v>29</v>
      </c>
      <c r="E60" t="s">
        <v>12</v>
      </c>
      <c r="F60" t="s">
        <v>13</v>
      </c>
      <c r="G60" t="s">
        <v>14</v>
      </c>
      <c r="H60">
        <v>7005</v>
      </c>
      <c r="I60" t="s">
        <v>142</v>
      </c>
      <c r="J60" t="s">
        <v>143</v>
      </c>
      <c r="K60" t="s">
        <v>17</v>
      </c>
      <c r="L60" t="str">
        <f t="shared" si="0"/>
        <v xml:space="preserve">{ longitude: -63.6274643013732, latitude: 44.6455864993915, stopType: 'Bus Stop Accessible', gotime: \'7005\', location: \'JOSEPH HOWE DR NS ASCOT AVE\' }, </v>
      </c>
    </row>
    <row r="61" spans="1:12" x14ac:dyDescent="0.25">
      <c r="A61">
        <v>-63.6209903414858</v>
      </c>
      <c r="B61">
        <v>44.642362361343899</v>
      </c>
      <c r="C61">
        <v>2060</v>
      </c>
      <c r="D61" t="s">
        <v>29</v>
      </c>
      <c r="E61" t="s">
        <v>12</v>
      </c>
      <c r="F61" t="s">
        <v>13</v>
      </c>
      <c r="G61" t="s">
        <v>14</v>
      </c>
      <c r="H61">
        <v>7006</v>
      </c>
      <c r="I61" t="s">
        <v>144</v>
      </c>
      <c r="J61" t="s">
        <v>145</v>
      </c>
      <c r="K61" t="s">
        <v>17</v>
      </c>
      <c r="L61" t="str">
        <f t="shared" si="0"/>
        <v xml:space="preserve">{ longitude: -63.6209903414858, latitude: 44.6423623613439, stopType: 'Bus Stop Accessible', gotime: \'7006\', location: \'JOSEPH HOWE DR NS CLINTON AVE\' }, </v>
      </c>
    </row>
    <row r="62" spans="1:12" x14ac:dyDescent="0.25">
      <c r="A62">
        <v>-63.623754813537197</v>
      </c>
      <c r="B62">
        <v>44.643710623406101</v>
      </c>
      <c r="C62">
        <v>2061</v>
      </c>
      <c r="D62" t="s">
        <v>29</v>
      </c>
      <c r="E62" t="s">
        <v>12</v>
      </c>
      <c r="F62" t="s">
        <v>13</v>
      </c>
      <c r="G62" t="s">
        <v>19</v>
      </c>
      <c r="H62">
        <v>7007</v>
      </c>
      <c r="I62" t="s">
        <v>146</v>
      </c>
      <c r="J62" t="s">
        <v>147</v>
      </c>
      <c r="K62" t="s">
        <v>17</v>
      </c>
      <c r="L62" t="str">
        <f t="shared" si="0"/>
        <v xml:space="preserve">{ longitude: -63.6237548135372, latitude: 44.6437106234061, stopType: 'Bus Stop Accessible', gotime: \'7007\', location: \'JOSEPH HOWE DR NS LEXINGTON AVE\' }, </v>
      </c>
    </row>
    <row r="63" spans="1:12" x14ac:dyDescent="0.25">
      <c r="A63">
        <v>-63.485804497784699</v>
      </c>
      <c r="B63">
        <v>44.692976799899199</v>
      </c>
      <c r="C63">
        <v>2062</v>
      </c>
      <c r="D63" t="s">
        <v>29</v>
      </c>
      <c r="E63" t="s">
        <v>12</v>
      </c>
      <c r="F63" t="s">
        <v>25</v>
      </c>
      <c r="G63" t="s">
        <v>26</v>
      </c>
      <c r="H63">
        <v>6071</v>
      </c>
      <c r="I63" t="s">
        <v>148</v>
      </c>
      <c r="J63" t="s">
        <v>149</v>
      </c>
      <c r="K63" t="s">
        <v>17</v>
      </c>
      <c r="L63" t="str">
        <f t="shared" si="0"/>
        <v xml:space="preserve">{ longitude: -63.4858044977847, latitude: 44.6929767998992, stopType: 'Bus Stop Accessible', gotime: \'6071\', location: \'AUBURN DR FS LEANDER DR\' }, </v>
      </c>
    </row>
    <row r="64" spans="1:12" x14ac:dyDescent="0.25">
      <c r="A64">
        <v>-63.487863155729798</v>
      </c>
      <c r="B64">
        <v>44.693580044781797</v>
      </c>
      <c r="C64">
        <v>2063</v>
      </c>
      <c r="D64" t="s">
        <v>29</v>
      </c>
      <c r="E64" t="s">
        <v>12</v>
      </c>
      <c r="F64" t="s">
        <v>25</v>
      </c>
      <c r="G64" t="s">
        <v>26</v>
      </c>
      <c r="H64">
        <v>6072</v>
      </c>
      <c r="I64" t="s">
        <v>150</v>
      </c>
      <c r="J64" t="s">
        <v>151</v>
      </c>
      <c r="K64" t="s">
        <v>17</v>
      </c>
      <c r="L64" t="str">
        <f t="shared" si="0"/>
        <v xml:space="preserve">{ longitude: -63.4878631557298, latitude: 44.6935800447818, stopType: 'Bus Stop Accessible', gotime: \'6072\', location: \'AUBURN DR AT CIVIC 60\' }, </v>
      </c>
    </row>
    <row r="65" spans="1:12" x14ac:dyDescent="0.25">
      <c r="A65">
        <v>-63.483225121486299</v>
      </c>
      <c r="B65">
        <v>44.688966995751599</v>
      </c>
      <c r="C65">
        <v>2064</v>
      </c>
      <c r="D65" t="s">
        <v>29</v>
      </c>
      <c r="E65" t="s">
        <v>12</v>
      </c>
      <c r="F65" t="s">
        <v>25</v>
      </c>
      <c r="G65" t="s">
        <v>26</v>
      </c>
      <c r="H65">
        <v>6073</v>
      </c>
      <c r="I65" t="s">
        <v>152</v>
      </c>
      <c r="J65" t="s">
        <v>153</v>
      </c>
      <c r="K65" t="s">
        <v>17</v>
      </c>
      <c r="L65" t="str">
        <f t="shared" si="0"/>
        <v xml:space="preserve">{ longitude: -63.4832251214863, latitude: 44.6889669957516, stopType: 'Bus Stop Accessible', gotime: \'6073\', location: \'AUBURN DR AT AUBURN HIGH SCHOOL\' }, </v>
      </c>
    </row>
    <row r="66" spans="1:12" x14ac:dyDescent="0.25">
      <c r="A66">
        <v>-63.488486462737797</v>
      </c>
      <c r="B66">
        <v>44.693288577490797</v>
      </c>
      <c r="C66">
        <v>2065</v>
      </c>
      <c r="D66" t="s">
        <v>11</v>
      </c>
      <c r="E66" t="s">
        <v>12</v>
      </c>
      <c r="F66" t="s">
        <v>25</v>
      </c>
      <c r="G66" t="s">
        <v>26</v>
      </c>
      <c r="H66">
        <v>6074</v>
      </c>
      <c r="I66" t="s">
        <v>154</v>
      </c>
      <c r="J66" t="s">
        <v>155</v>
      </c>
      <c r="K66" t="s">
        <v>17</v>
      </c>
      <c r="L66" t="str">
        <f t="shared" si="0"/>
        <v xml:space="preserve">{ longitude: -63.4884864627378, latitude: 44.6932885774908, stopType: 'Bus Stop Non-Standard', gotime: \'6074\', location: \'AUBURN DR AT CIVIC 23\' }, </v>
      </c>
    </row>
    <row r="67" spans="1:12" x14ac:dyDescent="0.25">
      <c r="A67">
        <v>-63.484151578167797</v>
      </c>
      <c r="B67">
        <v>44.687931275150099</v>
      </c>
      <c r="C67">
        <v>2066</v>
      </c>
      <c r="D67" t="s">
        <v>18</v>
      </c>
      <c r="E67" t="s">
        <v>12</v>
      </c>
      <c r="F67" t="s">
        <v>25</v>
      </c>
      <c r="G67" t="s">
        <v>19</v>
      </c>
      <c r="H67">
        <v>6075</v>
      </c>
      <c r="I67" t="s">
        <v>156</v>
      </c>
      <c r="J67" t="s">
        <v>157</v>
      </c>
      <c r="K67" t="s">
        <v>17</v>
      </c>
      <c r="L67" t="str">
        <f t="shared" ref="L67:L130" si="1">CONCATENATE( "{ longitude: ", A67, ", latitude: ", B67, ", stopType: '", D67, "', gotime: \'", H67, "\', location: \'", I67, "\' }, ")</f>
        <v xml:space="preserve">{ longitude: -63.4841515781678, latitude: 44.6879312751501, stopType: 'Bus Stop Shelter Non-Standard', gotime: \'6075\', location: \'AUBURN DR AT CIVIC 325\' }, </v>
      </c>
    </row>
    <row r="68" spans="1:12" x14ac:dyDescent="0.25">
      <c r="A68">
        <v>-63.484832602266799</v>
      </c>
      <c r="B68">
        <v>44.691555211591002</v>
      </c>
      <c r="C68">
        <v>2067</v>
      </c>
      <c r="D68" t="s">
        <v>29</v>
      </c>
      <c r="E68" t="s">
        <v>12</v>
      </c>
      <c r="F68" t="s">
        <v>25</v>
      </c>
      <c r="G68" t="s">
        <v>19</v>
      </c>
      <c r="H68">
        <v>6076</v>
      </c>
      <c r="I68" t="s">
        <v>158</v>
      </c>
      <c r="J68" t="s">
        <v>159</v>
      </c>
      <c r="K68" t="s">
        <v>17</v>
      </c>
      <c r="L68" t="str">
        <f t="shared" si="1"/>
        <v xml:space="preserve">{ longitude: -63.4848326022668, latitude: 44.691555211591, stopType: 'Bus Stop Accessible', gotime: \'6076\', location: \'AUBURN DR AT CIVIC 188\' }, </v>
      </c>
    </row>
    <row r="69" spans="1:12" x14ac:dyDescent="0.25">
      <c r="A69">
        <v>-63.484775817838297</v>
      </c>
      <c r="B69">
        <v>44.691194718788097</v>
      </c>
      <c r="C69">
        <v>2068</v>
      </c>
      <c r="D69" t="s">
        <v>11</v>
      </c>
      <c r="E69" t="s">
        <v>12</v>
      </c>
      <c r="F69" t="s">
        <v>25</v>
      </c>
      <c r="G69" t="s">
        <v>160</v>
      </c>
      <c r="H69">
        <v>6077</v>
      </c>
      <c r="I69" t="s">
        <v>161</v>
      </c>
      <c r="J69" t="s">
        <v>162</v>
      </c>
      <c r="K69" t="s">
        <v>17</v>
      </c>
      <c r="L69" t="str">
        <f t="shared" si="1"/>
        <v xml:space="preserve">{ longitude: -63.4847758178383, latitude: 44.6911947187881, stopType: 'Bus Stop Non-Standard', gotime: \'6077\', location: \'AUBURN DR NS CIVIC 187\' }, </v>
      </c>
    </row>
    <row r="70" spans="1:12" x14ac:dyDescent="0.25">
      <c r="A70">
        <v>-63.483878875199999</v>
      </c>
      <c r="B70">
        <v>44.689818786767198</v>
      </c>
      <c r="C70">
        <v>2069</v>
      </c>
      <c r="D70" t="s">
        <v>11</v>
      </c>
      <c r="E70" t="s">
        <v>12</v>
      </c>
      <c r="F70" t="s">
        <v>25</v>
      </c>
      <c r="G70" t="s">
        <v>26</v>
      </c>
      <c r="H70">
        <v>6078</v>
      </c>
      <c r="I70" t="s">
        <v>163</v>
      </c>
      <c r="J70" t="s">
        <v>164</v>
      </c>
      <c r="K70" t="s">
        <v>17</v>
      </c>
      <c r="L70" t="str">
        <f t="shared" si="1"/>
        <v xml:space="preserve">{ longitude: -63.4838788752, latitude: 44.6898187867672, stopType: 'Bus Stop Non-Standard', gotime: \'6078\', location: \'AUBURN DR NS CIVIC 249\' }, </v>
      </c>
    </row>
    <row r="71" spans="1:12" x14ac:dyDescent="0.25">
      <c r="A71">
        <v>-63.488517200625303</v>
      </c>
      <c r="B71">
        <v>44.686449075938299</v>
      </c>
      <c r="C71">
        <v>2070</v>
      </c>
      <c r="D71" t="s">
        <v>11</v>
      </c>
      <c r="E71" t="s">
        <v>12</v>
      </c>
      <c r="F71" t="s">
        <v>25</v>
      </c>
      <c r="G71" t="s">
        <v>160</v>
      </c>
      <c r="H71">
        <v>6079</v>
      </c>
      <c r="I71" t="s">
        <v>165</v>
      </c>
      <c r="J71" t="s">
        <v>166</v>
      </c>
      <c r="K71" t="s">
        <v>17</v>
      </c>
      <c r="L71" t="str">
        <f t="shared" si="1"/>
        <v xml:space="preserve">{ longitude: -63.4885172006253, latitude: 44.6864490759383, stopType: 'Bus Stop Non-Standard', gotime: \'6079\', location: \'AUBURN DR NS CIVIC 426\' }, </v>
      </c>
    </row>
    <row r="72" spans="1:12" x14ac:dyDescent="0.25">
      <c r="A72">
        <v>-63.484412345887499</v>
      </c>
      <c r="B72">
        <v>44.687447610424996</v>
      </c>
      <c r="C72">
        <v>2071</v>
      </c>
      <c r="D72" t="s">
        <v>29</v>
      </c>
      <c r="E72" t="s">
        <v>12</v>
      </c>
      <c r="F72" t="s">
        <v>25</v>
      </c>
      <c r="G72" t="s">
        <v>160</v>
      </c>
      <c r="H72">
        <v>6080</v>
      </c>
      <c r="I72" t="s">
        <v>167</v>
      </c>
      <c r="J72" t="s">
        <v>168</v>
      </c>
      <c r="K72" t="s">
        <v>17</v>
      </c>
      <c r="L72" t="str">
        <f t="shared" si="1"/>
        <v xml:space="preserve">{ longitude: -63.4844123458875, latitude: 44.687447610425, stopType: 'Bus Stop Accessible', gotime: \'6080\', location: \'AUBURN DR NS HIRANDALE CR\' }, </v>
      </c>
    </row>
    <row r="73" spans="1:12" x14ac:dyDescent="0.25">
      <c r="A73">
        <v>-63.486018009100803</v>
      </c>
      <c r="B73">
        <v>44.693032694098001</v>
      </c>
      <c r="C73">
        <v>2072</v>
      </c>
      <c r="D73" t="s">
        <v>103</v>
      </c>
      <c r="E73" t="s">
        <v>12</v>
      </c>
      <c r="F73" t="s">
        <v>25</v>
      </c>
      <c r="G73" t="s">
        <v>65</v>
      </c>
      <c r="H73">
        <v>6081</v>
      </c>
      <c r="I73" t="s">
        <v>169</v>
      </c>
      <c r="J73" t="s">
        <v>170</v>
      </c>
      <c r="K73" t="s">
        <v>17</v>
      </c>
      <c r="L73" t="str">
        <f t="shared" si="1"/>
        <v xml:space="preserve">{ longitude: -63.4860180091008, latitude: 44.693032694098, stopType: 'Bus Stop Inaccessible', gotime: \'6081\', location: \'AUBURN DR OPP CIVIC 122\' }, </v>
      </c>
    </row>
    <row r="74" spans="1:12" x14ac:dyDescent="0.25">
      <c r="A74">
        <v>-63.534872557638501</v>
      </c>
      <c r="B74">
        <v>44.7012677652096</v>
      </c>
      <c r="C74">
        <v>2073</v>
      </c>
      <c r="D74" t="s">
        <v>103</v>
      </c>
      <c r="E74" t="s">
        <v>12</v>
      </c>
      <c r="F74" t="s">
        <v>25</v>
      </c>
      <c r="G74" t="s">
        <v>65</v>
      </c>
      <c r="H74">
        <v>6082</v>
      </c>
      <c r="I74" t="s">
        <v>171</v>
      </c>
      <c r="J74" t="s">
        <v>172</v>
      </c>
      <c r="K74" t="s">
        <v>17</v>
      </c>
      <c r="L74" t="str">
        <f t="shared" si="1"/>
        <v xml:space="preserve">{ longitude: -63.5348725576385, latitude: 44.7012677652096, stopType: 'Bus Stop Inaccessible', gotime: \'6082\', location: \'AVENUE DU PORTAGE NS CIVIC 138\' }, </v>
      </c>
    </row>
    <row r="75" spans="1:12" x14ac:dyDescent="0.25">
      <c r="A75">
        <v>-63.606362578739599</v>
      </c>
      <c r="B75">
        <v>44.6828781987046</v>
      </c>
      <c r="C75">
        <v>2074</v>
      </c>
      <c r="D75" t="s">
        <v>103</v>
      </c>
      <c r="E75" t="s">
        <v>12</v>
      </c>
      <c r="F75" t="s">
        <v>25</v>
      </c>
      <c r="G75" t="s">
        <v>65</v>
      </c>
      <c r="H75">
        <v>6083</v>
      </c>
      <c r="I75" t="s">
        <v>173</v>
      </c>
      <c r="J75" t="s">
        <v>174</v>
      </c>
      <c r="K75" t="s">
        <v>17</v>
      </c>
      <c r="L75" t="str">
        <f t="shared" si="1"/>
        <v xml:space="preserve">{ longitude: -63.6063625787396, latitude: 44.6828781987046, stopType: 'Bus Stop Inaccessible', gotime: \'6083\', location: \'BAFFIN BLVD NS HUDSON WAY\' }, </v>
      </c>
    </row>
    <row r="76" spans="1:12" x14ac:dyDescent="0.25">
      <c r="A76">
        <v>-63.5744421814845</v>
      </c>
      <c r="B76">
        <v>44.647619182061298</v>
      </c>
      <c r="C76">
        <v>2075</v>
      </c>
      <c r="D76" t="s">
        <v>29</v>
      </c>
      <c r="E76" t="s">
        <v>12</v>
      </c>
      <c r="F76" t="s">
        <v>13</v>
      </c>
      <c r="G76" t="s">
        <v>14</v>
      </c>
      <c r="H76">
        <v>6084</v>
      </c>
      <c r="I76" t="s">
        <v>175</v>
      </c>
      <c r="J76" t="s">
        <v>176</v>
      </c>
      <c r="K76" t="s">
        <v>17</v>
      </c>
      <c r="L76" t="str">
        <f t="shared" si="1"/>
        <v xml:space="preserve">{ longitude: -63.5744421814845, latitude: 44.6476191820613, stopType: 'Bus Stop Accessible', gotime: \'6084\', location: \'BARRINGTON ST NS PRINCE ST\' }, </v>
      </c>
    </row>
    <row r="77" spans="1:12" x14ac:dyDescent="0.25">
      <c r="A77">
        <v>-63.573796101210299</v>
      </c>
      <c r="B77">
        <v>44.646769675455602</v>
      </c>
      <c r="C77">
        <v>2076</v>
      </c>
      <c r="D77" t="s">
        <v>29</v>
      </c>
      <c r="E77" t="s">
        <v>12</v>
      </c>
      <c r="F77" t="s">
        <v>13</v>
      </c>
      <c r="G77" t="s">
        <v>19</v>
      </c>
      <c r="H77">
        <v>6085</v>
      </c>
      <c r="I77" t="s">
        <v>177</v>
      </c>
      <c r="J77" t="s">
        <v>178</v>
      </c>
      <c r="K77" t="s">
        <v>17</v>
      </c>
      <c r="L77" t="str">
        <f t="shared" si="1"/>
        <v xml:space="preserve">{ longitude: -63.5737961012103, latitude: 44.6467696754556, stopType: 'Bus Stop Accessible', gotime: \'6085\', location: \'BARRINGTON ST &lt;NB&gt; AT CIVIC 1663\' }, </v>
      </c>
    </row>
    <row r="78" spans="1:12" x14ac:dyDescent="0.25">
      <c r="A78">
        <v>-63.575783117211202</v>
      </c>
      <c r="B78">
        <v>44.650259414337697</v>
      </c>
      <c r="C78">
        <v>2077</v>
      </c>
      <c r="D78" t="s">
        <v>22</v>
      </c>
      <c r="E78" t="s">
        <v>12</v>
      </c>
      <c r="F78" t="s">
        <v>13</v>
      </c>
      <c r="G78" t="s">
        <v>19</v>
      </c>
      <c r="H78">
        <v>6086</v>
      </c>
      <c r="I78" t="s">
        <v>179</v>
      </c>
      <c r="J78" t="s">
        <v>180</v>
      </c>
      <c r="K78" t="s">
        <v>17</v>
      </c>
      <c r="L78" t="str">
        <f t="shared" si="1"/>
        <v xml:space="preserve">{ longitude: -63.5757831172112, latitude: 44.6502594143377, stopType: 'Bus Stop Shelter Accessible', gotime: \'6086\', location: \'BARRINGTON ST &lt;SB&gt; AT SCOTIA SQUARE (LINK)\' }, </v>
      </c>
    </row>
    <row r="79" spans="1:12" x14ac:dyDescent="0.25">
      <c r="A79">
        <v>-63.575702241785301</v>
      </c>
      <c r="B79">
        <v>44.6505966110076</v>
      </c>
      <c r="C79">
        <v>2078</v>
      </c>
      <c r="D79" t="s">
        <v>22</v>
      </c>
      <c r="E79" t="s">
        <v>12</v>
      </c>
      <c r="F79" t="s">
        <v>13</v>
      </c>
      <c r="G79" t="s">
        <v>19</v>
      </c>
      <c r="H79">
        <v>6087</v>
      </c>
      <c r="I79" t="s">
        <v>181</v>
      </c>
      <c r="J79" t="s">
        <v>182</v>
      </c>
      <c r="K79" t="s">
        <v>17</v>
      </c>
      <c r="L79" t="str">
        <f t="shared" si="1"/>
        <v xml:space="preserve">{ longitude: -63.5757022417853, latitude: 44.6505966110076, stopType: 'Bus Stop Shelter Accessible', gotime: \'6087\', location: \'BARRINGTON ST &lt;NB&gt; OPP SCOTIA SQUARE\' }, </v>
      </c>
    </row>
    <row r="80" spans="1:12" x14ac:dyDescent="0.25">
      <c r="A80">
        <v>-63.584824677750298</v>
      </c>
      <c r="B80">
        <v>44.656446847197699</v>
      </c>
      <c r="C80">
        <v>2079</v>
      </c>
      <c r="D80" t="s">
        <v>22</v>
      </c>
      <c r="E80" t="s">
        <v>12</v>
      </c>
      <c r="F80" t="s">
        <v>13</v>
      </c>
      <c r="G80" t="s">
        <v>14</v>
      </c>
      <c r="H80">
        <v>6088</v>
      </c>
      <c r="I80" t="s">
        <v>183</v>
      </c>
      <c r="J80" t="s">
        <v>184</v>
      </c>
      <c r="K80" t="s">
        <v>17</v>
      </c>
      <c r="L80" t="str">
        <f t="shared" si="1"/>
        <v xml:space="preserve">{ longitude: -63.5848246777503, latitude: 44.6564468471977, stopType: 'Bus Stop Shelter Accessible', gotime: \'6088\', location: \'BARRINGTON ST &lt; SB&gt; FS ARTZ ST\' }, </v>
      </c>
    </row>
    <row r="81" spans="1:12" x14ac:dyDescent="0.25">
      <c r="A81">
        <v>-63.5815896769044</v>
      </c>
      <c r="B81">
        <v>44.654093629236002</v>
      </c>
      <c r="C81">
        <v>2080</v>
      </c>
      <c r="D81" t="s">
        <v>22</v>
      </c>
      <c r="E81" t="s">
        <v>12</v>
      </c>
      <c r="F81" t="s">
        <v>13</v>
      </c>
      <c r="G81" t="s">
        <v>19</v>
      </c>
      <c r="H81">
        <v>6089</v>
      </c>
      <c r="I81" t="s">
        <v>185</v>
      </c>
      <c r="J81" t="s">
        <v>186</v>
      </c>
      <c r="K81" t="s">
        <v>17</v>
      </c>
      <c r="L81" t="str">
        <f t="shared" si="1"/>
        <v xml:space="preserve">{ longitude: -63.5815896769044, latitude: 44.654093629236, stopType: 'Bus Stop Shelter Accessible', gotime: \'6089\', location: \'BARRINGTON ST &lt;NB&gt; FS CORNWALLIS ST\' }, </v>
      </c>
    </row>
    <row r="82" spans="1:12" x14ac:dyDescent="0.25">
      <c r="A82">
        <v>-63.593286127440301</v>
      </c>
      <c r="B82">
        <v>44.663608846002703</v>
      </c>
      <c r="C82">
        <v>2081</v>
      </c>
      <c r="D82" t="s">
        <v>29</v>
      </c>
      <c r="E82" t="s">
        <v>12</v>
      </c>
      <c r="F82" t="s">
        <v>13</v>
      </c>
      <c r="G82" t="s">
        <v>14</v>
      </c>
      <c r="H82">
        <v>6090</v>
      </c>
      <c r="I82" t="s">
        <v>187</v>
      </c>
      <c r="J82" t="s">
        <v>188</v>
      </c>
      <c r="K82" t="s">
        <v>17</v>
      </c>
      <c r="L82" t="str">
        <f t="shared" si="1"/>
        <v xml:space="preserve">{ longitude: -63.5932861274403, latitude: 44.6636088460027, stopType: 'Bus Stop Accessible', gotime: \'6090\', location: \'BARRINGTON ST &lt;SB&gt; FS DEVONSHIRE ST\' }, </v>
      </c>
    </row>
    <row r="83" spans="1:12" x14ac:dyDescent="0.25">
      <c r="A83">
        <v>-63.589607537337699</v>
      </c>
      <c r="B83">
        <v>44.660312311176199</v>
      </c>
      <c r="C83">
        <v>2082</v>
      </c>
      <c r="D83" t="s">
        <v>29</v>
      </c>
      <c r="E83" t="s">
        <v>12</v>
      </c>
      <c r="F83" t="s">
        <v>13</v>
      </c>
      <c r="G83" t="s">
        <v>14</v>
      </c>
      <c r="H83">
        <v>6091</v>
      </c>
      <c r="I83" t="s">
        <v>189</v>
      </c>
      <c r="J83" t="s">
        <v>190</v>
      </c>
      <c r="K83" t="s">
        <v>17</v>
      </c>
      <c r="L83" t="str">
        <f t="shared" si="1"/>
        <v xml:space="preserve">{ longitude: -63.5896075373377, latitude: 44.6603123111762, stopType: 'Bus Stop Accessible', gotime: \'6091\', location: \'BARRINGTON ST &lt;NB&gt; FS FLEET CLUB\' }, </v>
      </c>
    </row>
    <row r="84" spans="1:12" x14ac:dyDescent="0.25">
      <c r="A84">
        <v>-63.502211525844601</v>
      </c>
      <c r="B84">
        <v>44.618423365384402</v>
      </c>
      <c r="C84">
        <v>2083</v>
      </c>
      <c r="D84" t="s">
        <v>11</v>
      </c>
      <c r="E84" t="s">
        <v>12</v>
      </c>
      <c r="F84" t="s">
        <v>25</v>
      </c>
      <c r="G84" t="s">
        <v>26</v>
      </c>
      <c r="H84">
        <v>7500</v>
      </c>
      <c r="I84" t="s">
        <v>191</v>
      </c>
      <c r="J84" t="s">
        <v>192</v>
      </c>
      <c r="K84" t="s">
        <v>17</v>
      </c>
      <c r="L84" t="str">
        <f t="shared" si="1"/>
        <v xml:space="preserve">{ longitude: -63.5022115258446, latitude: 44.6184233653844, stopType: 'Bus Stop Non-Standard', gotime: \'7500\', location: \'PLEASANT ST NS ULTRAMAR BULK &lt;NB&gt;\' }, </v>
      </c>
    </row>
    <row r="85" spans="1:12" x14ac:dyDescent="0.25">
      <c r="A85">
        <v>-63.552110734935297</v>
      </c>
      <c r="B85">
        <v>44.660202438948502</v>
      </c>
      <c r="C85">
        <v>2084</v>
      </c>
      <c r="D85" t="s">
        <v>22</v>
      </c>
      <c r="E85" t="s">
        <v>12</v>
      </c>
      <c r="F85" t="s">
        <v>25</v>
      </c>
      <c r="G85" t="s">
        <v>19</v>
      </c>
      <c r="H85">
        <v>8000</v>
      </c>
      <c r="I85" t="s">
        <v>193</v>
      </c>
      <c r="J85" t="s">
        <v>194</v>
      </c>
      <c r="K85" t="s">
        <v>17</v>
      </c>
      <c r="L85" t="str">
        <f t="shared" si="1"/>
        <v xml:space="preserve">{ longitude: -63.5521107349353, latitude: 44.6602024389485, stopType: 'Bus Stop Shelter Accessible', gotime: \'8000\', location: \'PLEASANT ST NS OPP STEPHEN &lt;NB&gt;\' }, </v>
      </c>
    </row>
    <row r="86" spans="1:12" x14ac:dyDescent="0.25">
      <c r="A86">
        <v>-63.521952146013099</v>
      </c>
      <c r="B86">
        <v>44.6322108377462</v>
      </c>
      <c r="C86">
        <v>2085</v>
      </c>
      <c r="D86" t="s">
        <v>18</v>
      </c>
      <c r="E86" t="s">
        <v>12</v>
      </c>
      <c r="F86" t="s">
        <v>25</v>
      </c>
      <c r="G86" t="s">
        <v>26</v>
      </c>
      <c r="H86">
        <v>8001</v>
      </c>
      <c r="I86" t="s">
        <v>195</v>
      </c>
      <c r="J86" t="s">
        <v>196</v>
      </c>
      <c r="K86" t="s">
        <v>17</v>
      </c>
      <c r="L86" t="str">
        <f t="shared" si="1"/>
        <v xml:space="preserve">{ longitude: -63.5219521460131, latitude: 44.6322108377462, stopType: 'Bus Stop Shelter Non-Standard', gotime: \'8001\', location: \'PLEASANT ST OPP ALBACORE &lt;NB&gt;\' }, </v>
      </c>
    </row>
    <row r="87" spans="1:12" x14ac:dyDescent="0.25">
      <c r="A87">
        <v>-63.517698562869697</v>
      </c>
      <c r="B87">
        <v>44.628599970909598</v>
      </c>
      <c r="C87">
        <v>2086</v>
      </c>
      <c r="D87" t="s">
        <v>11</v>
      </c>
      <c r="E87" t="s">
        <v>12</v>
      </c>
      <c r="F87" t="s">
        <v>13</v>
      </c>
      <c r="G87" t="s">
        <v>14</v>
      </c>
      <c r="H87">
        <v>8002</v>
      </c>
      <c r="I87" t="s">
        <v>197</v>
      </c>
      <c r="J87" t="s">
        <v>198</v>
      </c>
      <c r="K87" t="s">
        <v>17</v>
      </c>
      <c r="L87" t="str">
        <f t="shared" si="1"/>
        <v xml:space="preserve">{ longitude: -63.5176985628697, latitude: 44.6285999709096, stopType: 'Bus Stop Non-Standard', gotime: \'8002\', location: \'PLEASANT ST OPP BAYDEN POWELL CTR\' }, </v>
      </c>
    </row>
    <row r="88" spans="1:12" x14ac:dyDescent="0.25">
      <c r="A88">
        <v>-63.553497946616197</v>
      </c>
      <c r="B88">
        <v>44.661743902095601</v>
      </c>
      <c r="C88">
        <v>2087</v>
      </c>
      <c r="D88" t="s">
        <v>11</v>
      </c>
      <c r="E88" t="s">
        <v>12</v>
      </c>
      <c r="F88" t="s">
        <v>25</v>
      </c>
      <c r="G88" t="s">
        <v>199</v>
      </c>
      <c r="H88">
        <v>8003</v>
      </c>
      <c r="I88" t="s">
        <v>200</v>
      </c>
      <c r="J88" t="s">
        <v>201</v>
      </c>
      <c r="K88" t="s">
        <v>17</v>
      </c>
      <c r="L88" t="str">
        <f t="shared" si="1"/>
        <v xml:space="preserve">{ longitude: -63.5534979466162, latitude: 44.6617439020956, stopType: 'Bus Stop Non-Standard', gotime: \'8003\', location: \'PLEASANT ST OPP CAMERON ST &lt;SB&gt;\' }, </v>
      </c>
    </row>
    <row r="89" spans="1:12" x14ac:dyDescent="0.25">
      <c r="A89">
        <v>-63.5274201971583</v>
      </c>
      <c r="B89">
        <v>44.636100447080103</v>
      </c>
      <c r="C89">
        <v>2088</v>
      </c>
      <c r="D89" t="s">
        <v>11</v>
      </c>
      <c r="E89" t="s">
        <v>12</v>
      </c>
      <c r="F89" t="s">
        <v>25</v>
      </c>
      <c r="G89" t="s">
        <v>199</v>
      </c>
      <c r="H89">
        <v>8004</v>
      </c>
      <c r="I89" t="s">
        <v>202</v>
      </c>
      <c r="J89" t="s">
        <v>203</v>
      </c>
      <c r="K89" t="s">
        <v>17</v>
      </c>
      <c r="L89" t="str">
        <f t="shared" si="1"/>
        <v xml:space="preserve">{ longitude: -63.5274201971583, latitude: 44.6361004470801, stopType: 'Bus Stop Non-Standard', gotime: \'8004\', location: \'PLEASANT ST OPP CARLETON ST &lt;SB&gt;\' }, </v>
      </c>
    </row>
    <row r="90" spans="1:12" x14ac:dyDescent="0.25">
      <c r="A90">
        <v>-63.511527586505899</v>
      </c>
      <c r="B90">
        <v>44.624120261999401</v>
      </c>
      <c r="C90">
        <v>2089</v>
      </c>
      <c r="D90" t="s">
        <v>29</v>
      </c>
      <c r="E90" t="s">
        <v>12</v>
      </c>
      <c r="F90" t="s">
        <v>25</v>
      </c>
      <c r="G90" t="s">
        <v>199</v>
      </c>
      <c r="H90">
        <v>8005</v>
      </c>
      <c r="I90" t="s">
        <v>204</v>
      </c>
      <c r="J90" t="s">
        <v>205</v>
      </c>
      <c r="K90" t="s">
        <v>17</v>
      </c>
      <c r="L90" t="str">
        <f t="shared" si="1"/>
        <v xml:space="preserve">{ longitude: -63.5115275865059, latitude: 44.6241202619994, stopType: 'Bus Stop Accessible', gotime: \'8005\', location: \'PLEASANT ST OPP CIVIC 1080 &lt;SB&gt;\' }, </v>
      </c>
    </row>
    <row r="91" spans="1:12" x14ac:dyDescent="0.25">
      <c r="A91">
        <v>-63.554574929704302</v>
      </c>
      <c r="B91">
        <v>44.6653077225196</v>
      </c>
      <c r="C91">
        <v>2090</v>
      </c>
      <c r="D91" t="s">
        <v>29</v>
      </c>
      <c r="E91" t="s">
        <v>12</v>
      </c>
      <c r="F91" t="s">
        <v>25</v>
      </c>
      <c r="G91" t="s">
        <v>199</v>
      </c>
      <c r="H91">
        <v>8006</v>
      </c>
      <c r="I91" t="s">
        <v>206</v>
      </c>
      <c r="J91" t="s">
        <v>207</v>
      </c>
      <c r="K91" t="s">
        <v>17</v>
      </c>
      <c r="L91" t="str">
        <f t="shared" si="1"/>
        <v xml:space="preserve">{ longitude: -63.5545749297043, latitude: 44.6653077225196, stopType: 'Bus Stop Accessible', gotime: \'8006\', location: \'PLEASANT ST OPP CIVIC 129 &lt;SB&gt;\' }, </v>
      </c>
    </row>
    <row r="92" spans="1:12" x14ac:dyDescent="0.25">
      <c r="A92">
        <v>-63.553579943756397</v>
      </c>
      <c r="B92">
        <v>44.663679527135599</v>
      </c>
      <c r="C92">
        <v>2091</v>
      </c>
      <c r="D92" t="s">
        <v>29</v>
      </c>
      <c r="E92" t="s">
        <v>12</v>
      </c>
      <c r="F92" t="s">
        <v>25</v>
      </c>
      <c r="G92" t="s">
        <v>26</v>
      </c>
      <c r="H92">
        <v>8008</v>
      </c>
      <c r="I92" t="s">
        <v>208</v>
      </c>
      <c r="J92" t="s">
        <v>209</v>
      </c>
      <c r="K92" t="s">
        <v>17</v>
      </c>
      <c r="L92" t="str">
        <f t="shared" si="1"/>
        <v xml:space="preserve">{ longitude: -63.5535799437564, latitude: 44.6636795271356, stopType: 'Bus Stop Accessible', gotime: \'8008\', location: \'PLEASANT ST OPP CIVIC 148 &lt;NB&gt;\' }, </v>
      </c>
    </row>
    <row r="93" spans="1:12" x14ac:dyDescent="0.25">
      <c r="A93">
        <v>-63.554636277376297</v>
      </c>
      <c r="B93">
        <v>44.7382956855663</v>
      </c>
      <c r="C93">
        <v>2092</v>
      </c>
      <c r="D93" t="s">
        <v>11</v>
      </c>
      <c r="E93" t="s">
        <v>12</v>
      </c>
      <c r="F93" t="s">
        <v>25</v>
      </c>
      <c r="G93" t="s">
        <v>26</v>
      </c>
      <c r="H93">
        <v>8449</v>
      </c>
      <c r="I93" t="s">
        <v>210</v>
      </c>
      <c r="J93" t="s">
        <v>211</v>
      </c>
      <c r="K93" t="s">
        <v>17</v>
      </c>
      <c r="L93" t="str">
        <f t="shared" si="1"/>
        <v xml:space="preserve">{ longitude: -63.5546362773763, latitude: 44.7382956855663, stopType: 'Bus Stop Non-Standard', gotime: \'8449\', location: \'WAVERLEY RD AT CIVIC 1007\' }, </v>
      </c>
    </row>
    <row r="94" spans="1:12" x14ac:dyDescent="0.25">
      <c r="A94">
        <v>-63.547632899128303</v>
      </c>
      <c r="B94">
        <v>44.695705088898698</v>
      </c>
      <c r="C94">
        <v>2093</v>
      </c>
      <c r="D94" t="s">
        <v>29</v>
      </c>
      <c r="E94" t="s">
        <v>12</v>
      </c>
      <c r="F94" t="s">
        <v>25</v>
      </c>
      <c r="G94" t="s">
        <v>26</v>
      </c>
      <c r="H94">
        <v>8450</v>
      </c>
      <c r="I94" t="s">
        <v>212</v>
      </c>
      <c r="J94" t="s">
        <v>213</v>
      </c>
      <c r="K94" t="s">
        <v>17</v>
      </c>
      <c r="L94" t="str">
        <f t="shared" si="1"/>
        <v xml:space="preserve">{ longitude: -63.5476328991283, latitude: 44.6957050888987, stopType: 'Bus Stop Accessible', gotime: \'8450\', location: \'WAVERLEY RD AT CIVIC 221\' }, </v>
      </c>
    </row>
    <row r="95" spans="1:12" x14ac:dyDescent="0.25">
      <c r="A95">
        <v>-63.549198863988899</v>
      </c>
      <c r="B95">
        <v>44.704870820708202</v>
      </c>
      <c r="C95">
        <v>2094</v>
      </c>
      <c r="D95" t="s">
        <v>29</v>
      </c>
      <c r="E95" t="s">
        <v>12</v>
      </c>
      <c r="F95" t="s">
        <v>25</v>
      </c>
      <c r="G95" t="s">
        <v>26</v>
      </c>
      <c r="H95">
        <v>8451</v>
      </c>
      <c r="I95" t="s">
        <v>214</v>
      </c>
      <c r="J95" t="s">
        <v>215</v>
      </c>
      <c r="K95" t="s">
        <v>17</v>
      </c>
      <c r="L95" t="str">
        <f t="shared" si="1"/>
        <v xml:space="preserve">{ longitude: -63.5491988639889, latitude: 44.7048708207082, stopType: 'Bus Stop Accessible', gotime: \'8451\', location: \'WAVERLEY RD AT CIVIC 306\' }, </v>
      </c>
    </row>
    <row r="96" spans="1:12" x14ac:dyDescent="0.25">
      <c r="A96">
        <v>-63.548250298202497</v>
      </c>
      <c r="B96">
        <v>44.708849776581701</v>
      </c>
      <c r="C96">
        <v>2095</v>
      </c>
      <c r="D96" t="s">
        <v>11</v>
      </c>
      <c r="E96" t="s">
        <v>12</v>
      </c>
      <c r="F96" t="s">
        <v>25</v>
      </c>
      <c r="G96" t="s">
        <v>26</v>
      </c>
      <c r="H96">
        <v>8452</v>
      </c>
      <c r="I96" t="s">
        <v>216</v>
      </c>
      <c r="J96" t="s">
        <v>217</v>
      </c>
      <c r="K96" t="s">
        <v>17</v>
      </c>
      <c r="L96" t="str">
        <f t="shared" si="1"/>
        <v xml:space="preserve">{ longitude: -63.5482502982025, latitude: 44.7088497765817, stopType: 'Bus Stop Non-Standard', gotime: \'8452\', location: \'WAVERLEY RD AT CIVIC 342\' }, </v>
      </c>
    </row>
    <row r="97" spans="1:12" x14ac:dyDescent="0.25">
      <c r="A97">
        <v>-63.547538269321201</v>
      </c>
      <c r="B97">
        <v>44.711480744399601</v>
      </c>
      <c r="C97">
        <v>2096</v>
      </c>
      <c r="D97" t="s">
        <v>11</v>
      </c>
      <c r="E97" t="s">
        <v>12</v>
      </c>
      <c r="F97" t="s">
        <v>25</v>
      </c>
      <c r="G97" t="s">
        <v>26</v>
      </c>
      <c r="H97">
        <v>8453</v>
      </c>
      <c r="I97" t="s">
        <v>218</v>
      </c>
      <c r="J97" t="s">
        <v>219</v>
      </c>
      <c r="K97" t="s">
        <v>17</v>
      </c>
      <c r="L97" t="str">
        <f t="shared" si="1"/>
        <v xml:space="preserve">{ longitude: -63.5475382693212, latitude: 44.7114807443996, stopType: 'Bus Stop Non-Standard', gotime: \'8453\', location: \'WAVERLEY RD AT CIVIC 365\' }, </v>
      </c>
    </row>
    <row r="98" spans="1:12" x14ac:dyDescent="0.25">
      <c r="A98">
        <v>-63.545677087164599</v>
      </c>
      <c r="B98">
        <v>44.7149120791602</v>
      </c>
      <c r="C98">
        <v>2097</v>
      </c>
      <c r="D98" t="s">
        <v>11</v>
      </c>
      <c r="E98" t="s">
        <v>12</v>
      </c>
      <c r="F98" t="s">
        <v>25</v>
      </c>
      <c r="G98" t="s">
        <v>26</v>
      </c>
      <c r="H98">
        <v>8454</v>
      </c>
      <c r="I98" t="s">
        <v>220</v>
      </c>
      <c r="J98" t="s">
        <v>221</v>
      </c>
      <c r="K98" t="s">
        <v>17</v>
      </c>
      <c r="L98" t="str">
        <f t="shared" si="1"/>
        <v xml:space="preserve">{ longitude: -63.5456770871646, latitude: 44.7149120791602, stopType: 'Bus Stop Non-Standard', gotime: \'8454\', location: \'WAVERLEY RD AT CIVIC 409\' }, </v>
      </c>
    </row>
    <row r="99" spans="1:12" x14ac:dyDescent="0.25">
      <c r="A99">
        <v>-63.544976412952202</v>
      </c>
      <c r="B99">
        <v>44.7199100336708</v>
      </c>
      <c r="C99">
        <v>2098</v>
      </c>
      <c r="D99" t="s">
        <v>11</v>
      </c>
      <c r="E99" t="s">
        <v>12</v>
      </c>
      <c r="F99" t="s">
        <v>25</v>
      </c>
      <c r="G99" t="s">
        <v>26</v>
      </c>
      <c r="H99">
        <v>8455</v>
      </c>
      <c r="I99" t="s">
        <v>222</v>
      </c>
      <c r="J99" t="s">
        <v>223</v>
      </c>
      <c r="K99" t="s">
        <v>17</v>
      </c>
      <c r="L99" t="str">
        <f t="shared" si="1"/>
        <v xml:space="preserve">{ longitude: -63.5449764129522, latitude: 44.7199100336708, stopType: 'Bus Stop Non-Standard', gotime: \'8455\', location: \'WAVERLEY RD AT CIVIC 468\' }, </v>
      </c>
    </row>
    <row r="100" spans="1:12" x14ac:dyDescent="0.25">
      <c r="A100">
        <v>-63.542096746118197</v>
      </c>
      <c r="B100">
        <v>44.7246017339099</v>
      </c>
      <c r="C100">
        <v>2099</v>
      </c>
      <c r="D100" t="s">
        <v>11</v>
      </c>
      <c r="E100" t="s">
        <v>12</v>
      </c>
      <c r="F100" t="s">
        <v>25</v>
      </c>
      <c r="G100" t="s">
        <v>26</v>
      </c>
      <c r="H100">
        <v>8456</v>
      </c>
      <c r="I100" t="s">
        <v>224</v>
      </c>
      <c r="J100" t="s">
        <v>225</v>
      </c>
      <c r="K100" t="s">
        <v>17</v>
      </c>
      <c r="L100" t="str">
        <f t="shared" si="1"/>
        <v xml:space="preserve">{ longitude: -63.5420967461182, latitude: 44.7246017339099, stopType: 'Bus Stop Non-Standard', gotime: \'8456\', location: \'WAVERLEY RD AT CIVIC 732\' }, </v>
      </c>
    </row>
    <row r="101" spans="1:12" x14ac:dyDescent="0.25">
      <c r="A101">
        <v>-63.541619620724703</v>
      </c>
      <c r="B101">
        <v>44.725974677128598</v>
      </c>
      <c r="C101">
        <v>2100</v>
      </c>
      <c r="D101" t="s">
        <v>11</v>
      </c>
      <c r="E101" t="s">
        <v>12</v>
      </c>
      <c r="F101" t="s">
        <v>25</v>
      </c>
      <c r="G101" t="s">
        <v>26</v>
      </c>
      <c r="H101">
        <v>8457</v>
      </c>
      <c r="I101" t="s">
        <v>226</v>
      </c>
      <c r="J101" t="s">
        <v>227</v>
      </c>
      <c r="K101" t="s">
        <v>17</v>
      </c>
      <c r="L101" t="str">
        <f t="shared" si="1"/>
        <v xml:space="preserve">{ longitude: -63.5416196207247, latitude: 44.7259746771286, stopType: 'Bus Stop Non-Standard', gotime: \'8457\', location: \'WAVERLEY RD AT CIVIC 742\' }, </v>
      </c>
    </row>
    <row r="102" spans="1:12" x14ac:dyDescent="0.25">
      <c r="A102">
        <v>-63.544718139464401</v>
      </c>
      <c r="B102">
        <v>44.728700532766901</v>
      </c>
      <c r="C102">
        <v>2101</v>
      </c>
      <c r="D102" t="s">
        <v>11</v>
      </c>
      <c r="E102" t="s">
        <v>12</v>
      </c>
      <c r="F102" t="s">
        <v>25</v>
      </c>
      <c r="G102" t="s">
        <v>26</v>
      </c>
      <c r="H102">
        <v>8458</v>
      </c>
      <c r="I102" t="s">
        <v>228</v>
      </c>
      <c r="J102" t="s">
        <v>229</v>
      </c>
      <c r="K102" t="s">
        <v>17</v>
      </c>
      <c r="L102" t="str">
        <f t="shared" si="1"/>
        <v xml:space="preserve">{ longitude: -63.5447181394644, latitude: 44.7287005327669, stopType: 'Bus Stop Non-Standard', gotime: \'8458\', location: \'WAVERLEY RD AT CIVIC 804\' }, </v>
      </c>
    </row>
    <row r="103" spans="1:12" x14ac:dyDescent="0.25">
      <c r="A103">
        <v>-63.559921860641303</v>
      </c>
      <c r="B103">
        <v>44.7432801138063</v>
      </c>
      <c r="C103">
        <v>2102</v>
      </c>
      <c r="D103" t="s">
        <v>11</v>
      </c>
      <c r="E103" t="s">
        <v>12</v>
      </c>
      <c r="F103" t="s">
        <v>25</v>
      </c>
      <c r="G103" t="s">
        <v>26</v>
      </c>
      <c r="H103">
        <v>8459</v>
      </c>
      <c r="I103" t="s">
        <v>230</v>
      </c>
      <c r="J103" t="s">
        <v>231</v>
      </c>
      <c r="K103" t="s">
        <v>17</v>
      </c>
      <c r="L103" t="str">
        <f t="shared" si="1"/>
        <v xml:space="preserve">{ longitude: -63.5599218606413, latitude: 44.7432801138063, stopType: 'Bus Stop Non-Standard', gotime: \'8459\', location: \'WAVERLEY RD AT TURNING LOOP\' }, </v>
      </c>
    </row>
    <row r="104" spans="1:12" x14ac:dyDescent="0.25">
      <c r="A104">
        <v>-63.547285944885402</v>
      </c>
      <c r="B104">
        <v>44.685730523949303</v>
      </c>
      <c r="C104">
        <v>2103</v>
      </c>
      <c r="D104" t="s">
        <v>11</v>
      </c>
      <c r="E104" t="s">
        <v>12</v>
      </c>
      <c r="F104" t="s">
        <v>13</v>
      </c>
      <c r="G104" t="s">
        <v>14</v>
      </c>
      <c r="H104">
        <v>8460</v>
      </c>
      <c r="I104" t="s">
        <v>232</v>
      </c>
      <c r="J104" t="s">
        <v>233</v>
      </c>
      <c r="K104" t="s">
        <v>17</v>
      </c>
      <c r="L104" t="str">
        <f t="shared" si="1"/>
        <v xml:space="preserve">{ longitude: -63.5472859448854, latitude: 44.6857305239493, stopType: 'Bus Stop Non-Standard', gotime: \'8460\', location: \'BRAEMAR DR  OPP CIVIC 105\' }, </v>
      </c>
    </row>
    <row r="105" spans="1:12" x14ac:dyDescent="0.25">
      <c r="A105">
        <v>-63.558641085379101</v>
      </c>
      <c r="B105">
        <v>44.742054614076501</v>
      </c>
      <c r="C105">
        <v>2104</v>
      </c>
      <c r="D105" t="s">
        <v>103</v>
      </c>
      <c r="E105" t="s">
        <v>12</v>
      </c>
      <c r="F105" t="s">
        <v>25</v>
      </c>
      <c r="G105" t="s">
        <v>65</v>
      </c>
      <c r="H105">
        <v>8461</v>
      </c>
      <c r="I105" t="s">
        <v>234</v>
      </c>
      <c r="J105" t="s">
        <v>235</v>
      </c>
      <c r="K105" t="s">
        <v>17</v>
      </c>
      <c r="L105" t="str">
        <f t="shared" si="1"/>
        <v xml:space="preserve">{ longitude: -63.5586410853791, latitude: 44.7420546140765, stopType: 'Bus Stop Inaccessible', gotime: \'8461\', location: \'WAVERLEY RD NS CIVIC 1053\' }, </v>
      </c>
    </row>
    <row r="106" spans="1:12" x14ac:dyDescent="0.25">
      <c r="A106">
        <v>-63.547846485517397</v>
      </c>
      <c r="B106">
        <v>44.700549244010602</v>
      </c>
      <c r="C106">
        <v>2105</v>
      </c>
      <c r="D106" t="s">
        <v>11</v>
      </c>
      <c r="E106" t="s">
        <v>12</v>
      </c>
      <c r="F106" t="s">
        <v>13</v>
      </c>
      <c r="G106" t="s">
        <v>14</v>
      </c>
      <c r="H106">
        <v>8462</v>
      </c>
      <c r="I106" t="s">
        <v>236</v>
      </c>
      <c r="J106" t="s">
        <v>237</v>
      </c>
      <c r="K106" t="s">
        <v>17</v>
      </c>
      <c r="L106" t="str">
        <f t="shared" si="1"/>
        <v xml:space="preserve">{ longitude: -63.5478464855174, latitude: 44.7005492440106, stopType: 'Bus Stop Non-Standard', gotime: \'8462\', location: \'WAVERLEY RD NS CIVIC 272\' }, </v>
      </c>
    </row>
    <row r="107" spans="1:12" x14ac:dyDescent="0.25">
      <c r="A107">
        <v>-63.545546383437603</v>
      </c>
      <c r="B107">
        <v>44.719023832633198</v>
      </c>
      <c r="C107">
        <v>2106</v>
      </c>
      <c r="D107" t="s">
        <v>11</v>
      </c>
      <c r="E107" t="s">
        <v>12</v>
      </c>
      <c r="F107" t="s">
        <v>25</v>
      </c>
      <c r="G107" t="s">
        <v>26</v>
      </c>
      <c r="H107">
        <v>8463</v>
      </c>
      <c r="I107" t="s">
        <v>238</v>
      </c>
      <c r="J107" t="s">
        <v>239</v>
      </c>
      <c r="K107" t="s">
        <v>17</v>
      </c>
      <c r="L107" t="str">
        <f t="shared" si="1"/>
        <v xml:space="preserve">{ longitude: -63.5455463834376, latitude: 44.7190238326332, stopType: 'Bus Stop Non-Standard', gotime: \'8463\', location: \'WAVERLEY RD NS CIVIC 457\' }, </v>
      </c>
    </row>
    <row r="108" spans="1:12" x14ac:dyDescent="0.25">
      <c r="A108">
        <v>-63.545299532961501</v>
      </c>
      <c r="B108">
        <v>44.728660396518499</v>
      </c>
      <c r="C108">
        <v>2107</v>
      </c>
      <c r="D108" t="s">
        <v>11</v>
      </c>
      <c r="E108" t="s">
        <v>12</v>
      </c>
      <c r="F108" t="s">
        <v>25</v>
      </c>
      <c r="G108" t="s">
        <v>26</v>
      </c>
      <c r="H108">
        <v>8464</v>
      </c>
      <c r="I108" t="s">
        <v>240</v>
      </c>
      <c r="J108" t="s">
        <v>241</v>
      </c>
      <c r="K108" t="s">
        <v>17</v>
      </c>
      <c r="L108" t="str">
        <f t="shared" si="1"/>
        <v xml:space="preserve">{ longitude: -63.5452995329615, latitude: 44.7286603965185, stopType: 'Bus Stop Non-Standard', gotime: \'8464\', location: \'WAVERLEY RD NS LAKE CHARLES\' }, </v>
      </c>
    </row>
    <row r="109" spans="1:12" x14ac:dyDescent="0.25">
      <c r="A109">
        <v>-63.547592730111397</v>
      </c>
      <c r="B109">
        <v>44.698540287233797</v>
      </c>
      <c r="C109">
        <v>2108</v>
      </c>
      <c r="D109" t="s">
        <v>11</v>
      </c>
      <c r="E109" t="s">
        <v>12</v>
      </c>
      <c r="F109" t="s">
        <v>13</v>
      </c>
      <c r="G109" t="s">
        <v>14</v>
      </c>
      <c r="H109">
        <v>8465</v>
      </c>
      <c r="I109" t="s">
        <v>242</v>
      </c>
      <c r="J109" t="s">
        <v>243</v>
      </c>
      <c r="K109" t="s">
        <v>17</v>
      </c>
      <c r="L109" t="str">
        <f t="shared" si="1"/>
        <v xml:space="preserve">{ longitude: -63.5475927301114, latitude: 44.6985402872338, stopType: 'Bus Stop Non-Standard', gotime: \'8465\', location: \'WAVERLEY RD NS MONTEBELLO DR\' }, </v>
      </c>
    </row>
    <row r="110" spans="1:12" x14ac:dyDescent="0.25">
      <c r="A110">
        <v>-63.685687406464403</v>
      </c>
      <c r="B110">
        <v>44.7187280260313</v>
      </c>
      <c r="C110">
        <v>2109</v>
      </c>
      <c r="D110" t="s">
        <v>103</v>
      </c>
      <c r="E110" t="s">
        <v>12</v>
      </c>
      <c r="F110" t="s">
        <v>13</v>
      </c>
      <c r="G110" t="s">
        <v>65</v>
      </c>
      <c r="H110">
        <v>6825</v>
      </c>
      <c r="I110" t="s">
        <v>244</v>
      </c>
      <c r="J110" t="s">
        <v>245</v>
      </c>
      <c r="K110" t="s">
        <v>17</v>
      </c>
      <c r="L110" t="str">
        <f t="shared" si="1"/>
        <v xml:space="preserve">{ longitude: -63.6856874064644, latitude: 44.7187280260313, stopType: 'Bus Stop Inaccessible', gotime: \'6825\', location: \'HAMMONDS PLAINS RD NS LAKE DR\' }, </v>
      </c>
    </row>
    <row r="111" spans="1:12" x14ac:dyDescent="0.25">
      <c r="A111">
        <v>-63.823369910822201</v>
      </c>
      <c r="B111">
        <v>44.722141816763703</v>
      </c>
      <c r="C111">
        <v>2110</v>
      </c>
      <c r="D111" t="s">
        <v>103</v>
      </c>
      <c r="E111" t="s">
        <v>12</v>
      </c>
      <c r="F111" t="s">
        <v>25</v>
      </c>
      <c r="G111" t="s">
        <v>65</v>
      </c>
      <c r="H111">
        <v>6826</v>
      </c>
      <c r="I111" t="s">
        <v>246</v>
      </c>
      <c r="J111" t="s">
        <v>247</v>
      </c>
      <c r="K111" t="s">
        <v>17</v>
      </c>
      <c r="L111" t="str">
        <f t="shared" si="1"/>
        <v xml:space="preserve">{ longitude: -63.8233699108222, latitude: 44.7221418167637, stopType: 'Bus Stop Inaccessible', gotime: \'6826\', location: \'HAMMONDS PLAINS RD NS NORTHWOOD RD\' }, </v>
      </c>
    </row>
    <row r="112" spans="1:12" x14ac:dyDescent="0.25">
      <c r="A112">
        <v>-63.843009386195597</v>
      </c>
      <c r="B112">
        <v>44.7100709327988</v>
      </c>
      <c r="C112">
        <v>2111</v>
      </c>
      <c r="D112" t="s">
        <v>103</v>
      </c>
      <c r="E112" t="s">
        <v>12</v>
      </c>
      <c r="F112" t="s">
        <v>25</v>
      </c>
      <c r="G112" t="s">
        <v>65</v>
      </c>
      <c r="H112">
        <v>6827</v>
      </c>
      <c r="I112" t="s">
        <v>248</v>
      </c>
      <c r="J112" t="s">
        <v>249</v>
      </c>
      <c r="K112" t="s">
        <v>17</v>
      </c>
      <c r="L112" t="str">
        <f t="shared" si="1"/>
        <v xml:space="preserve">{ longitude: -63.8430093861956, latitude: 44.7100709327988, stopType: 'Bus Stop Inaccessible', gotime: \'6827\', location: \'HAMMONDS PLAINS RD NS OPP NOTTINGHAM DR\' }, </v>
      </c>
    </row>
    <row r="113" spans="1:12" x14ac:dyDescent="0.25">
      <c r="A113">
        <v>-63.772939376358998</v>
      </c>
      <c r="B113">
        <v>44.733692261224498</v>
      </c>
      <c r="C113">
        <v>2112</v>
      </c>
      <c r="D113" t="s">
        <v>103</v>
      </c>
      <c r="E113" t="s">
        <v>12</v>
      </c>
      <c r="F113" t="s">
        <v>13</v>
      </c>
      <c r="G113" t="s">
        <v>65</v>
      </c>
      <c r="H113">
        <v>6828</v>
      </c>
      <c r="I113" t="s">
        <v>250</v>
      </c>
      <c r="J113" t="s">
        <v>251</v>
      </c>
      <c r="K113" t="s">
        <v>17</v>
      </c>
      <c r="L113" t="str">
        <f t="shared" si="1"/>
        <v xml:space="preserve">{ longitude: -63.772939376359, latitude: 44.7336922612245, stopType: 'Bus Stop Inaccessible', gotime: \'6828\', location: \'HAMMONDS PLAINS RD OPP FS CIVIC 1881\' }, </v>
      </c>
    </row>
    <row r="114" spans="1:12" x14ac:dyDescent="0.25">
      <c r="A114">
        <v>-63.820642482985697</v>
      </c>
      <c r="B114">
        <v>44.724433137506999</v>
      </c>
      <c r="C114">
        <v>2113</v>
      </c>
      <c r="D114" t="s">
        <v>103</v>
      </c>
      <c r="E114" t="s">
        <v>12</v>
      </c>
      <c r="F114" t="s">
        <v>13</v>
      </c>
      <c r="G114" t="s">
        <v>65</v>
      </c>
      <c r="H114">
        <v>6829</v>
      </c>
      <c r="I114" t="s">
        <v>252</v>
      </c>
      <c r="J114" t="s">
        <v>253</v>
      </c>
      <c r="K114" t="s">
        <v>17</v>
      </c>
      <c r="L114" t="str">
        <f t="shared" si="1"/>
        <v xml:space="preserve">{ longitude: -63.8206424829857, latitude: 44.724433137507, stopType: 'Bus Stop Inaccessible', gotime: \'6829\', location: \'HAMMONDS PLAINS RD OPP FS CIVIC 2465\' }, </v>
      </c>
    </row>
    <row r="115" spans="1:12" x14ac:dyDescent="0.25">
      <c r="A115">
        <v>-63.738175140137699</v>
      </c>
      <c r="B115">
        <v>44.725079142013598</v>
      </c>
      <c r="C115">
        <v>2114</v>
      </c>
      <c r="D115" t="s">
        <v>103</v>
      </c>
      <c r="E115" t="s">
        <v>12</v>
      </c>
      <c r="F115" t="s">
        <v>25</v>
      </c>
      <c r="G115" t="s">
        <v>65</v>
      </c>
      <c r="H115">
        <v>6830</v>
      </c>
      <c r="I115" t="s">
        <v>254</v>
      </c>
      <c r="J115" t="s">
        <v>255</v>
      </c>
      <c r="K115" t="s">
        <v>17</v>
      </c>
      <c r="L115" t="str">
        <f t="shared" si="1"/>
        <v xml:space="preserve">{ longitude: -63.7381751401377, latitude: 44.7250791420136, stopType: 'Bus Stop Inaccessible', gotime: \'6830\', location: \'HAMMONDS PLAINS RD FS GATEHOUSE RUN\' }, </v>
      </c>
    </row>
    <row r="116" spans="1:12" x14ac:dyDescent="0.25">
      <c r="A116">
        <v>-63.834698390697298</v>
      </c>
      <c r="B116">
        <v>44.713955678050802</v>
      </c>
      <c r="C116">
        <v>2115</v>
      </c>
      <c r="D116" t="s">
        <v>103</v>
      </c>
      <c r="E116" t="s">
        <v>12</v>
      </c>
      <c r="F116" t="s">
        <v>25</v>
      </c>
      <c r="G116" t="s">
        <v>65</v>
      </c>
      <c r="H116">
        <v>6831</v>
      </c>
      <c r="I116" t="s">
        <v>256</v>
      </c>
      <c r="J116" t="s">
        <v>257</v>
      </c>
      <c r="K116" t="s">
        <v>17</v>
      </c>
      <c r="L116" t="str">
        <f t="shared" si="1"/>
        <v xml:space="preserve">{ longitude: -63.8346983906973, latitude: 44.7139556780508, stopType: 'Bus Stop Inaccessible', gotime: \'6831\', location: \'HAMMONDS PLAINS RD OPP ROCKCLIFFE CR\' }, </v>
      </c>
    </row>
    <row r="117" spans="1:12" x14ac:dyDescent="0.25">
      <c r="A117">
        <v>-63.545068769519197</v>
      </c>
      <c r="B117">
        <v>44.6805191700685</v>
      </c>
      <c r="C117">
        <v>2116</v>
      </c>
      <c r="D117" t="s">
        <v>103</v>
      </c>
      <c r="E117" t="s">
        <v>12</v>
      </c>
      <c r="F117" t="s">
        <v>25</v>
      </c>
      <c r="G117" t="s">
        <v>65</v>
      </c>
      <c r="H117">
        <v>6832</v>
      </c>
      <c r="I117" t="s">
        <v>258</v>
      </c>
      <c r="J117" t="s">
        <v>259</v>
      </c>
      <c r="K117" t="s">
        <v>17</v>
      </c>
      <c r="L117" t="str">
        <f t="shared" si="1"/>
        <v xml:space="preserve">{ longitude: -63.5450687695192, latitude: 44.6805191700685, stopType: 'Bus Stop Inaccessible', gotime: \'6832\', location: \'HARRIS RD AT CIVIC 7\' }, </v>
      </c>
    </row>
    <row r="118" spans="1:12" x14ac:dyDescent="0.25">
      <c r="A118">
        <v>-63.5451208451979</v>
      </c>
      <c r="B118">
        <v>44.680420608607299</v>
      </c>
      <c r="C118">
        <v>2117</v>
      </c>
      <c r="D118" t="s">
        <v>103</v>
      </c>
      <c r="E118" t="s">
        <v>12</v>
      </c>
      <c r="F118" t="s">
        <v>25</v>
      </c>
      <c r="G118" t="s">
        <v>65</v>
      </c>
      <c r="H118">
        <v>6833</v>
      </c>
      <c r="I118" t="s">
        <v>260</v>
      </c>
      <c r="J118" t="s">
        <v>261</v>
      </c>
      <c r="K118" t="s">
        <v>17</v>
      </c>
      <c r="L118" t="str">
        <f t="shared" si="1"/>
        <v xml:space="preserve">{ longitude: -63.5451208451979, latitude: 44.6804206086073, stopType: 'Bus Stop Inaccessible', gotime: \'6833\', location: \'HARRIS RD OPP CIVIC 7\' }, </v>
      </c>
    </row>
    <row r="119" spans="1:12" x14ac:dyDescent="0.25">
      <c r="A119">
        <v>-63.537452301877998</v>
      </c>
      <c r="B119">
        <v>44.681770625839697</v>
      </c>
      <c r="C119">
        <v>2118</v>
      </c>
      <c r="D119" t="s">
        <v>29</v>
      </c>
      <c r="E119" t="s">
        <v>12</v>
      </c>
      <c r="F119" t="s">
        <v>13</v>
      </c>
      <c r="G119" t="s">
        <v>14</v>
      </c>
      <c r="H119">
        <v>6834</v>
      </c>
      <c r="I119" t="s">
        <v>262</v>
      </c>
      <c r="J119" t="s">
        <v>263</v>
      </c>
      <c r="K119" t="s">
        <v>17</v>
      </c>
      <c r="L119" t="str">
        <f t="shared" si="1"/>
        <v xml:space="preserve">{ longitude: -63.537452301878, latitude: 44.6817706258397, stopType: 'Bus Stop Accessible', gotime: \'6834\', location: \'HARTLEN ST FS MAIN ST\' }, </v>
      </c>
    </row>
    <row r="120" spans="1:12" x14ac:dyDescent="0.25">
      <c r="A120">
        <v>-63.537221216450298</v>
      </c>
      <c r="B120">
        <v>44.681632872130599</v>
      </c>
      <c r="C120">
        <v>2119</v>
      </c>
      <c r="D120" t="s">
        <v>29</v>
      </c>
      <c r="E120" t="s">
        <v>12</v>
      </c>
      <c r="F120" t="s">
        <v>13</v>
      </c>
      <c r="G120" t="s">
        <v>14</v>
      </c>
      <c r="H120">
        <v>6835</v>
      </c>
      <c r="I120" t="s">
        <v>264</v>
      </c>
      <c r="J120" t="s">
        <v>265</v>
      </c>
      <c r="K120" t="s">
        <v>17</v>
      </c>
      <c r="L120" t="str">
        <f t="shared" si="1"/>
        <v xml:space="preserve">{ longitude: -63.5372212164503, latitude: 44.6816328721306, stopType: 'Bus Stop Accessible', gotime: \'6835\', location: \'HARTLEN ST NS MAIN ST\' }, </v>
      </c>
    </row>
    <row r="121" spans="1:12" x14ac:dyDescent="0.25">
      <c r="A121">
        <v>-63.561313777846799</v>
      </c>
      <c r="B121">
        <v>44.6728330941392</v>
      </c>
      <c r="C121">
        <v>2120</v>
      </c>
      <c r="D121" t="s">
        <v>11</v>
      </c>
      <c r="E121" t="s">
        <v>12</v>
      </c>
      <c r="F121" t="s">
        <v>25</v>
      </c>
      <c r="G121" t="s">
        <v>26</v>
      </c>
      <c r="H121">
        <v>6836</v>
      </c>
      <c r="I121" t="s">
        <v>266</v>
      </c>
      <c r="J121" t="s">
        <v>267</v>
      </c>
      <c r="K121" t="s">
        <v>17</v>
      </c>
      <c r="L121" t="str">
        <f t="shared" si="1"/>
        <v xml:space="preserve">{ longitude: -63.5613137778468, latitude: 44.6728330941392, stopType: 'Bus Stop Non-Standard', gotime: \'6836\', location: \'HAWTHORNE ST FS PRINCE ALBERT RD\' }, </v>
      </c>
    </row>
    <row r="122" spans="1:12" x14ac:dyDescent="0.25">
      <c r="A122">
        <v>-63.562886354232198</v>
      </c>
      <c r="B122">
        <v>44.673862978945301</v>
      </c>
      <c r="C122">
        <v>2121</v>
      </c>
      <c r="D122" t="s">
        <v>29</v>
      </c>
      <c r="E122" t="s">
        <v>12</v>
      </c>
      <c r="F122" t="s">
        <v>25</v>
      </c>
      <c r="G122" t="s">
        <v>26</v>
      </c>
      <c r="H122">
        <v>6837</v>
      </c>
      <c r="I122" t="s">
        <v>268</v>
      </c>
      <c r="J122" t="s">
        <v>269</v>
      </c>
      <c r="K122" t="s">
        <v>17</v>
      </c>
      <c r="L122" t="str">
        <f t="shared" si="1"/>
        <v xml:space="preserve">{ longitude: -63.5628863542322, latitude: 44.6738629789453, stopType: 'Bus Stop Accessible', gotime: \'6837\', location: \'HAWTHORNE ST AT CIVIC 113\' }, </v>
      </c>
    </row>
    <row r="123" spans="1:12" x14ac:dyDescent="0.25">
      <c r="A123">
        <v>-63.671581165939898</v>
      </c>
      <c r="B123">
        <v>44.639442130051499</v>
      </c>
      <c r="C123">
        <v>2122</v>
      </c>
      <c r="D123" t="s">
        <v>11</v>
      </c>
      <c r="E123" t="s">
        <v>12</v>
      </c>
      <c r="F123" t="s">
        <v>25</v>
      </c>
      <c r="G123" t="s">
        <v>270</v>
      </c>
      <c r="H123">
        <v>6376</v>
      </c>
      <c r="I123" t="s">
        <v>271</v>
      </c>
      <c r="J123" t="s">
        <v>272</v>
      </c>
      <c r="K123" t="s">
        <v>17</v>
      </c>
      <c r="L123" t="str">
        <f t="shared" si="1"/>
        <v xml:space="preserve">{ longitude: -63.6715811659399, latitude: 44.6394421300515, stopType: 'Bus Stop Non-Standard', gotime: \'6376\', location: \'HORSESHOE LAKE DR CIVIC 255\' }, </v>
      </c>
    </row>
    <row r="124" spans="1:12" x14ac:dyDescent="0.25">
      <c r="A124">
        <v>-63.6665062073047</v>
      </c>
      <c r="B124">
        <v>44.644659456705703</v>
      </c>
      <c r="C124">
        <v>2123</v>
      </c>
      <c r="D124" t="s">
        <v>103</v>
      </c>
      <c r="E124" t="s">
        <v>12</v>
      </c>
      <c r="F124" t="s">
        <v>13</v>
      </c>
      <c r="G124" t="s">
        <v>65</v>
      </c>
      <c r="H124">
        <v>6377</v>
      </c>
      <c r="I124" t="s">
        <v>273</v>
      </c>
      <c r="J124" t="s">
        <v>274</v>
      </c>
      <c r="K124" t="s">
        <v>17</v>
      </c>
      <c r="L124" t="str">
        <f t="shared" si="1"/>
        <v xml:space="preserve">{ longitude: -63.6665062073047, latitude: 44.6446594567057, stopType: 'Bus Stop Inaccessible', gotime: \'6377\', location: \'CHAIN LAKE DR DR AT GREYSTONE COURT\' }, </v>
      </c>
    </row>
    <row r="125" spans="1:12" x14ac:dyDescent="0.25">
      <c r="A125">
        <v>-63.6754120845264</v>
      </c>
      <c r="B125">
        <v>44.6448933936678</v>
      </c>
      <c r="C125">
        <v>2124</v>
      </c>
      <c r="D125" t="s">
        <v>11</v>
      </c>
      <c r="E125" t="s">
        <v>12</v>
      </c>
      <c r="F125" t="s">
        <v>13</v>
      </c>
      <c r="G125" t="s">
        <v>14</v>
      </c>
      <c r="H125">
        <v>6378</v>
      </c>
      <c r="I125" t="s">
        <v>275</v>
      </c>
      <c r="J125" t="s">
        <v>276</v>
      </c>
      <c r="K125" t="s">
        <v>17</v>
      </c>
      <c r="L125" t="str">
        <f t="shared" si="1"/>
        <v xml:space="preserve">{ longitude: -63.6754120845264, latitude: 44.6448933936678, stopType: 'Bus Stop Non-Standard', gotime: \'6378\', location: \'CHAIN LAKE DR AT SUZIE LAKE CR\' }, </v>
      </c>
    </row>
    <row r="126" spans="1:12" x14ac:dyDescent="0.25">
      <c r="A126">
        <v>-63.669466466088103</v>
      </c>
      <c r="B126">
        <v>44.637527635411899</v>
      </c>
      <c r="C126">
        <v>2125</v>
      </c>
      <c r="D126" t="s">
        <v>103</v>
      </c>
      <c r="E126" t="s">
        <v>12</v>
      </c>
      <c r="F126" t="s">
        <v>13</v>
      </c>
      <c r="G126" t="s">
        <v>65</v>
      </c>
      <c r="H126">
        <v>6379</v>
      </c>
      <c r="I126" t="s">
        <v>277</v>
      </c>
      <c r="J126" t="s">
        <v>278</v>
      </c>
      <c r="K126" t="s">
        <v>17</v>
      </c>
      <c r="L126" t="str">
        <f t="shared" si="1"/>
        <v xml:space="preserve">{ longitude: -63.6694664660881, latitude: 44.6375276354119, stopType: 'Bus Stop Inaccessible', gotime: \'6379\', location: \'CHAIN LAKE DR  NS LAKELANDS BLVD (0B)\' }, </v>
      </c>
    </row>
    <row r="127" spans="1:12" x14ac:dyDescent="0.25">
      <c r="A127">
        <v>-63.666426528537798</v>
      </c>
      <c r="B127">
        <v>44.637731921888999</v>
      </c>
      <c r="C127">
        <v>2126</v>
      </c>
      <c r="D127" t="s">
        <v>11</v>
      </c>
      <c r="E127" t="s">
        <v>12</v>
      </c>
      <c r="F127" t="s">
        <v>13</v>
      </c>
      <c r="G127" t="s">
        <v>14</v>
      </c>
      <c r="H127">
        <v>6380</v>
      </c>
      <c r="I127" t="s">
        <v>279</v>
      </c>
      <c r="J127" t="s">
        <v>280</v>
      </c>
      <c r="K127" t="s">
        <v>17</v>
      </c>
      <c r="L127" t="str">
        <f t="shared" si="1"/>
        <v xml:space="preserve">{ longitude: -63.6664265285378, latitude: 44.637731921889, stopType: 'Bus Stop Non-Standard', gotime: \'6380\', location: \'CHAIN LAKE DR  NS MCQUADE CRES\' }, </v>
      </c>
    </row>
    <row r="128" spans="1:12" x14ac:dyDescent="0.25">
      <c r="A128">
        <v>-63.671663319902201</v>
      </c>
      <c r="B128">
        <v>44.638983736843201</v>
      </c>
      <c r="C128">
        <v>2127</v>
      </c>
      <c r="D128" t="s">
        <v>11</v>
      </c>
      <c r="E128" t="s">
        <v>12</v>
      </c>
      <c r="F128" t="s">
        <v>25</v>
      </c>
      <c r="G128" t="s">
        <v>270</v>
      </c>
      <c r="H128">
        <v>6381</v>
      </c>
      <c r="I128" t="s">
        <v>281</v>
      </c>
      <c r="J128" t="s">
        <v>282</v>
      </c>
      <c r="K128" t="s">
        <v>17</v>
      </c>
      <c r="L128" t="str">
        <f t="shared" si="1"/>
        <v xml:space="preserve">{ longitude: -63.6716633199022, latitude: 44.6389837368432, stopType: 'Bus Stop Non-Standard', gotime: \'6381\', location: \'HORSESHOE LAKE DR CIVIC 280\' }, </v>
      </c>
    </row>
    <row r="129" spans="1:12" x14ac:dyDescent="0.25">
      <c r="A129">
        <v>-63.678065233612799</v>
      </c>
      <c r="B129">
        <v>44.655453409990201</v>
      </c>
      <c r="C129">
        <v>2128</v>
      </c>
      <c r="D129" t="s">
        <v>29</v>
      </c>
      <c r="E129" t="s">
        <v>12</v>
      </c>
      <c r="F129" t="s">
        <v>13</v>
      </c>
      <c r="G129" t="s">
        <v>14</v>
      </c>
      <c r="H129">
        <v>6382</v>
      </c>
      <c r="I129" t="s">
        <v>283</v>
      </c>
      <c r="J129" t="s">
        <v>284</v>
      </c>
      <c r="K129" t="s">
        <v>17</v>
      </c>
      <c r="L129" t="str">
        <f t="shared" si="1"/>
        <v xml:space="preserve">{ longitude: -63.6780652336128, latitude: 44.6554534099902, stopType: 'Bus Stop Accessible', gotime: \'6382\', location: \'CHAIN LAKE DR OPP COSTCO\' }, </v>
      </c>
    </row>
    <row r="130" spans="1:12" x14ac:dyDescent="0.25">
      <c r="A130">
        <v>-63.675142939670302</v>
      </c>
      <c r="B130">
        <v>44.644973258002601</v>
      </c>
      <c r="C130">
        <v>2129</v>
      </c>
      <c r="D130" t="s">
        <v>103</v>
      </c>
      <c r="E130" t="s">
        <v>12</v>
      </c>
      <c r="F130" t="s">
        <v>13</v>
      </c>
      <c r="G130" t="s">
        <v>65</v>
      </c>
      <c r="H130">
        <v>6383</v>
      </c>
      <c r="I130" t="s">
        <v>285</v>
      </c>
      <c r="J130" t="s">
        <v>286</v>
      </c>
      <c r="K130" t="s">
        <v>17</v>
      </c>
      <c r="L130" t="str">
        <f t="shared" si="1"/>
        <v xml:space="preserve">{ longitude: -63.6751429396703, latitude: 44.6449732580026, stopType: 'Bus Stop Inaccessible', gotime: \'6383\', location: \'CHAIN LAKE DR IB AT SUZIE LAKE CR\' }, </v>
      </c>
    </row>
    <row r="131" spans="1:12" x14ac:dyDescent="0.25">
      <c r="A131">
        <v>-63.672739210289301</v>
      </c>
      <c r="B131">
        <v>44.641198552764898</v>
      </c>
      <c r="C131">
        <v>2130</v>
      </c>
      <c r="D131" t="s">
        <v>103</v>
      </c>
      <c r="E131" t="s">
        <v>12</v>
      </c>
      <c r="F131" t="s">
        <v>13</v>
      </c>
      <c r="G131" t="s">
        <v>65</v>
      </c>
      <c r="H131">
        <v>6384</v>
      </c>
      <c r="I131" t="s">
        <v>287</v>
      </c>
      <c r="J131" t="s">
        <v>288</v>
      </c>
      <c r="K131" t="s">
        <v>17</v>
      </c>
      <c r="L131" t="str">
        <f t="shared" ref="L131:L194" si="2">CONCATENATE( "{ longitude: ", A131, ", latitude: ", B131, ", stopType: '", D131, "', gotime: \'", H131, "\', location: \'", I131, "\' }, ")</f>
        <v xml:space="preserve">{ longitude: -63.6727392102893, latitude: 44.6411985527649, stopType: 'Bus Stop Inaccessible', gotime: \'6384\', location: \'CHAIN LAKE DR AT ATLANTIC TENNIS COURTS\' }, </v>
      </c>
    </row>
    <row r="132" spans="1:12" x14ac:dyDescent="0.25">
      <c r="A132">
        <v>-63.672495204606399</v>
      </c>
      <c r="B132">
        <v>44.646081595450099</v>
      </c>
      <c r="C132">
        <v>2131</v>
      </c>
      <c r="D132" t="s">
        <v>11</v>
      </c>
      <c r="E132" t="s">
        <v>12</v>
      </c>
      <c r="F132" t="s">
        <v>25</v>
      </c>
      <c r="G132" t="s">
        <v>26</v>
      </c>
      <c r="H132">
        <v>6385</v>
      </c>
      <c r="I132" t="s">
        <v>289</v>
      </c>
      <c r="J132" t="s">
        <v>290</v>
      </c>
      <c r="K132" t="s">
        <v>17</v>
      </c>
      <c r="L132" t="str">
        <f t="shared" si="2"/>
        <v xml:space="preserve">{ longitude: -63.6724952046064, latitude: 44.6460815954501, stopType: 'Bus Stop Non-Standard', gotime: \'6385\', location: \'CHAIN LAKE DR  FS SUSIE LAKE CR [OB]\' }, </v>
      </c>
    </row>
    <row r="133" spans="1:12" x14ac:dyDescent="0.25">
      <c r="A133">
        <v>-63.674786631498002</v>
      </c>
      <c r="B133">
        <v>44.648124295203701</v>
      </c>
      <c r="C133">
        <v>2132</v>
      </c>
      <c r="D133" t="s">
        <v>11</v>
      </c>
      <c r="E133" t="s">
        <v>12</v>
      </c>
      <c r="F133" t="s">
        <v>13</v>
      </c>
      <c r="G133" t="s">
        <v>14</v>
      </c>
      <c r="H133">
        <v>6386</v>
      </c>
      <c r="I133" t="s">
        <v>291</v>
      </c>
      <c r="J133" t="s">
        <v>292</v>
      </c>
      <c r="K133" t="s">
        <v>17</v>
      </c>
      <c r="L133" t="str">
        <f t="shared" si="2"/>
        <v xml:space="preserve">{ longitude: -63.674786631498, latitude: 44.6481242952037, stopType: 'Bus Stop Non-Standard', gotime: \'6386\', location: \'CHAIN LAKE DR [IB] FS OLAND CT\' }, </v>
      </c>
    </row>
    <row r="134" spans="1:12" x14ac:dyDescent="0.25">
      <c r="A134">
        <v>-63.676579746039202</v>
      </c>
      <c r="B134">
        <v>44.652320960869901</v>
      </c>
      <c r="C134">
        <v>2133</v>
      </c>
      <c r="D134" t="s">
        <v>18</v>
      </c>
      <c r="E134" t="s">
        <v>12</v>
      </c>
      <c r="F134" t="s">
        <v>25</v>
      </c>
      <c r="G134" t="s">
        <v>19</v>
      </c>
      <c r="H134">
        <v>6387</v>
      </c>
      <c r="I134" t="s">
        <v>293</v>
      </c>
      <c r="J134" t="s">
        <v>294</v>
      </c>
      <c r="K134" t="s">
        <v>17</v>
      </c>
      <c r="L134" t="str">
        <f t="shared" si="2"/>
        <v xml:space="preserve">{ longitude: -63.6765797460392, latitude: 44.6523209608699, stopType: 'Bus Stop Shelter Non-Standard', gotime: \'6387\', location: \'CHAIN LAKE DR [IB] AT SUPERSTORE\' }, </v>
      </c>
    </row>
    <row r="135" spans="1:12" x14ac:dyDescent="0.25">
      <c r="A135">
        <v>-63.546139753368301</v>
      </c>
      <c r="B135">
        <v>44.691354772166797</v>
      </c>
      <c r="C135">
        <v>2134</v>
      </c>
      <c r="D135" t="s">
        <v>11</v>
      </c>
      <c r="E135" t="s">
        <v>12</v>
      </c>
      <c r="F135" t="s">
        <v>25</v>
      </c>
      <c r="G135" t="s">
        <v>26</v>
      </c>
      <c r="H135">
        <v>8466</v>
      </c>
      <c r="I135" t="s">
        <v>295</v>
      </c>
      <c r="J135" t="s">
        <v>296</v>
      </c>
      <c r="K135" t="s">
        <v>17</v>
      </c>
      <c r="L135" t="str">
        <f t="shared" si="2"/>
        <v xml:space="preserve">{ longitude: -63.5461397533683, latitude: 44.6913547721668, stopType: 'Bus Stop Non-Standard', gotime: \'8466\', location: \'WAVERLEY RD  FS BRAEMAR APTS\' }, </v>
      </c>
    </row>
    <row r="136" spans="1:12" x14ac:dyDescent="0.25">
      <c r="A136">
        <v>-63.554433543720201</v>
      </c>
      <c r="B136">
        <v>44.738339005242601</v>
      </c>
      <c r="C136">
        <v>2135</v>
      </c>
      <c r="D136" t="s">
        <v>11</v>
      </c>
      <c r="E136" t="s">
        <v>12</v>
      </c>
      <c r="F136" t="s">
        <v>25</v>
      </c>
      <c r="G136" t="s">
        <v>26</v>
      </c>
      <c r="H136">
        <v>8467</v>
      </c>
      <c r="I136" t="s">
        <v>297</v>
      </c>
      <c r="J136" t="s">
        <v>298</v>
      </c>
      <c r="K136" t="s">
        <v>17</v>
      </c>
      <c r="L136" t="str">
        <f t="shared" si="2"/>
        <v xml:space="preserve">{ longitude: -63.5544335437202, latitude: 44.7383390052426, stopType: 'Bus Stop Non-Standard', gotime: \'8467\', location: \'WAVERLEY RD  AT CIVIC 1008\' }, </v>
      </c>
    </row>
    <row r="137" spans="1:12" x14ac:dyDescent="0.25">
      <c r="A137">
        <v>-63.547382502436498</v>
      </c>
      <c r="B137">
        <v>44.695586004380999</v>
      </c>
      <c r="C137">
        <v>2136</v>
      </c>
      <c r="D137" t="s">
        <v>29</v>
      </c>
      <c r="E137" t="s">
        <v>12</v>
      </c>
      <c r="F137" t="s">
        <v>25</v>
      </c>
      <c r="G137" t="s">
        <v>26</v>
      </c>
      <c r="H137">
        <v>8468</v>
      </c>
      <c r="I137" t="s">
        <v>299</v>
      </c>
      <c r="J137" t="s">
        <v>300</v>
      </c>
      <c r="K137" t="s">
        <v>17</v>
      </c>
      <c r="L137" t="str">
        <f t="shared" si="2"/>
        <v xml:space="preserve">{ longitude: -63.5473825024365, latitude: 44.695586004381, stopType: 'Bus Stop Accessible', gotime: \'8468\', location: \'WAVERLEY RD  OPP CIVIC 221\' }, </v>
      </c>
    </row>
    <row r="138" spans="1:12" x14ac:dyDescent="0.25">
      <c r="A138">
        <v>-63.5495876292132</v>
      </c>
      <c r="B138">
        <v>44.731234064051897</v>
      </c>
      <c r="C138">
        <v>2137</v>
      </c>
      <c r="D138" t="s">
        <v>103</v>
      </c>
      <c r="E138" t="s">
        <v>12</v>
      </c>
      <c r="F138" t="s">
        <v>25</v>
      </c>
      <c r="G138" t="s">
        <v>65</v>
      </c>
      <c r="H138">
        <v>8469</v>
      </c>
      <c r="I138" t="s">
        <v>301</v>
      </c>
      <c r="J138" t="s">
        <v>302</v>
      </c>
      <c r="K138" t="s">
        <v>17</v>
      </c>
      <c r="L138" t="str">
        <f t="shared" si="2"/>
        <v xml:space="preserve">{ longitude: -63.5495876292132, latitude: 44.7312340640519, stopType: 'Bus Stop Inaccessible', gotime: \'8469\', location: \'WAVERLEY RD  OPP CIVIC 867\' }, </v>
      </c>
    </row>
    <row r="139" spans="1:12" x14ac:dyDescent="0.25">
      <c r="A139">
        <v>-63.557726999386098</v>
      </c>
      <c r="B139">
        <v>44.741579094894497</v>
      </c>
      <c r="C139">
        <v>2138</v>
      </c>
      <c r="D139" t="s">
        <v>11</v>
      </c>
      <c r="E139" t="s">
        <v>12</v>
      </c>
      <c r="F139" t="s">
        <v>25</v>
      </c>
      <c r="G139" t="s">
        <v>26</v>
      </c>
      <c r="H139">
        <v>8470</v>
      </c>
      <c r="I139" t="s">
        <v>303</v>
      </c>
      <c r="J139" t="s">
        <v>304</v>
      </c>
      <c r="K139" t="s">
        <v>17</v>
      </c>
      <c r="L139" t="str">
        <f t="shared" si="2"/>
        <v xml:space="preserve">{ longitude: -63.5577269993861, latitude: 44.7415790948945, stopType: 'Bus Stop Non-Standard', gotime: \'8470\', location: \'WAVERLEY RD OPP CIVIC 1053\' }, </v>
      </c>
    </row>
    <row r="140" spans="1:12" x14ac:dyDescent="0.25">
      <c r="A140">
        <v>-63.547330682177098</v>
      </c>
      <c r="B140">
        <v>44.711056028286798</v>
      </c>
      <c r="C140">
        <v>2139</v>
      </c>
      <c r="D140" t="s">
        <v>11</v>
      </c>
      <c r="E140" t="s">
        <v>12</v>
      </c>
      <c r="F140" t="s">
        <v>25</v>
      </c>
      <c r="G140" t="s">
        <v>26</v>
      </c>
      <c r="H140">
        <v>8471</v>
      </c>
      <c r="I140" t="s">
        <v>305</v>
      </c>
      <c r="J140" t="s">
        <v>306</v>
      </c>
      <c r="K140" t="s">
        <v>17</v>
      </c>
      <c r="L140" t="str">
        <f t="shared" si="2"/>
        <v xml:space="preserve">{ longitude: -63.5473306821771, latitude: 44.7110560282868, stopType: 'Bus Stop Non-Standard', gotime: \'8471\', location: \'WAVERLEY RD OPP CIVIC 359\' }, </v>
      </c>
    </row>
    <row r="141" spans="1:12" x14ac:dyDescent="0.25">
      <c r="A141">
        <v>-63.5452122407346</v>
      </c>
      <c r="B141">
        <v>44.717851083571901</v>
      </c>
      <c r="C141">
        <v>2140</v>
      </c>
      <c r="D141" t="s">
        <v>11</v>
      </c>
      <c r="E141" t="s">
        <v>12</v>
      </c>
      <c r="F141" t="s">
        <v>25</v>
      </c>
      <c r="G141" t="s">
        <v>26</v>
      </c>
      <c r="H141">
        <v>8472</v>
      </c>
      <c r="I141" t="s">
        <v>307</v>
      </c>
      <c r="J141" t="s">
        <v>308</v>
      </c>
      <c r="K141" t="s">
        <v>17</v>
      </c>
      <c r="L141" t="str">
        <f t="shared" si="2"/>
        <v xml:space="preserve">{ longitude: -63.5452122407346, latitude: 44.7178510835719, stopType: 'Bus Stop Non-Standard', gotime: \'8472\', location: \'WAVERLEY RD OPP CIVIC 453\' }, </v>
      </c>
    </row>
    <row r="142" spans="1:12" x14ac:dyDescent="0.25">
      <c r="A142">
        <v>-63.543853806146899</v>
      </c>
      <c r="B142">
        <v>44.722159553643699</v>
      </c>
      <c r="C142">
        <v>2141</v>
      </c>
      <c r="D142" t="s">
        <v>11</v>
      </c>
      <c r="E142" t="s">
        <v>12</v>
      </c>
      <c r="F142" t="s">
        <v>25</v>
      </c>
      <c r="G142" t="s">
        <v>26</v>
      </c>
      <c r="H142">
        <v>8473</v>
      </c>
      <c r="I142" t="s">
        <v>309</v>
      </c>
      <c r="J142" t="s">
        <v>310</v>
      </c>
      <c r="K142" t="s">
        <v>17</v>
      </c>
      <c r="L142" t="str">
        <f t="shared" si="2"/>
        <v xml:space="preserve">{ longitude: -63.5438538061469, latitude: 44.7221595536437, stopType: 'Bus Stop Non-Standard', gotime: \'8473\', location: \'WAVERLEY RD OPP CIVIC 710\' }, </v>
      </c>
    </row>
    <row r="143" spans="1:12" x14ac:dyDescent="0.25">
      <c r="A143">
        <v>-63.542838607342098</v>
      </c>
      <c r="B143">
        <v>44.723249006898698</v>
      </c>
      <c r="C143">
        <v>2142</v>
      </c>
      <c r="D143" t="s">
        <v>11</v>
      </c>
      <c r="E143" t="s">
        <v>12</v>
      </c>
      <c r="F143" t="s">
        <v>25</v>
      </c>
      <c r="G143" t="s">
        <v>26</v>
      </c>
      <c r="H143">
        <v>8474</v>
      </c>
      <c r="I143" t="s">
        <v>311</v>
      </c>
      <c r="J143" t="s">
        <v>312</v>
      </c>
      <c r="K143" t="s">
        <v>17</v>
      </c>
      <c r="L143" t="str">
        <f t="shared" si="2"/>
        <v xml:space="preserve">{ longitude: -63.5428386073421, latitude: 44.7232490068987, stopType: 'Bus Stop Non-Standard', gotime: \'8474\', location: \'WAVERLEY RD OPP CIVIC 725\' }, </v>
      </c>
    </row>
    <row r="144" spans="1:12" x14ac:dyDescent="0.25">
      <c r="A144">
        <v>-63.545475908413799</v>
      </c>
      <c r="B144">
        <v>44.714865399454702</v>
      </c>
      <c r="C144">
        <v>2143</v>
      </c>
      <c r="D144" t="s">
        <v>11</v>
      </c>
      <c r="E144" t="s">
        <v>12</v>
      </c>
      <c r="F144" t="s">
        <v>25</v>
      </c>
      <c r="G144" t="s">
        <v>26</v>
      </c>
      <c r="H144">
        <v>8476</v>
      </c>
      <c r="I144" t="s">
        <v>313</v>
      </c>
      <c r="J144" t="s">
        <v>314</v>
      </c>
      <c r="K144" t="s">
        <v>17</v>
      </c>
      <c r="L144" t="str">
        <f t="shared" si="2"/>
        <v xml:space="preserve">{ longitude: -63.5454759084138, latitude: 44.7148653994547, stopType: 'Bus Stop Non-Standard', gotime: \'8476\', location: \'WAVERLEY RD  AT CIVIC 408\' }, </v>
      </c>
    </row>
    <row r="145" spans="1:12" x14ac:dyDescent="0.25">
      <c r="A145">
        <v>-63.543977477320901</v>
      </c>
      <c r="B145">
        <v>44.721548612499802</v>
      </c>
      <c r="C145">
        <v>2144</v>
      </c>
      <c r="D145" t="s">
        <v>11</v>
      </c>
      <c r="E145" t="s">
        <v>12</v>
      </c>
      <c r="F145" t="s">
        <v>25</v>
      </c>
      <c r="G145" t="s">
        <v>26</v>
      </c>
      <c r="H145">
        <v>8477</v>
      </c>
      <c r="I145" t="s">
        <v>315</v>
      </c>
      <c r="J145" t="s">
        <v>316</v>
      </c>
      <c r="K145" t="s">
        <v>17</v>
      </c>
      <c r="L145" t="str">
        <f t="shared" si="2"/>
        <v xml:space="preserve">{ longitude: -63.5439774773209, latitude: 44.7215486124998, stopType: 'Bus Stop Non-Standard', gotime: \'8477\', location: \'WAVERLEY RD  AT CIVIC 706\' }, </v>
      </c>
    </row>
    <row r="146" spans="1:12" x14ac:dyDescent="0.25">
      <c r="A146">
        <v>-63.672057036844102</v>
      </c>
      <c r="B146">
        <v>44.681303436062699</v>
      </c>
      <c r="C146">
        <v>2145</v>
      </c>
      <c r="D146" t="s">
        <v>18</v>
      </c>
      <c r="E146" t="s">
        <v>12</v>
      </c>
      <c r="F146" t="s">
        <v>25</v>
      </c>
      <c r="G146" t="s">
        <v>19</v>
      </c>
      <c r="H146">
        <v>8478</v>
      </c>
      <c r="I146" t="s">
        <v>317</v>
      </c>
      <c r="J146" t="s">
        <v>318</v>
      </c>
      <c r="K146" t="s">
        <v>17</v>
      </c>
      <c r="L146" t="str">
        <f t="shared" si="2"/>
        <v xml:space="preserve">{ longitude: -63.6720570368441, latitude: 44.6813034360627, stopType: 'Bus Stop Shelter Non-Standard', gotime: \'8478\', location: \'WEDGEWOOD AVE FS EDWARD LAURIE DR\' }, </v>
      </c>
    </row>
    <row r="147" spans="1:12" x14ac:dyDescent="0.25">
      <c r="A147">
        <v>-63.6711111973515</v>
      </c>
      <c r="B147">
        <v>44.678500180856297</v>
      </c>
      <c r="C147">
        <v>2146</v>
      </c>
      <c r="D147" t="s">
        <v>103</v>
      </c>
      <c r="E147" t="s">
        <v>12</v>
      </c>
      <c r="F147" t="s">
        <v>13</v>
      </c>
      <c r="G147" t="s">
        <v>65</v>
      </c>
      <c r="H147">
        <v>8479</v>
      </c>
      <c r="I147" t="s">
        <v>319</v>
      </c>
      <c r="J147" t="s">
        <v>320</v>
      </c>
      <c r="K147" t="s">
        <v>17</v>
      </c>
      <c r="L147" t="str">
        <f t="shared" si="2"/>
        <v xml:space="preserve">{ longitude: -63.6711111973515, latitude: 44.6785001808563, stopType: 'Bus Stop Inaccessible', gotime: \'8479\', location: \'WEDGEWOOD AVE NS BEECHWOOD TERR\' }, </v>
      </c>
    </row>
    <row r="148" spans="1:12" x14ac:dyDescent="0.25">
      <c r="A148">
        <v>-63.668431051999299</v>
      </c>
      <c r="B148">
        <v>44.679936132039899</v>
      </c>
      <c r="C148">
        <v>2147</v>
      </c>
      <c r="D148" t="s">
        <v>103</v>
      </c>
      <c r="E148" t="s">
        <v>12</v>
      </c>
      <c r="F148" t="s">
        <v>25</v>
      </c>
      <c r="G148" t="s">
        <v>65</v>
      </c>
      <c r="H148">
        <v>8480</v>
      </c>
      <c r="I148" t="s">
        <v>321</v>
      </c>
      <c r="J148" t="s">
        <v>322</v>
      </c>
      <c r="K148" t="s">
        <v>17</v>
      </c>
      <c r="L148" t="str">
        <f t="shared" si="2"/>
        <v xml:space="preserve">{ longitude: -63.6684310519993, latitude: 44.6799361320399, stopType: 'Bus Stop Inaccessible', gotime: \'8480\', location: \'WEDGEWOOD AVE OPP CIVIC 17\' }, </v>
      </c>
    </row>
    <row r="149" spans="1:12" x14ac:dyDescent="0.25">
      <c r="A149">
        <v>-63.672196183315798</v>
      </c>
      <c r="B149">
        <v>44.679504500207898</v>
      </c>
      <c r="C149">
        <v>2148</v>
      </c>
      <c r="D149" t="s">
        <v>103</v>
      </c>
      <c r="E149" t="s">
        <v>12</v>
      </c>
      <c r="F149" t="s">
        <v>25</v>
      </c>
      <c r="G149" t="s">
        <v>65</v>
      </c>
      <c r="H149">
        <v>8481</v>
      </c>
      <c r="I149" t="s">
        <v>323</v>
      </c>
      <c r="J149" t="s">
        <v>324</v>
      </c>
      <c r="K149" t="s">
        <v>17</v>
      </c>
      <c r="L149" t="str">
        <f t="shared" si="2"/>
        <v xml:space="preserve">{ longitude: -63.6721961833158, latitude: 44.6795045002079, stopType: 'Bus Stop Inaccessible', gotime: \'8481\', location: \'WEDGEWOOD AVE OPP CIVIC 47\' }, </v>
      </c>
    </row>
    <row r="150" spans="1:12" x14ac:dyDescent="0.25">
      <c r="A150">
        <v>-63.531226524970798</v>
      </c>
      <c r="B150">
        <v>44.680789570021503</v>
      </c>
      <c r="C150">
        <v>2149</v>
      </c>
      <c r="D150" t="s">
        <v>11</v>
      </c>
      <c r="E150" t="s">
        <v>12</v>
      </c>
      <c r="F150" t="s">
        <v>25</v>
      </c>
      <c r="G150" t="s">
        <v>26</v>
      </c>
      <c r="H150">
        <v>8482</v>
      </c>
      <c r="I150" t="s">
        <v>325</v>
      </c>
      <c r="J150" t="s">
        <v>326</v>
      </c>
      <c r="K150" t="s">
        <v>17</v>
      </c>
      <c r="L150" t="str">
        <f t="shared" si="2"/>
        <v xml:space="preserve">{ longitude: -63.5312265249708, latitude: 44.6807895700215, stopType: 'Bus Stop Non-Standard', gotime: \'8482\', location: \'WEYBURN RD FS CIVIC 32\' }, </v>
      </c>
    </row>
    <row r="151" spans="1:12" x14ac:dyDescent="0.25">
      <c r="A151">
        <v>-63.532412555854897</v>
      </c>
      <c r="B151">
        <v>44.683492430185403</v>
      </c>
      <c r="C151">
        <v>2150</v>
      </c>
      <c r="D151" t="s">
        <v>11</v>
      </c>
      <c r="E151" t="s">
        <v>12</v>
      </c>
      <c r="F151" t="s">
        <v>13</v>
      </c>
      <c r="G151" t="s">
        <v>14</v>
      </c>
      <c r="H151">
        <v>8483</v>
      </c>
      <c r="I151" t="s">
        <v>327</v>
      </c>
      <c r="J151" t="s">
        <v>328</v>
      </c>
      <c r="K151" t="s">
        <v>17</v>
      </c>
      <c r="L151" t="str">
        <f t="shared" si="2"/>
        <v xml:space="preserve">{ longitude: -63.5324125558549, latitude: 44.6834924301854, stopType: 'Bus Stop Non-Standard', gotime: \'8483\', location: \'WEYBURN RD FS MAIN ST\' }, </v>
      </c>
    </row>
    <row r="152" spans="1:12" x14ac:dyDescent="0.25">
      <c r="A152">
        <v>-63.531815423388899</v>
      </c>
      <c r="B152">
        <v>44.6821715209269</v>
      </c>
      <c r="C152">
        <v>2151</v>
      </c>
      <c r="D152" t="s">
        <v>11</v>
      </c>
      <c r="E152" t="s">
        <v>12</v>
      </c>
      <c r="F152" t="s">
        <v>13</v>
      </c>
      <c r="G152" t="s">
        <v>14</v>
      </c>
      <c r="H152">
        <v>8484</v>
      </c>
      <c r="I152" t="s">
        <v>329</v>
      </c>
      <c r="J152" t="s">
        <v>330</v>
      </c>
      <c r="K152" t="s">
        <v>17</v>
      </c>
      <c r="L152" t="str">
        <f t="shared" si="2"/>
        <v xml:space="preserve">{ longitude: -63.5318154233889, latitude: 44.6821715209269, stopType: 'Bus Stop Non-Standard', gotime: \'8484\', location: \'WEYBURN RD NS ATHABASKAN LN\' }, </v>
      </c>
    </row>
    <row r="153" spans="1:12" x14ac:dyDescent="0.25">
      <c r="A153">
        <v>-63.509868638448999</v>
      </c>
      <c r="B153">
        <v>44.687572165515803</v>
      </c>
      <c r="C153">
        <v>2152</v>
      </c>
      <c r="D153" t="s">
        <v>18</v>
      </c>
      <c r="E153" t="s">
        <v>12</v>
      </c>
      <c r="F153" t="s">
        <v>25</v>
      </c>
      <c r="G153" t="s">
        <v>19</v>
      </c>
      <c r="H153">
        <v>7269</v>
      </c>
      <c r="I153" t="s">
        <v>331</v>
      </c>
      <c r="J153" t="s">
        <v>332</v>
      </c>
      <c r="K153" t="s">
        <v>17</v>
      </c>
      <c r="L153" t="str">
        <f t="shared" si="2"/>
        <v xml:space="preserve">{ longitude: -63.509868638449, latitude: 44.6875721655158, stopType: 'Bus Stop Shelter Non-Standard', gotime: \'7269\', location: \'MT EDWARD RD OPP STEWART HARRIS DR\' }, </v>
      </c>
    </row>
    <row r="154" spans="1:12" x14ac:dyDescent="0.25">
      <c r="A154">
        <v>-63.507901867625399</v>
      </c>
      <c r="B154">
        <v>44.677889403206301</v>
      </c>
      <c r="C154">
        <v>2153</v>
      </c>
      <c r="D154" t="s">
        <v>29</v>
      </c>
      <c r="E154" t="s">
        <v>12</v>
      </c>
      <c r="F154" t="s">
        <v>25</v>
      </c>
      <c r="G154" t="s">
        <v>19</v>
      </c>
      <c r="H154">
        <v>9016</v>
      </c>
      <c r="I154" t="s">
        <v>333</v>
      </c>
      <c r="J154" t="s">
        <v>334</v>
      </c>
      <c r="K154" t="s">
        <v>17</v>
      </c>
      <c r="L154" t="str">
        <f t="shared" si="2"/>
        <v xml:space="preserve">{ longitude: -63.5079018676254, latitude: 44.6778894032063, stopType: 'Bus Stop Accessible', gotime: \'9016\', location: \'DORTHEA DR FS SWANTON DR\' }, </v>
      </c>
    </row>
    <row r="155" spans="1:12" x14ac:dyDescent="0.25">
      <c r="A155">
        <v>-63.505402462478401</v>
      </c>
      <c r="B155">
        <v>44.676526703589403</v>
      </c>
      <c r="C155">
        <v>2154</v>
      </c>
      <c r="D155" t="s">
        <v>29</v>
      </c>
      <c r="E155" t="s">
        <v>12</v>
      </c>
      <c r="F155" t="s">
        <v>25</v>
      </c>
      <c r="G155" t="s">
        <v>19</v>
      </c>
      <c r="H155">
        <v>9017</v>
      </c>
      <c r="I155" t="s">
        <v>335</v>
      </c>
      <c r="J155" t="s">
        <v>336</v>
      </c>
      <c r="K155" t="s">
        <v>17</v>
      </c>
      <c r="L155" t="str">
        <f t="shared" si="2"/>
        <v xml:space="preserve">{ longitude: -63.5054024624784, latitude: 44.6765267035894, stopType: 'Bus Stop Accessible', gotime: \'9017\', location: \'DORTHEA DR CIVIC 58\' }, </v>
      </c>
    </row>
    <row r="156" spans="1:12" x14ac:dyDescent="0.25">
      <c r="A156">
        <v>-63.503840282811602</v>
      </c>
      <c r="B156">
        <v>44.674209157605503</v>
      </c>
      <c r="C156">
        <v>2155</v>
      </c>
      <c r="D156" t="s">
        <v>29</v>
      </c>
      <c r="E156" t="s">
        <v>12</v>
      </c>
      <c r="F156" t="s">
        <v>25</v>
      </c>
      <c r="G156" t="s">
        <v>19</v>
      </c>
      <c r="H156">
        <v>9018</v>
      </c>
      <c r="I156" t="s">
        <v>337</v>
      </c>
      <c r="J156" t="s">
        <v>338</v>
      </c>
      <c r="K156" t="s">
        <v>17</v>
      </c>
      <c r="L156" t="str">
        <f t="shared" si="2"/>
        <v xml:space="preserve">{ longitude: -63.5038402828116, latitude: 44.6742091576055, stopType: 'Bus Stop Accessible', gotime: \'9018\', location: \'DORTHEA DR CIVIC 26\' }, </v>
      </c>
    </row>
    <row r="157" spans="1:12" x14ac:dyDescent="0.25">
      <c r="A157">
        <v>-63.603091241188501</v>
      </c>
      <c r="B157">
        <v>44.658966985347803</v>
      </c>
      <c r="C157">
        <v>2156</v>
      </c>
      <c r="D157" t="s">
        <v>11</v>
      </c>
      <c r="E157" t="s">
        <v>12</v>
      </c>
      <c r="F157" t="s">
        <v>13</v>
      </c>
      <c r="G157" t="s">
        <v>14</v>
      </c>
      <c r="H157">
        <v>9019</v>
      </c>
      <c r="I157" t="s">
        <v>339</v>
      </c>
      <c r="J157" t="s">
        <v>340</v>
      </c>
      <c r="K157" t="s">
        <v>17</v>
      </c>
      <c r="L157" t="str">
        <f t="shared" si="2"/>
        <v xml:space="preserve">{ longitude: -63.6030912411885, latitude: 44.6589669853478, stopType: 'Bus Stop Non-Standard', gotime: \'9019\', location: \'YOUNG ST &lt;EB&gt; AT COAST TIRE\' }, </v>
      </c>
    </row>
    <row r="158" spans="1:12" x14ac:dyDescent="0.25">
      <c r="A158">
        <v>-63.5624886371359</v>
      </c>
      <c r="B158">
        <v>44.569362921100499</v>
      </c>
      <c r="C158">
        <v>2157</v>
      </c>
      <c r="D158" t="s">
        <v>103</v>
      </c>
      <c r="E158" t="s">
        <v>12</v>
      </c>
      <c r="F158" t="s">
        <v>25</v>
      </c>
      <c r="G158" t="s">
        <v>19</v>
      </c>
      <c r="H158">
        <v>9020</v>
      </c>
      <c r="I158" t="s">
        <v>341</v>
      </c>
      <c r="J158" t="s">
        <v>342</v>
      </c>
      <c r="K158" t="s">
        <v>17</v>
      </c>
      <c r="L158" t="str">
        <f t="shared" si="2"/>
        <v xml:space="preserve">{ longitude: -63.5624886371359, latitude: 44.5693629211005, stopType: 'Bus Stop Inaccessible', gotime: \'9020\', location: \'LANCASTER DR NS ST. PAUL AVE\' }, </v>
      </c>
    </row>
    <row r="159" spans="1:12" x14ac:dyDescent="0.25">
      <c r="A159">
        <v>-63.630960863891602</v>
      </c>
      <c r="B159">
        <v>44.600153047775599</v>
      </c>
      <c r="C159">
        <v>2158</v>
      </c>
      <c r="D159" t="s">
        <v>29</v>
      </c>
      <c r="E159" t="s">
        <v>12</v>
      </c>
      <c r="F159" t="s">
        <v>25</v>
      </c>
      <c r="G159" t="s">
        <v>19</v>
      </c>
      <c r="H159">
        <v>9021</v>
      </c>
      <c r="I159" t="s">
        <v>343</v>
      </c>
      <c r="J159" t="s">
        <v>344</v>
      </c>
      <c r="K159" t="s">
        <v>17</v>
      </c>
      <c r="L159" t="str">
        <f t="shared" si="2"/>
        <v xml:space="preserve">{ longitude: -63.6309608638916, latitude: 44.6001530477756, stopType: 'Bus Stop Accessible', gotime: \'9021\', location: \'LEIBLIN DR. AT SPORTSFIELD\' }, </v>
      </c>
    </row>
    <row r="160" spans="1:12" x14ac:dyDescent="0.25">
      <c r="A160">
        <v>-63.6774129700473</v>
      </c>
      <c r="B160">
        <v>44.713750046792299</v>
      </c>
      <c r="C160">
        <v>2159</v>
      </c>
      <c r="D160" t="s">
        <v>29</v>
      </c>
      <c r="E160" t="s">
        <v>12</v>
      </c>
      <c r="F160" t="s">
        <v>25</v>
      </c>
      <c r="G160" t="s">
        <v>19</v>
      </c>
      <c r="H160">
        <v>9023</v>
      </c>
      <c r="I160" t="s">
        <v>345</v>
      </c>
      <c r="J160" t="s">
        <v>346</v>
      </c>
      <c r="K160" t="s">
        <v>17</v>
      </c>
      <c r="L160" t="str">
        <f t="shared" si="2"/>
        <v xml:space="preserve">{ longitude: -63.6774129700473, latitude: 44.7137500467923, stopType: 'Bus Stop Accessible', gotime: \'9023\', location: \'BEDFORD HIGHWAY OPP MOIRS MILL RD\' }, </v>
      </c>
    </row>
    <row r="161" spans="1:12" x14ac:dyDescent="0.25">
      <c r="A161">
        <v>-63.6683788731806</v>
      </c>
      <c r="B161">
        <v>44.725034631011098</v>
      </c>
      <c r="C161">
        <v>2160</v>
      </c>
      <c r="D161" t="s">
        <v>22</v>
      </c>
      <c r="E161" t="s">
        <v>12</v>
      </c>
      <c r="F161" t="s">
        <v>13</v>
      </c>
      <c r="G161" t="s">
        <v>19</v>
      </c>
      <c r="H161">
        <v>9024</v>
      </c>
      <c r="I161" t="s">
        <v>347</v>
      </c>
      <c r="J161" t="s">
        <v>348</v>
      </c>
      <c r="K161" t="s">
        <v>17</v>
      </c>
      <c r="L161" t="str">
        <f t="shared" si="2"/>
        <v xml:space="preserve">{ longitude: -63.6683788731806, latitude: 44.7250346310111, stopType: 'Bus Stop Shelter Accessible', gotime: \'9024\', location: \'BEDFORD HIGHWAY OPP MEADOWBROOK DR\' }, </v>
      </c>
    </row>
    <row r="162" spans="1:12" x14ac:dyDescent="0.25">
      <c r="A162">
        <v>-63.6759486101951</v>
      </c>
      <c r="B162">
        <v>44.673735813149797</v>
      </c>
      <c r="C162">
        <v>2161</v>
      </c>
      <c r="D162" t="s">
        <v>29</v>
      </c>
      <c r="E162" t="s">
        <v>12</v>
      </c>
      <c r="F162" t="s">
        <v>25</v>
      </c>
      <c r="G162" t="s">
        <v>19</v>
      </c>
      <c r="H162">
        <v>9025</v>
      </c>
      <c r="I162" t="s">
        <v>349</v>
      </c>
      <c r="J162" t="s">
        <v>350</v>
      </c>
      <c r="K162" t="s">
        <v>17</v>
      </c>
      <c r="L162" t="str">
        <f t="shared" si="2"/>
        <v xml:space="preserve">{ longitude: -63.6759486101951, latitude: 44.6737358131498, stopType: 'Bus Stop Accessible', gotime: \'9025\', location: \'PARKLAND DR FS HEATHSIDE\' }, </v>
      </c>
    </row>
    <row r="163" spans="1:12" x14ac:dyDescent="0.25">
      <c r="A163">
        <v>-63.677128740980201</v>
      </c>
      <c r="B163">
        <v>44.675904258156898</v>
      </c>
      <c r="C163">
        <v>2162</v>
      </c>
      <c r="D163" t="s">
        <v>29</v>
      </c>
      <c r="E163" t="s">
        <v>12</v>
      </c>
      <c r="F163" t="s">
        <v>25</v>
      </c>
      <c r="G163" t="s">
        <v>19</v>
      </c>
      <c r="H163">
        <v>9026</v>
      </c>
      <c r="I163" t="s">
        <v>351</v>
      </c>
      <c r="J163" t="s">
        <v>352</v>
      </c>
      <c r="K163" t="s">
        <v>17</v>
      </c>
      <c r="L163" t="str">
        <f t="shared" si="2"/>
        <v xml:space="preserve">{ longitude: -63.6771287409802, latitude: 44.6759042581569, stopType: 'Bus Stop Accessible', gotime: \'9026\', location: \'PARKLAND DR OPP CIVIC 634\' }, </v>
      </c>
    </row>
    <row r="164" spans="1:12" x14ac:dyDescent="0.25">
      <c r="A164">
        <v>-63.618701130350701</v>
      </c>
      <c r="B164">
        <v>44.632069120488403</v>
      </c>
      <c r="C164">
        <v>2163</v>
      </c>
      <c r="D164" t="s">
        <v>29</v>
      </c>
      <c r="E164" t="s">
        <v>12</v>
      </c>
      <c r="F164" t="s">
        <v>13</v>
      </c>
      <c r="G164" t="s">
        <v>14</v>
      </c>
      <c r="H164">
        <v>6856</v>
      </c>
      <c r="I164" t="s">
        <v>353</v>
      </c>
      <c r="J164" t="s">
        <v>354</v>
      </c>
      <c r="K164" t="s">
        <v>17</v>
      </c>
      <c r="L164" t="str">
        <f t="shared" si="2"/>
        <v xml:space="preserve">{ longitude: -63.6187011303507, latitude: 44.6320691204884, stopType: 'Bus Stop Accessible', gotime: \'6856\', location: \'HERRING COVE RD FS COWIE HILL RD\' }, </v>
      </c>
    </row>
    <row r="165" spans="1:12" x14ac:dyDescent="0.25">
      <c r="A165">
        <v>-63.617872598445203</v>
      </c>
      <c r="B165">
        <v>44.612462125302898</v>
      </c>
      <c r="C165">
        <v>2164</v>
      </c>
      <c r="D165" t="s">
        <v>29</v>
      </c>
      <c r="E165" t="s">
        <v>12</v>
      </c>
      <c r="F165" t="s">
        <v>13</v>
      </c>
      <c r="G165" t="s">
        <v>14</v>
      </c>
      <c r="H165">
        <v>6857</v>
      </c>
      <c r="I165" t="s">
        <v>355</v>
      </c>
      <c r="J165" t="s">
        <v>356</v>
      </c>
      <c r="K165" t="s">
        <v>17</v>
      </c>
      <c r="L165" t="str">
        <f t="shared" si="2"/>
        <v xml:space="preserve">{ longitude: -63.6178725984452, latitude: 44.6124621253029, stopType: 'Bus Stop Accessible', gotime: \'6857\', location: \'HERRING COVE RD FS DENTITH RD\' }, </v>
      </c>
    </row>
    <row r="166" spans="1:12" x14ac:dyDescent="0.25">
      <c r="A166">
        <v>-63.614333432746903</v>
      </c>
      <c r="B166">
        <v>44.606766189987397</v>
      </c>
      <c r="C166">
        <v>2165</v>
      </c>
      <c r="D166" t="s">
        <v>22</v>
      </c>
      <c r="E166" t="s">
        <v>12</v>
      </c>
      <c r="F166" t="s">
        <v>25</v>
      </c>
      <c r="G166" t="s">
        <v>19</v>
      </c>
      <c r="H166">
        <v>6858</v>
      </c>
      <c r="I166" t="s">
        <v>357</v>
      </c>
      <c r="J166" t="s">
        <v>358</v>
      </c>
      <c r="K166" t="s">
        <v>17</v>
      </c>
      <c r="L166" t="str">
        <f t="shared" si="2"/>
        <v xml:space="preserve">{ longitude: -63.6143334327469, latitude: 44.6067661899874, stopType: 'Bus Stop Shelter Accessible', gotime: \'6858\', location: \'HERRING COVE RD FS DRYSALE RD\' }, </v>
      </c>
    </row>
    <row r="167" spans="1:12" x14ac:dyDescent="0.25">
      <c r="A167">
        <v>-63.593856866621003</v>
      </c>
      <c r="B167">
        <v>44.589226848377699</v>
      </c>
      <c r="C167">
        <v>2166</v>
      </c>
      <c r="D167" t="s">
        <v>18</v>
      </c>
      <c r="E167" t="s">
        <v>12</v>
      </c>
      <c r="F167" t="s">
        <v>25</v>
      </c>
      <c r="G167" t="s">
        <v>26</v>
      </c>
      <c r="H167">
        <v>6859</v>
      </c>
      <c r="I167" t="s">
        <v>359</v>
      </c>
      <c r="J167" t="s">
        <v>360</v>
      </c>
      <c r="K167" t="s">
        <v>17</v>
      </c>
      <c r="L167" t="str">
        <f t="shared" si="2"/>
        <v xml:space="preserve">{ longitude: -63.593856866621, latitude: 44.5892268483777, stopType: 'Bus Stop Shelter Non-Standard', gotime: \'6859\', location: \'HERRING COVE RD FS FOTHERBY AVE\' }, </v>
      </c>
    </row>
    <row r="168" spans="1:12" x14ac:dyDescent="0.25">
      <c r="A168">
        <v>-63.616402296206701</v>
      </c>
      <c r="B168">
        <v>44.627994157855603</v>
      </c>
      <c r="C168">
        <v>2167</v>
      </c>
      <c r="D168" t="s">
        <v>22</v>
      </c>
      <c r="E168" t="s">
        <v>12</v>
      </c>
      <c r="F168" t="s">
        <v>13</v>
      </c>
      <c r="G168" t="s">
        <v>14</v>
      </c>
      <c r="H168">
        <v>6860</v>
      </c>
      <c r="I168" t="s">
        <v>361</v>
      </c>
      <c r="J168" t="s">
        <v>362</v>
      </c>
      <c r="K168" t="s">
        <v>17</v>
      </c>
      <c r="L168" t="str">
        <f t="shared" si="2"/>
        <v xml:space="preserve">{ longitude: -63.6164022962067, latitude: 44.6279941578556, stopType: 'Bus Stop Shelter Accessible', gotime: \'6860\', location: \'HERRING COVE RD FS GLENORA AVE\' }, </v>
      </c>
    </row>
    <row r="169" spans="1:12" x14ac:dyDescent="0.25">
      <c r="A169">
        <v>-63.599759520463898</v>
      </c>
      <c r="B169">
        <v>44.595204435793399</v>
      </c>
      <c r="C169">
        <v>2168</v>
      </c>
      <c r="D169" t="s">
        <v>64</v>
      </c>
      <c r="E169" t="s">
        <v>12</v>
      </c>
      <c r="F169" t="s">
        <v>25</v>
      </c>
      <c r="G169" t="s">
        <v>65</v>
      </c>
      <c r="H169">
        <v>6861</v>
      </c>
      <c r="I169" t="s">
        <v>363</v>
      </c>
      <c r="J169" t="s">
        <v>364</v>
      </c>
      <c r="K169" t="s">
        <v>17</v>
      </c>
      <c r="L169" t="str">
        <f t="shared" si="2"/>
        <v xml:space="preserve">{ longitude: -63.5997595204639, latitude: 44.5952044357934, stopType: 'Bus Stop Shelter Inaccessible', gotime: \'6861\', location: \'HERRING COVE RD FS GREEN ACRES RD\' }, </v>
      </c>
    </row>
    <row r="170" spans="1:12" x14ac:dyDescent="0.25">
      <c r="A170">
        <v>-63.5993393814882</v>
      </c>
      <c r="B170">
        <v>44.594679131706798</v>
      </c>
      <c r="C170">
        <v>2169</v>
      </c>
      <c r="D170" t="s">
        <v>11</v>
      </c>
      <c r="E170" t="s">
        <v>12</v>
      </c>
      <c r="F170" t="s">
        <v>25</v>
      </c>
      <c r="G170" t="s">
        <v>26</v>
      </c>
      <c r="H170">
        <v>6862</v>
      </c>
      <c r="I170" t="s">
        <v>365</v>
      </c>
      <c r="J170" t="s">
        <v>366</v>
      </c>
      <c r="K170" t="s">
        <v>17</v>
      </c>
      <c r="L170" t="str">
        <f t="shared" si="2"/>
        <v xml:space="preserve">{ longitude: -63.5993393814882, latitude: 44.5946791317068, stopType: 'Bus Stop Non-Standard', gotime: \'6862\', location: \'HERRING COVE RD OPP GREEN ACRES RD\' }, </v>
      </c>
    </row>
    <row r="171" spans="1:12" x14ac:dyDescent="0.25">
      <c r="A171">
        <v>-63.616493103610701</v>
      </c>
      <c r="B171">
        <v>44.613674267705399</v>
      </c>
      <c r="C171">
        <v>2170</v>
      </c>
      <c r="D171" t="s">
        <v>22</v>
      </c>
      <c r="E171" t="s">
        <v>12</v>
      </c>
      <c r="F171" t="s">
        <v>13</v>
      </c>
      <c r="G171" t="s">
        <v>14</v>
      </c>
      <c r="H171">
        <v>6863</v>
      </c>
      <c r="I171" t="s">
        <v>367</v>
      </c>
      <c r="J171" t="s">
        <v>368</v>
      </c>
      <c r="K171" t="s">
        <v>17</v>
      </c>
      <c r="L171" t="str">
        <f t="shared" si="2"/>
        <v xml:space="preserve">{ longitude: -63.6164931036107, latitude: 44.6136742677054, stopType: 'Bus Stop Shelter Accessible', gotime: \'6863\', location: \'HERRING COVE RD FS HARTLEN AVE\' }, </v>
      </c>
    </row>
    <row r="172" spans="1:12" x14ac:dyDescent="0.25">
      <c r="A172">
        <v>-63.616971090126597</v>
      </c>
      <c r="B172">
        <v>44.6103432587215</v>
      </c>
      <c r="C172">
        <v>2171</v>
      </c>
      <c r="D172" t="s">
        <v>29</v>
      </c>
      <c r="E172" t="s">
        <v>12</v>
      </c>
      <c r="F172" t="s">
        <v>13</v>
      </c>
      <c r="G172" t="s">
        <v>14</v>
      </c>
      <c r="H172">
        <v>6864</v>
      </c>
      <c r="I172" t="s">
        <v>369</v>
      </c>
      <c r="J172" t="s">
        <v>370</v>
      </c>
      <c r="K172" t="s">
        <v>17</v>
      </c>
      <c r="L172" t="str">
        <f t="shared" si="2"/>
        <v xml:space="preserve">{ longitude: -63.6169710901266, latitude: 44.6103432587215, stopType: 'Bus Stop Accessible', gotime: \'6864\', location: \'HERRING COVE RD FS LEVIS ST\' }, </v>
      </c>
    </row>
    <row r="173" spans="1:12" x14ac:dyDescent="0.25">
      <c r="A173">
        <v>-63.588708762822598</v>
      </c>
      <c r="B173">
        <v>44.585197955100803</v>
      </c>
      <c r="C173">
        <v>2172</v>
      </c>
      <c r="D173" t="s">
        <v>103</v>
      </c>
      <c r="E173" t="s">
        <v>12</v>
      </c>
      <c r="F173" t="s">
        <v>13</v>
      </c>
      <c r="G173" t="s">
        <v>65</v>
      </c>
      <c r="H173">
        <v>6865</v>
      </c>
      <c r="I173" t="s">
        <v>371</v>
      </c>
      <c r="J173" t="s">
        <v>372</v>
      </c>
      <c r="K173" t="s">
        <v>17</v>
      </c>
      <c r="L173" t="str">
        <f t="shared" si="2"/>
        <v xml:space="preserve">{ longitude: -63.5887087628226, latitude: 44.5851979551008, stopType: 'Bus Stop Inaccessible', gotime: \'6865\', location: \'HERRING COVE RD FS SARAH DR\' }, </v>
      </c>
    </row>
    <row r="174" spans="1:12" x14ac:dyDescent="0.25">
      <c r="A174">
        <v>-63.617498964128401</v>
      </c>
      <c r="B174">
        <v>44.6124828182055</v>
      </c>
      <c r="C174">
        <v>2173</v>
      </c>
      <c r="D174" t="s">
        <v>29</v>
      </c>
      <c r="E174" t="s">
        <v>12</v>
      </c>
      <c r="F174" t="s">
        <v>13</v>
      </c>
      <c r="G174" t="s">
        <v>14</v>
      </c>
      <c r="H174">
        <v>6866</v>
      </c>
      <c r="I174" t="s">
        <v>373</v>
      </c>
      <c r="J174" t="s">
        <v>374</v>
      </c>
      <c r="K174" t="s">
        <v>17</v>
      </c>
      <c r="L174" t="str">
        <f t="shared" si="2"/>
        <v xml:space="preserve">{ longitude: -63.6174989641284, latitude: 44.6124828182055, stopType: 'Bus Stop Accessible', gotime: \'6866\', location: \'HERRING COVE RD FS SUSSEX ST\' }, </v>
      </c>
    </row>
    <row r="175" spans="1:12" x14ac:dyDescent="0.25">
      <c r="A175">
        <v>-63.614448766224498</v>
      </c>
      <c r="B175">
        <v>44.616138964815597</v>
      </c>
      <c r="C175">
        <v>2174</v>
      </c>
      <c r="D175" t="s">
        <v>22</v>
      </c>
      <c r="E175" t="s">
        <v>12</v>
      </c>
      <c r="F175" t="s">
        <v>13</v>
      </c>
      <c r="G175" t="s">
        <v>19</v>
      </c>
      <c r="H175">
        <v>6867</v>
      </c>
      <c r="I175" t="s">
        <v>375</v>
      </c>
      <c r="J175" t="s">
        <v>376</v>
      </c>
      <c r="K175" t="s">
        <v>17</v>
      </c>
      <c r="L175" t="str">
        <f t="shared" si="2"/>
        <v xml:space="preserve">{ longitude: -63.6144487662245, latitude: 44.6161389648156, stopType: 'Bus Stop Shelter Accessible', gotime: \'6867\', location: \'HERRING COVE RD FS WILLIAMS LAKE RD\' }, </v>
      </c>
    </row>
    <row r="176" spans="1:12" x14ac:dyDescent="0.25">
      <c r="A176">
        <v>-63.622103114111802</v>
      </c>
      <c r="B176">
        <v>44.6356970401742</v>
      </c>
      <c r="C176">
        <v>2175</v>
      </c>
      <c r="D176" t="s">
        <v>11</v>
      </c>
      <c r="E176" t="s">
        <v>12</v>
      </c>
      <c r="F176" t="s">
        <v>13</v>
      </c>
      <c r="G176" t="s">
        <v>14</v>
      </c>
      <c r="H176">
        <v>6868</v>
      </c>
      <c r="I176" t="s">
        <v>377</v>
      </c>
      <c r="J176" t="s">
        <v>378</v>
      </c>
      <c r="K176" t="s">
        <v>17</v>
      </c>
      <c r="L176" t="str">
        <f t="shared" si="2"/>
        <v xml:space="preserve">{ longitude: -63.6221031141118, latitude: 44.6356970401742, stopType: 'Bus Stop Non-Standard', gotime: \'6868\', location: \'HERRING COVE RD FS WITHROD DR\' }, </v>
      </c>
    </row>
    <row r="177" spans="1:12" x14ac:dyDescent="0.25">
      <c r="A177">
        <v>-63.617171188737103</v>
      </c>
      <c r="B177">
        <v>44.6287592375472</v>
      </c>
      <c r="C177">
        <v>2176</v>
      </c>
      <c r="D177" t="s">
        <v>29</v>
      </c>
      <c r="E177" t="s">
        <v>12</v>
      </c>
      <c r="F177" t="s">
        <v>13</v>
      </c>
      <c r="G177" t="s">
        <v>14</v>
      </c>
      <c r="H177">
        <v>6869</v>
      </c>
      <c r="I177" t="s">
        <v>379</v>
      </c>
      <c r="J177" t="s">
        <v>380</v>
      </c>
      <c r="K177" t="s">
        <v>17</v>
      </c>
      <c r="L177" t="str">
        <f t="shared" si="2"/>
        <v xml:space="preserve">{ longitude: -63.6171711887371, latitude: 44.6287592375472, stopType: 'Bus Stop Accessible', gotime: \'6869\', location: \'HERRING COVE RD AT CIVIC 135\' }, </v>
      </c>
    </row>
    <row r="178" spans="1:12" x14ac:dyDescent="0.25">
      <c r="A178">
        <v>-63.617655077369797</v>
      </c>
      <c r="B178">
        <v>44.623056920577397</v>
      </c>
      <c r="C178">
        <v>2177</v>
      </c>
      <c r="D178" t="s">
        <v>29</v>
      </c>
      <c r="E178" t="s">
        <v>12</v>
      </c>
      <c r="F178" t="s">
        <v>13</v>
      </c>
      <c r="G178" t="s">
        <v>14</v>
      </c>
      <c r="H178">
        <v>6870</v>
      </c>
      <c r="I178" t="s">
        <v>381</v>
      </c>
      <c r="J178" t="s">
        <v>382</v>
      </c>
      <c r="K178" t="s">
        <v>17</v>
      </c>
      <c r="L178" t="str">
        <f t="shared" si="2"/>
        <v xml:space="preserve">{ longitude: -63.6176550773698, latitude: 44.6230569205774, stopType: 'Bus Stop Accessible', gotime: \'6870\', location: \'HERRING COVE RD AT CIVIC 204\' }, </v>
      </c>
    </row>
    <row r="179" spans="1:12" x14ac:dyDescent="0.25">
      <c r="A179">
        <v>-63.617953462881196</v>
      </c>
      <c r="B179">
        <v>44.622892009089298</v>
      </c>
      <c r="C179">
        <v>2178</v>
      </c>
      <c r="D179" t="s">
        <v>29</v>
      </c>
      <c r="E179" t="s">
        <v>12</v>
      </c>
      <c r="F179" t="s">
        <v>13</v>
      </c>
      <c r="G179" t="s">
        <v>14</v>
      </c>
      <c r="H179">
        <v>6871</v>
      </c>
      <c r="I179" t="s">
        <v>383</v>
      </c>
      <c r="J179" t="s">
        <v>384</v>
      </c>
      <c r="K179" t="s">
        <v>17</v>
      </c>
      <c r="L179" t="str">
        <f t="shared" si="2"/>
        <v xml:space="preserve">{ longitude: -63.6179534628812, latitude: 44.6228920090893, stopType: 'Bus Stop Accessible', gotime: \'6871\', location: \'HERRING COVE RD AT CIVIC 213\' }, </v>
      </c>
    </row>
    <row r="180" spans="1:12" x14ac:dyDescent="0.25">
      <c r="A180">
        <v>-63.561411323608702</v>
      </c>
      <c r="B180">
        <v>44.673040889705</v>
      </c>
      <c r="C180">
        <v>2179</v>
      </c>
      <c r="D180" t="s">
        <v>103</v>
      </c>
      <c r="E180" t="s">
        <v>12</v>
      </c>
      <c r="F180" t="s">
        <v>25</v>
      </c>
      <c r="G180" t="s">
        <v>65</v>
      </c>
      <c r="H180">
        <v>6838</v>
      </c>
      <c r="I180" t="s">
        <v>385</v>
      </c>
      <c r="J180" t="s">
        <v>386</v>
      </c>
      <c r="K180" t="s">
        <v>17</v>
      </c>
      <c r="L180" t="str">
        <f t="shared" si="2"/>
        <v xml:space="preserve">{ longitude: -63.5614113236087, latitude: 44.673040889705, stopType: 'Bus Stop Inaccessible', gotime: \'6838\', location: \'HAWTHORNE ST NS PRINCE ALBERT RD\' }, </v>
      </c>
    </row>
    <row r="181" spans="1:12" x14ac:dyDescent="0.25">
      <c r="A181">
        <v>-63.562988837816597</v>
      </c>
      <c r="B181">
        <v>44.673764822847502</v>
      </c>
      <c r="C181">
        <v>2180</v>
      </c>
      <c r="D181" t="s">
        <v>11</v>
      </c>
      <c r="E181" t="s">
        <v>12</v>
      </c>
      <c r="F181" t="s">
        <v>25</v>
      </c>
      <c r="G181" t="s">
        <v>26</v>
      </c>
      <c r="H181">
        <v>6839</v>
      </c>
      <c r="I181" t="s">
        <v>387</v>
      </c>
      <c r="J181" t="s">
        <v>388</v>
      </c>
      <c r="K181" t="s">
        <v>17</v>
      </c>
      <c r="L181" t="str">
        <f t="shared" si="2"/>
        <v xml:space="preserve">{ longitude: -63.5629888378166, latitude: 44.6737648228475, stopType: 'Bus Stop Non-Standard', gotime: \'6839\', location: \'HAWTHORNE ST OPP CIVIC 113\' }, </v>
      </c>
    </row>
    <row r="182" spans="1:12" x14ac:dyDescent="0.25">
      <c r="A182">
        <v>-63.564087147433703</v>
      </c>
      <c r="B182">
        <v>44.570960012788902</v>
      </c>
      <c r="C182">
        <v>2181</v>
      </c>
      <c r="D182" t="s">
        <v>11</v>
      </c>
      <c r="E182" t="s">
        <v>12</v>
      </c>
      <c r="F182" t="s">
        <v>25</v>
      </c>
      <c r="G182" t="s">
        <v>26</v>
      </c>
      <c r="H182">
        <v>6843</v>
      </c>
      <c r="I182" t="s">
        <v>389</v>
      </c>
      <c r="J182" t="s">
        <v>390</v>
      </c>
      <c r="K182" t="s">
        <v>17</v>
      </c>
      <c r="L182" t="str">
        <f t="shared" si="2"/>
        <v xml:space="preserve">{ longitude: -63.5640871474337, latitude: 44.5709600127889, stopType: 'Bus Stop Non-Standard', gotime: \'6843\', location: \'HEBRIDEAN DR AT CIVIC 78\' }, </v>
      </c>
    </row>
    <row r="183" spans="1:12" x14ac:dyDescent="0.25">
      <c r="A183">
        <v>-63.619695278655897</v>
      </c>
      <c r="B183">
        <v>44.633780089134902</v>
      </c>
      <c r="C183">
        <v>2182</v>
      </c>
      <c r="D183" t="s">
        <v>29</v>
      </c>
      <c r="E183" t="s">
        <v>12</v>
      </c>
      <c r="F183" t="s">
        <v>25</v>
      </c>
      <c r="G183" t="s">
        <v>26</v>
      </c>
      <c r="H183">
        <v>6844</v>
      </c>
      <c r="I183" t="s">
        <v>391</v>
      </c>
      <c r="J183" t="s">
        <v>392</v>
      </c>
      <c r="K183" t="s">
        <v>17</v>
      </c>
      <c r="L183" t="str">
        <f t="shared" si="2"/>
        <v xml:space="preserve">{ longitude: -63.6196952786559, latitude: 44.6337800891349, stopType: 'Bus Stop Accessible', gotime: \'6844\', location: \'HERRING COVE RD AT CIVIC 65\' }, </v>
      </c>
    </row>
    <row r="184" spans="1:12" x14ac:dyDescent="0.25">
      <c r="A184">
        <v>-63.615341743578902</v>
      </c>
      <c r="B184">
        <v>44.618454159124902</v>
      </c>
      <c r="C184">
        <v>2183</v>
      </c>
      <c r="D184" t="s">
        <v>29</v>
      </c>
      <c r="E184" t="s">
        <v>12</v>
      </c>
      <c r="F184" t="s">
        <v>13</v>
      </c>
      <c r="G184" t="s">
        <v>14</v>
      </c>
      <c r="H184">
        <v>6845</v>
      </c>
      <c r="I184" t="s">
        <v>393</v>
      </c>
      <c r="J184" t="s">
        <v>394</v>
      </c>
      <c r="K184" t="s">
        <v>17</v>
      </c>
      <c r="L184" t="str">
        <f t="shared" si="2"/>
        <v xml:space="preserve">{ longitude: -63.6153417435789, latitude: 44.6184541591249, stopType: 'Bus Stop Accessible', gotime: \'6845\', location: \'HERRING COVE RD OPP CLOVIS ST\' }, </v>
      </c>
    </row>
    <row r="185" spans="1:12" x14ac:dyDescent="0.25">
      <c r="A185">
        <v>-63.6008713807229</v>
      </c>
      <c r="B185">
        <v>44.595798185303799</v>
      </c>
      <c r="C185">
        <v>2184</v>
      </c>
      <c r="D185" t="s">
        <v>11</v>
      </c>
      <c r="E185" t="s">
        <v>12</v>
      </c>
      <c r="F185" t="s">
        <v>25</v>
      </c>
      <c r="G185" t="s">
        <v>26</v>
      </c>
      <c r="H185">
        <v>6846</v>
      </c>
      <c r="I185" t="s">
        <v>395</v>
      </c>
      <c r="J185" t="s">
        <v>396</v>
      </c>
      <c r="K185" t="s">
        <v>17</v>
      </c>
      <c r="L185" t="str">
        <f t="shared" si="2"/>
        <v xml:space="preserve">{ longitude: -63.6008713807229, latitude: 44.5957981853038, stopType: 'Bus Stop Non-Standard', gotime: \'6846\', location: \'HERRING COVE RD AT CIVIC 611\' }, </v>
      </c>
    </row>
    <row r="186" spans="1:12" x14ac:dyDescent="0.25">
      <c r="A186">
        <v>-63.592814745842297</v>
      </c>
      <c r="B186">
        <v>44.588210590419699</v>
      </c>
      <c r="C186">
        <v>2185</v>
      </c>
      <c r="D186" t="s">
        <v>11</v>
      </c>
      <c r="E186" t="s">
        <v>12</v>
      </c>
      <c r="F186" t="s">
        <v>25</v>
      </c>
      <c r="G186" t="s">
        <v>26</v>
      </c>
      <c r="H186">
        <v>6847</v>
      </c>
      <c r="I186" t="s">
        <v>397</v>
      </c>
      <c r="J186" s="1" t="s">
        <v>398</v>
      </c>
      <c r="K186" t="s">
        <v>17</v>
      </c>
      <c r="L186" t="str">
        <f t="shared" si="2"/>
        <v xml:space="preserve">{ longitude: -63.5928147458423, latitude: 44.5882105904197, stopType: 'Bus Stop Non-Standard', gotime: \'6847\', location: \'HERRING COVE RD AT PARKMOOR AVE\' }, </v>
      </c>
    </row>
    <row r="187" spans="1:12" x14ac:dyDescent="0.25">
      <c r="A187">
        <v>-63.617172568861498</v>
      </c>
      <c r="B187">
        <v>44.6253925117081</v>
      </c>
      <c r="C187">
        <v>2186</v>
      </c>
      <c r="D187" t="s">
        <v>29</v>
      </c>
      <c r="E187" t="s">
        <v>12</v>
      </c>
      <c r="F187" t="s">
        <v>13</v>
      </c>
      <c r="G187" t="s">
        <v>14</v>
      </c>
      <c r="H187">
        <v>6848</v>
      </c>
      <c r="I187" t="s">
        <v>399</v>
      </c>
      <c r="J187" t="s">
        <v>400</v>
      </c>
      <c r="K187" t="s">
        <v>17</v>
      </c>
      <c r="L187" t="str">
        <f t="shared" si="2"/>
        <v xml:space="preserve">{ longitude: -63.6171725688615, latitude: 44.6253925117081, stopType: 'Bus Stop Accessible', gotime: \'6848\', location: \'HERRING COVE RD FS HIGHFIELD ST\' }, </v>
      </c>
    </row>
    <row r="188" spans="1:12" x14ac:dyDescent="0.25">
      <c r="A188">
        <v>-63.609744044522699</v>
      </c>
      <c r="B188">
        <v>44.602344885075198</v>
      </c>
      <c r="C188">
        <v>2187</v>
      </c>
      <c r="D188" t="s">
        <v>11</v>
      </c>
      <c r="E188" t="s">
        <v>12</v>
      </c>
      <c r="F188" t="s">
        <v>13</v>
      </c>
      <c r="G188" t="s">
        <v>14</v>
      </c>
      <c r="H188">
        <v>6849</v>
      </c>
      <c r="I188" t="s">
        <v>401</v>
      </c>
      <c r="J188" t="s">
        <v>402</v>
      </c>
      <c r="K188" t="s">
        <v>17</v>
      </c>
      <c r="L188" t="str">
        <f t="shared" si="2"/>
        <v xml:space="preserve">{ longitude: -63.6097440445227, latitude: 44.6023448850752, stopType: 'Bus Stop Non-Standard', gotime: \'6849\', location: \'HERRING COVE RD AT CIVIC 500\' }, </v>
      </c>
    </row>
    <row r="189" spans="1:12" x14ac:dyDescent="0.25">
      <c r="A189">
        <v>-63.618297017780101</v>
      </c>
      <c r="B189">
        <v>44.630248762167</v>
      </c>
      <c r="C189">
        <v>2188</v>
      </c>
      <c r="D189" t="s">
        <v>29</v>
      </c>
      <c r="E189" t="s">
        <v>12</v>
      </c>
      <c r="F189" t="s">
        <v>13</v>
      </c>
      <c r="G189" t="s">
        <v>14</v>
      </c>
      <c r="H189">
        <v>6850</v>
      </c>
      <c r="I189" t="s">
        <v>403</v>
      </c>
      <c r="J189" t="s">
        <v>404</v>
      </c>
      <c r="K189" t="s">
        <v>17</v>
      </c>
      <c r="L189" t="str">
        <f t="shared" si="2"/>
        <v xml:space="preserve">{ longitude: -63.6182970177801, latitude: 44.630248762167, stopType: 'Bus Stop Accessible', gotime: \'6850\', location: \'HERRING COVE RD FS BRIGHTON AVE\' }, </v>
      </c>
    </row>
    <row r="190" spans="1:12" x14ac:dyDescent="0.25">
      <c r="A190">
        <v>-63.595544930904097</v>
      </c>
      <c r="B190">
        <v>44.590824205140898</v>
      </c>
      <c r="C190">
        <v>2189</v>
      </c>
      <c r="D190" t="s">
        <v>11</v>
      </c>
      <c r="E190" t="s">
        <v>12</v>
      </c>
      <c r="F190" t="s">
        <v>25</v>
      </c>
      <c r="G190" t="s">
        <v>26</v>
      </c>
      <c r="H190">
        <v>6851</v>
      </c>
      <c r="I190" t="s">
        <v>405</v>
      </c>
      <c r="J190" t="s">
        <v>406</v>
      </c>
      <c r="K190" t="s">
        <v>17</v>
      </c>
      <c r="L190" t="str">
        <f t="shared" si="2"/>
        <v xml:space="preserve">{ longitude: -63.5955449309041, latitude: 44.5908242051409, stopType: 'Bus Stop Non-Standard', gotime: \'6851\', location: \'HERRING COVE RD FS BRONSON AVE\' }, </v>
      </c>
    </row>
    <row r="191" spans="1:12" x14ac:dyDescent="0.25">
      <c r="A191">
        <v>-63.616484060736902</v>
      </c>
      <c r="B191">
        <v>44.619895772910802</v>
      </c>
      <c r="C191">
        <v>2190</v>
      </c>
      <c r="D191" t="s">
        <v>29</v>
      </c>
      <c r="E191" t="s">
        <v>12</v>
      </c>
      <c r="F191" t="s">
        <v>13</v>
      </c>
      <c r="G191" t="s">
        <v>14</v>
      </c>
      <c r="H191">
        <v>6852</v>
      </c>
      <c r="I191" t="s">
        <v>407</v>
      </c>
      <c r="J191" t="s">
        <v>408</v>
      </c>
      <c r="K191" t="s">
        <v>17</v>
      </c>
      <c r="L191" t="str">
        <f t="shared" si="2"/>
        <v xml:space="preserve">{ longitude: -63.6164840607369, latitude: 44.6198957729108, stopType: 'Bus Stop Accessible', gotime: \'6852\', location: \'HERRING COVE RD FS CATAMARAN RD\' }, </v>
      </c>
    </row>
    <row r="192" spans="1:12" x14ac:dyDescent="0.25">
      <c r="A192">
        <v>-63.616993798117797</v>
      </c>
      <c r="B192">
        <v>44.613600561643302</v>
      </c>
      <c r="C192">
        <v>2191</v>
      </c>
      <c r="D192" t="s">
        <v>29</v>
      </c>
      <c r="E192" t="s">
        <v>12</v>
      </c>
      <c r="F192" t="s">
        <v>13</v>
      </c>
      <c r="G192" t="s">
        <v>14</v>
      </c>
      <c r="H192">
        <v>6853</v>
      </c>
      <c r="I192" t="s">
        <v>409</v>
      </c>
      <c r="J192" t="s">
        <v>410</v>
      </c>
      <c r="K192" t="s">
        <v>17</v>
      </c>
      <c r="L192" t="str">
        <f t="shared" si="2"/>
        <v xml:space="preserve">{ longitude: -63.6169937981178, latitude: 44.6136005616433, stopType: 'Bus Stop Accessible', gotime: \'6853\', location: \'HERRING COVE RD FS CIVIC 349\' }, </v>
      </c>
    </row>
    <row r="193" spans="1:12" x14ac:dyDescent="0.25">
      <c r="A193">
        <v>-63.601406416787903</v>
      </c>
      <c r="B193">
        <v>44.596225389413299</v>
      </c>
      <c r="C193">
        <v>2192</v>
      </c>
      <c r="D193" t="s">
        <v>103</v>
      </c>
      <c r="E193" t="s">
        <v>12</v>
      </c>
      <c r="F193" t="s">
        <v>25</v>
      </c>
      <c r="G193" t="s">
        <v>65</v>
      </c>
      <c r="H193">
        <v>6854</v>
      </c>
      <c r="I193" t="s">
        <v>411</v>
      </c>
      <c r="J193" t="s">
        <v>412</v>
      </c>
      <c r="K193" t="s">
        <v>17</v>
      </c>
      <c r="L193" t="str">
        <f t="shared" si="2"/>
        <v xml:space="preserve">{ longitude: -63.6014064167879, latitude: 44.5962253894133, stopType: 'Bus Stop Inaccessible', gotime: \'6854\', location: \'HERRING COVE RD FS CIVIC 609\' }, </v>
      </c>
    </row>
    <row r="194" spans="1:12" x14ac:dyDescent="0.25">
      <c r="A194">
        <v>-63.597463729201202</v>
      </c>
      <c r="B194">
        <v>44.592981351298</v>
      </c>
      <c r="C194">
        <v>2193</v>
      </c>
      <c r="D194" t="s">
        <v>103</v>
      </c>
      <c r="E194" t="s">
        <v>12</v>
      </c>
      <c r="F194" t="s">
        <v>25</v>
      </c>
      <c r="G194" t="s">
        <v>65</v>
      </c>
      <c r="H194">
        <v>6855</v>
      </c>
      <c r="I194" t="s">
        <v>413</v>
      </c>
      <c r="J194" t="s">
        <v>414</v>
      </c>
      <c r="K194" t="s">
        <v>17</v>
      </c>
      <c r="L194" t="str">
        <f t="shared" si="2"/>
        <v xml:space="preserve">{ longitude: -63.5974637292012, latitude: 44.592981351298, stopType: 'Bus Stop Inaccessible', gotime: \'6855\', location: \'HERRING COVE RD FS CIVIC 642\' }, </v>
      </c>
    </row>
    <row r="195" spans="1:12" x14ac:dyDescent="0.25">
      <c r="A195">
        <v>-63.636846124848901</v>
      </c>
      <c r="B195">
        <v>44.641650822446501</v>
      </c>
      <c r="C195">
        <v>2194</v>
      </c>
      <c r="D195" t="s">
        <v>11</v>
      </c>
      <c r="E195" t="s">
        <v>12</v>
      </c>
      <c r="F195" t="s">
        <v>25</v>
      </c>
      <c r="G195" t="s">
        <v>26</v>
      </c>
      <c r="H195">
        <v>6578</v>
      </c>
      <c r="I195" t="s">
        <v>415</v>
      </c>
      <c r="J195" t="s">
        <v>416</v>
      </c>
      <c r="K195" t="s">
        <v>17</v>
      </c>
      <c r="L195" t="str">
        <f t="shared" ref="L195:L258" si="3">CONCATENATE( "{ longitude: ", A195, ", latitude: ", B195, ", stopType: '", D195, "', gotime: \'", H195, "\', location: \'", I195, "\' }, ")</f>
        <v xml:space="preserve">{ longitude: -63.6368461248489, latitude: 44.6416508224465, stopType: 'Bus Stop Non-Standard', gotime: \'6578\', location: \'DOWNS AVE NS MILSOM ST\' }, </v>
      </c>
    </row>
    <row r="196" spans="1:12" x14ac:dyDescent="0.25">
      <c r="A196">
        <v>-63.6930310780632</v>
      </c>
      <c r="B196">
        <v>44.771450087947002</v>
      </c>
      <c r="C196">
        <v>2195</v>
      </c>
      <c r="D196" t="s">
        <v>22</v>
      </c>
      <c r="E196" t="s">
        <v>12</v>
      </c>
      <c r="F196" t="s">
        <v>25</v>
      </c>
      <c r="G196" t="s">
        <v>19</v>
      </c>
      <c r="H196">
        <v>6579</v>
      </c>
      <c r="I196" t="s">
        <v>417</v>
      </c>
      <c r="J196" t="s">
        <v>418</v>
      </c>
      <c r="K196" t="s">
        <v>17</v>
      </c>
      <c r="L196" t="str">
        <f t="shared" si="3"/>
        <v xml:space="preserve">{ longitude: -63.6930310780632, latitude: 44.771450087947, stopType: 'Bus Stop Shelter Accessible', gotime: \'6579\', location: \'DOWNSVIEW OPP WENDYS\' }, </v>
      </c>
    </row>
    <row r="197" spans="1:12" x14ac:dyDescent="0.25">
      <c r="A197">
        <v>-63.601854513115804</v>
      </c>
      <c r="B197">
        <v>44.670734331562201</v>
      </c>
      <c r="C197">
        <v>2196</v>
      </c>
      <c r="D197" t="s">
        <v>29</v>
      </c>
      <c r="E197" t="s">
        <v>12</v>
      </c>
      <c r="F197" t="s">
        <v>13</v>
      </c>
      <c r="G197" t="s">
        <v>14</v>
      </c>
      <c r="H197">
        <v>6580</v>
      </c>
      <c r="I197" t="s">
        <v>419</v>
      </c>
      <c r="J197" t="s">
        <v>420</v>
      </c>
      <c r="K197" t="s">
        <v>17</v>
      </c>
      <c r="L197" t="str">
        <f t="shared" si="3"/>
        <v xml:space="preserve">{ longitude: -63.6018545131158, latitude: 44.6707343315622, stopType: 'Bus Stop Accessible', gotime: \'6580\', location: \'DUFFUS ST FS BARRINGTON ST\' }, </v>
      </c>
    </row>
    <row r="198" spans="1:12" x14ac:dyDescent="0.25">
      <c r="A198">
        <v>-63.607026622162401</v>
      </c>
      <c r="B198">
        <v>44.666674610172002</v>
      </c>
      <c r="C198">
        <v>2197</v>
      </c>
      <c r="D198" t="s">
        <v>29</v>
      </c>
      <c r="E198" t="s">
        <v>12</v>
      </c>
      <c r="F198" t="s">
        <v>13</v>
      </c>
      <c r="G198" t="s">
        <v>14</v>
      </c>
      <c r="H198">
        <v>6581</v>
      </c>
      <c r="I198" t="s">
        <v>421</v>
      </c>
      <c r="J198" t="s">
        <v>422</v>
      </c>
      <c r="K198" t="s">
        <v>17</v>
      </c>
      <c r="L198" t="str">
        <f t="shared" si="3"/>
        <v xml:space="preserve">{ longitude: -63.6070266221624, latitude: 44.666674610172, stopType: 'Bus Stop Accessible', gotime: \'6581\', location: \'DUFFUS ST FS ISLEVILLE ST\' }, </v>
      </c>
    </row>
    <row r="199" spans="1:12" x14ac:dyDescent="0.25">
      <c r="A199">
        <v>-63.605759929864199</v>
      </c>
      <c r="B199">
        <v>44.667668799584597</v>
      </c>
      <c r="C199">
        <v>2198</v>
      </c>
      <c r="D199" t="s">
        <v>29</v>
      </c>
      <c r="E199" t="s">
        <v>12</v>
      </c>
      <c r="F199" t="s">
        <v>13</v>
      </c>
      <c r="G199" t="s">
        <v>14</v>
      </c>
      <c r="H199">
        <v>6582</v>
      </c>
      <c r="I199" t="s">
        <v>423</v>
      </c>
      <c r="J199" t="s">
        <v>424</v>
      </c>
      <c r="K199" t="s">
        <v>17</v>
      </c>
      <c r="L199" t="str">
        <f t="shared" si="3"/>
        <v xml:space="preserve">{ longitude: -63.6057599298642, latitude: 44.6676687995846, stopType: 'Bus Stop Accessible', gotime: \'6582\', location: \'DUFFUS ST FS NOVALEA DR\' }, </v>
      </c>
    </row>
    <row r="200" spans="1:12" x14ac:dyDescent="0.25">
      <c r="A200">
        <v>-63.606592631209999</v>
      </c>
      <c r="B200">
        <v>44.667227309860202</v>
      </c>
      <c r="C200">
        <v>2199</v>
      </c>
      <c r="D200" t="s">
        <v>22</v>
      </c>
      <c r="E200" t="s">
        <v>12</v>
      </c>
      <c r="F200" t="s">
        <v>13</v>
      </c>
      <c r="G200" t="s">
        <v>14</v>
      </c>
      <c r="H200">
        <v>6583</v>
      </c>
      <c r="I200" t="s">
        <v>423</v>
      </c>
      <c r="J200" t="s">
        <v>425</v>
      </c>
      <c r="K200" t="s">
        <v>17</v>
      </c>
      <c r="L200" t="str">
        <f t="shared" si="3"/>
        <v xml:space="preserve">{ longitude: -63.60659263121, latitude: 44.6672273098602, stopType: 'Bus Stop Shelter Accessible', gotime: \'6583\', location: \'DUFFUS ST FS NOVALEA DR\' }, </v>
      </c>
    </row>
    <row r="201" spans="1:12" x14ac:dyDescent="0.25">
      <c r="A201">
        <v>-63.604942127587798</v>
      </c>
      <c r="B201">
        <v>44.668444290309402</v>
      </c>
      <c r="C201">
        <v>2200</v>
      </c>
      <c r="D201" t="s">
        <v>29</v>
      </c>
      <c r="E201" t="s">
        <v>12</v>
      </c>
      <c r="F201" t="s">
        <v>13</v>
      </c>
      <c r="G201" t="s">
        <v>19</v>
      </c>
      <c r="H201">
        <v>6584</v>
      </c>
      <c r="I201" t="s">
        <v>426</v>
      </c>
      <c r="J201" t="s">
        <v>427</v>
      </c>
      <c r="K201" t="s">
        <v>17</v>
      </c>
      <c r="L201" t="str">
        <f t="shared" si="3"/>
        <v xml:space="preserve">{ longitude: -63.6049421275878, latitude: 44.6684442903094, stopType: 'Bus Stop Accessible', gotime: \'6584\', location: \'DUFFUS ST NS ACADIA ST\' }, </v>
      </c>
    </row>
    <row r="202" spans="1:12" x14ac:dyDescent="0.25">
      <c r="A202">
        <v>-63.608563170528598</v>
      </c>
      <c r="B202">
        <v>44.665826869196103</v>
      </c>
      <c r="C202">
        <v>2201</v>
      </c>
      <c r="D202" t="s">
        <v>29</v>
      </c>
      <c r="E202" t="s">
        <v>12</v>
      </c>
      <c r="F202" t="s">
        <v>13</v>
      </c>
      <c r="G202" t="s">
        <v>14</v>
      </c>
      <c r="H202">
        <v>6585</v>
      </c>
      <c r="I202" t="s">
        <v>428</v>
      </c>
      <c r="J202" t="s">
        <v>429</v>
      </c>
      <c r="K202" t="s">
        <v>17</v>
      </c>
      <c r="L202" t="str">
        <f t="shared" si="3"/>
        <v xml:space="preserve">{ longitude: -63.6085631705286, latitude: 44.6658268691961, stopType: 'Bus Stop Accessible', gotime: \'6585\', location: \'DUFFUS ST NS AGRICOLA ST\' }, </v>
      </c>
    </row>
    <row r="203" spans="1:12" x14ac:dyDescent="0.25">
      <c r="A203">
        <v>-63.603671242973903</v>
      </c>
      <c r="B203">
        <v>44.669206500131601</v>
      </c>
      <c r="C203">
        <v>2202</v>
      </c>
      <c r="D203" t="s">
        <v>29</v>
      </c>
      <c r="E203" t="s">
        <v>12</v>
      </c>
      <c r="F203" t="s">
        <v>13</v>
      </c>
      <c r="G203" t="s">
        <v>19</v>
      </c>
      <c r="H203">
        <v>6586</v>
      </c>
      <c r="I203" t="s">
        <v>430</v>
      </c>
      <c r="J203" t="s">
        <v>431</v>
      </c>
      <c r="K203" t="s">
        <v>17</v>
      </c>
      <c r="L203" t="str">
        <f t="shared" si="3"/>
        <v xml:space="preserve">{ longitude: -63.6036712429739, latitude: 44.6692065001316, stopType: 'Bus Stop Accessible', gotime: \'6586\', location: \'DUFFUS ST NS ALBERT ST\' }, </v>
      </c>
    </row>
    <row r="204" spans="1:12" x14ac:dyDescent="0.25">
      <c r="A204">
        <v>-63.602080900247998</v>
      </c>
      <c r="B204">
        <v>44.670350383110403</v>
      </c>
      <c r="C204">
        <v>2203</v>
      </c>
      <c r="D204" t="s">
        <v>22</v>
      </c>
      <c r="E204" t="s">
        <v>12</v>
      </c>
      <c r="F204" t="s">
        <v>13</v>
      </c>
      <c r="G204" t="s">
        <v>14</v>
      </c>
      <c r="H204">
        <v>6587</v>
      </c>
      <c r="I204" t="s">
        <v>432</v>
      </c>
      <c r="J204" t="s">
        <v>433</v>
      </c>
      <c r="K204" t="s">
        <v>17</v>
      </c>
      <c r="L204" t="str">
        <f t="shared" si="3"/>
        <v xml:space="preserve">{ longitude: -63.602080900248, latitude: 44.6703503831104, stopType: 'Bus Stop Shelter Accessible', gotime: \'6587\', location: \'DUFFUS ST NS BARRINGTON ST\' }, </v>
      </c>
    </row>
    <row r="205" spans="1:12" x14ac:dyDescent="0.25">
      <c r="A205">
        <v>-63.6033446793206</v>
      </c>
      <c r="B205">
        <v>44.669634843995901</v>
      </c>
      <c r="C205">
        <v>2204</v>
      </c>
      <c r="D205" t="s">
        <v>29</v>
      </c>
      <c r="E205" t="s">
        <v>12</v>
      </c>
      <c r="F205" t="s">
        <v>13</v>
      </c>
      <c r="G205" t="s">
        <v>14</v>
      </c>
      <c r="H205">
        <v>6588</v>
      </c>
      <c r="I205" t="s">
        <v>434</v>
      </c>
      <c r="J205" t="s">
        <v>435</v>
      </c>
      <c r="K205" t="s">
        <v>17</v>
      </c>
      <c r="L205" t="str">
        <f t="shared" si="3"/>
        <v xml:space="preserve">{ longitude: -63.6033446793206, latitude: 44.6696348439959, stopType: 'Bus Stop Accessible', gotime: \'6588\', location: \'DUFFUS ST NS DARTMOUTH AVE\' }, </v>
      </c>
    </row>
    <row r="206" spans="1:12" x14ac:dyDescent="0.25">
      <c r="A206">
        <v>-63.5767305543771</v>
      </c>
      <c r="B206">
        <v>44.648913889798003</v>
      </c>
      <c r="C206">
        <v>2205</v>
      </c>
      <c r="D206" t="s">
        <v>29</v>
      </c>
      <c r="E206" t="s">
        <v>12</v>
      </c>
      <c r="F206" t="s">
        <v>25</v>
      </c>
      <c r="G206" t="s">
        <v>74</v>
      </c>
      <c r="H206">
        <v>6589</v>
      </c>
      <c r="I206" t="s">
        <v>436</v>
      </c>
      <c r="J206" t="s">
        <v>437</v>
      </c>
      <c r="K206" t="s">
        <v>17</v>
      </c>
      <c r="L206" t="str">
        <f t="shared" si="3"/>
        <v xml:space="preserve">{ longitude: -63.5767305543771, latitude: 44.648913889798, stopType: 'Bus Stop Accessible', gotime: \'6589\', location: \'DUKE ST &lt;NS&gt; ALBEMARLE ST\' }, </v>
      </c>
    </row>
    <row r="207" spans="1:12" x14ac:dyDescent="0.25">
      <c r="A207">
        <v>-63.576675130067301</v>
      </c>
      <c r="B207">
        <v>44.648914970254197</v>
      </c>
      <c r="C207">
        <v>2206</v>
      </c>
      <c r="D207" t="s">
        <v>29</v>
      </c>
      <c r="E207" t="s">
        <v>12</v>
      </c>
      <c r="F207" t="s">
        <v>13</v>
      </c>
      <c r="G207" t="s">
        <v>19</v>
      </c>
      <c r="H207">
        <v>6590</v>
      </c>
      <c r="I207" t="s">
        <v>438</v>
      </c>
      <c r="J207" t="s">
        <v>439</v>
      </c>
      <c r="K207" t="s">
        <v>17</v>
      </c>
      <c r="L207" t="str">
        <f t="shared" si="3"/>
        <v xml:space="preserve">{ longitude: -63.5766751300673, latitude: 44.6489149702542, stopType: 'Bus Stop Accessible', gotime: \'6590\', location: \'DUKE ST NS MARKET ST &lt;WB&gt;\' }, </v>
      </c>
    </row>
    <row r="208" spans="1:12" x14ac:dyDescent="0.25">
      <c r="A208">
        <v>-63.534301941444099</v>
      </c>
      <c r="B208">
        <v>44.6930848305635</v>
      </c>
      <c r="C208">
        <v>2207</v>
      </c>
      <c r="D208" t="s">
        <v>29</v>
      </c>
      <c r="E208" t="s">
        <v>12</v>
      </c>
      <c r="F208" t="s">
        <v>13</v>
      </c>
      <c r="G208" t="s">
        <v>14</v>
      </c>
      <c r="H208">
        <v>6591</v>
      </c>
      <c r="I208" t="s">
        <v>440</v>
      </c>
      <c r="J208" t="s">
        <v>441</v>
      </c>
      <c r="K208" t="s">
        <v>17</v>
      </c>
      <c r="L208" t="str">
        <f t="shared" si="3"/>
        <v xml:space="preserve">{ longitude: -63.5343019414441, latitude: 44.6930848305635, stopType: 'Bus Stop Accessible', gotime: \'6591\', location: \'DUNBARTON AVE AT CIVIC 39 &lt;WB&gt;\' }, </v>
      </c>
    </row>
    <row r="209" spans="1:12" x14ac:dyDescent="0.25">
      <c r="A209">
        <v>-63.536747049269401</v>
      </c>
      <c r="B209">
        <v>44.692478741940299</v>
      </c>
      <c r="C209">
        <v>2208</v>
      </c>
      <c r="D209" t="s">
        <v>29</v>
      </c>
      <c r="E209" t="s">
        <v>12</v>
      </c>
      <c r="F209" t="s">
        <v>13</v>
      </c>
      <c r="G209" t="s">
        <v>14</v>
      </c>
      <c r="H209">
        <v>6592</v>
      </c>
      <c r="I209" t="s">
        <v>442</v>
      </c>
      <c r="J209" t="s">
        <v>443</v>
      </c>
      <c r="K209" t="s">
        <v>17</v>
      </c>
      <c r="L209" t="str">
        <f t="shared" si="3"/>
        <v xml:space="preserve">{ longitude: -63.5367470492694, latitude: 44.6924787419403, stopType: 'Bus Stop Accessible', gotime: \'6592\', location: \'DUNBARTON AVE NS CIVIC 21 &lt;WB&gt;\' }, </v>
      </c>
    </row>
    <row r="210" spans="1:12" x14ac:dyDescent="0.25">
      <c r="A210">
        <v>-63.664274681733602</v>
      </c>
      <c r="B210">
        <v>44.672980680147603</v>
      </c>
      <c r="C210">
        <v>2209</v>
      </c>
      <c r="D210" t="s">
        <v>22</v>
      </c>
      <c r="E210" t="s">
        <v>12</v>
      </c>
      <c r="F210" t="s">
        <v>13</v>
      </c>
      <c r="G210" t="s">
        <v>19</v>
      </c>
      <c r="H210">
        <v>6593</v>
      </c>
      <c r="I210" t="s">
        <v>444</v>
      </c>
      <c r="J210" t="s">
        <v>445</v>
      </c>
      <c r="K210" t="s">
        <v>17</v>
      </c>
      <c r="L210" t="str">
        <f t="shared" si="3"/>
        <v xml:space="preserve">{ longitude: -63.6642746817336, latitude: 44.6729806801476, stopType: 'Bus Stop Shelter Accessible', gotime: \'6593\', location: \'DUNBRACK ST AT FARNHAM GATE\' }, </v>
      </c>
    </row>
    <row r="211" spans="1:12" x14ac:dyDescent="0.25">
      <c r="A211">
        <v>-63.662573869200301</v>
      </c>
      <c r="B211">
        <v>44.6703104189043</v>
      </c>
      <c r="C211">
        <v>2210</v>
      </c>
      <c r="D211" t="s">
        <v>29</v>
      </c>
      <c r="E211" t="s">
        <v>12</v>
      </c>
      <c r="F211" t="s">
        <v>13</v>
      </c>
      <c r="G211" t="s">
        <v>14</v>
      </c>
      <c r="H211">
        <v>6594</v>
      </c>
      <c r="I211" t="s">
        <v>446</v>
      </c>
      <c r="J211" t="s">
        <v>447</v>
      </c>
      <c r="K211" t="s">
        <v>17</v>
      </c>
      <c r="L211" t="str">
        <f t="shared" si="3"/>
        <v xml:space="preserve">{ longitude: -63.6625738692003, latitude: 44.6703104189043, stopType: 'Bus Stop Accessible', gotime: \'6594\', location: \'DUNBRACK ST FS KNIGHTSRIDGE DR\' }, </v>
      </c>
    </row>
    <row r="212" spans="1:12" x14ac:dyDescent="0.25">
      <c r="A212">
        <v>-63.654849529452598</v>
      </c>
      <c r="B212">
        <v>44.663186917480303</v>
      </c>
      <c r="C212">
        <v>2211</v>
      </c>
      <c r="D212" t="s">
        <v>29</v>
      </c>
      <c r="E212" t="s">
        <v>12</v>
      </c>
      <c r="F212" t="s">
        <v>25</v>
      </c>
      <c r="G212" t="s">
        <v>19</v>
      </c>
      <c r="H212">
        <v>6595</v>
      </c>
      <c r="I212" t="s">
        <v>448</v>
      </c>
      <c r="J212" t="s">
        <v>449</v>
      </c>
      <c r="K212" t="s">
        <v>17</v>
      </c>
      <c r="L212" t="str">
        <f t="shared" si="3"/>
        <v xml:space="preserve">{ longitude: -63.6548495294526, latitude: 44.6631869174803, stopType: 'Bus Stop Accessible', gotime: \'6595\', location: \'DUNBRACK ST FS LACEWOOD DR\' }, </v>
      </c>
    </row>
    <row r="213" spans="1:12" x14ac:dyDescent="0.25">
      <c r="A213">
        <v>-63.662617049805498</v>
      </c>
      <c r="B213">
        <v>44.669685253698603</v>
      </c>
      <c r="C213">
        <v>2212</v>
      </c>
      <c r="D213" t="s">
        <v>22</v>
      </c>
      <c r="E213" t="s">
        <v>12</v>
      </c>
      <c r="F213" t="s">
        <v>13</v>
      </c>
      <c r="G213" t="s">
        <v>19</v>
      </c>
      <c r="H213">
        <v>6596</v>
      </c>
      <c r="I213" t="s">
        <v>450</v>
      </c>
      <c r="J213" t="s">
        <v>451</v>
      </c>
      <c r="K213" t="s">
        <v>17</v>
      </c>
      <c r="L213" t="str">
        <f t="shared" si="3"/>
        <v xml:space="preserve">{ longitude: -63.6626170498055, latitude: 44.6696852536986, stopType: 'Bus Stop Shelter Accessible', gotime: \'6596\', location: \'DUNBRACK ST FS LANGBRAE DR\' }, </v>
      </c>
    </row>
    <row r="214" spans="1:12" x14ac:dyDescent="0.25">
      <c r="A214">
        <v>-63.649961439931097</v>
      </c>
      <c r="B214">
        <v>44.653101510285701</v>
      </c>
      <c r="C214">
        <v>2213</v>
      </c>
      <c r="D214" t="s">
        <v>22</v>
      </c>
      <c r="E214" t="s">
        <v>12</v>
      </c>
      <c r="F214" t="s">
        <v>13</v>
      </c>
      <c r="G214" t="s">
        <v>14</v>
      </c>
      <c r="H214">
        <v>6597</v>
      </c>
      <c r="I214" t="s">
        <v>452</v>
      </c>
      <c r="J214" t="s">
        <v>453</v>
      </c>
      <c r="K214" t="s">
        <v>17</v>
      </c>
      <c r="L214" t="str">
        <f t="shared" si="3"/>
        <v xml:space="preserve">{ longitude: -63.6499614399311, latitude: 44.6531015102857, stopType: 'Bus Stop Shelter Accessible', gotime: \'6597\', location: \'DUNBRACK ST FS MAIN AVE &lt;NB&gt;\' }, </v>
      </c>
    </row>
    <row r="215" spans="1:12" x14ac:dyDescent="0.25">
      <c r="A215">
        <v>-63.658723054842</v>
      </c>
      <c r="B215">
        <v>44.666396388237402</v>
      </c>
      <c r="C215">
        <v>2214</v>
      </c>
      <c r="D215" t="s">
        <v>22</v>
      </c>
      <c r="E215" t="s">
        <v>12</v>
      </c>
      <c r="F215" t="s">
        <v>13</v>
      </c>
      <c r="G215" t="s">
        <v>19</v>
      </c>
      <c r="H215">
        <v>6598</v>
      </c>
      <c r="I215" t="s">
        <v>454</v>
      </c>
      <c r="J215" t="s">
        <v>455</v>
      </c>
      <c r="K215" t="s">
        <v>17</v>
      </c>
      <c r="L215" t="str">
        <f t="shared" si="3"/>
        <v xml:space="preserve">{ longitude: -63.658723054842, latitude: 44.6663963882374, stopType: 'Bus Stop Shelter Accessible', gotime: \'6598\', location: \'DUNBRACK ST FS LINCOLN CROSS\' }, </v>
      </c>
    </row>
    <row r="216" spans="1:12" x14ac:dyDescent="0.25">
      <c r="A216">
        <v>-63.658166291203798</v>
      </c>
      <c r="B216">
        <v>44.665785342659902</v>
      </c>
      <c r="C216">
        <v>2215</v>
      </c>
      <c r="D216" t="s">
        <v>22</v>
      </c>
      <c r="E216" t="s">
        <v>12</v>
      </c>
      <c r="F216" t="s">
        <v>25</v>
      </c>
      <c r="G216" t="s">
        <v>19</v>
      </c>
      <c r="H216">
        <v>6599</v>
      </c>
      <c r="I216" t="s">
        <v>456</v>
      </c>
      <c r="J216" t="s">
        <v>457</v>
      </c>
      <c r="K216" t="s">
        <v>17</v>
      </c>
      <c r="L216" t="str">
        <f t="shared" si="3"/>
        <v xml:space="preserve">{ longitude: -63.6581662912038, latitude: 44.6657853426599, stopType: 'Bus Stop Shelter Accessible', gotime: \'6599\', location: \'DUNBRACK ST FS RADCLIFFE &lt;SB&gt;\' }, </v>
      </c>
    </row>
    <row r="217" spans="1:12" x14ac:dyDescent="0.25">
      <c r="A217">
        <v>-63.521002776894903</v>
      </c>
      <c r="B217">
        <v>44.681908343857899</v>
      </c>
      <c r="C217">
        <v>2216</v>
      </c>
      <c r="D217" t="s">
        <v>22</v>
      </c>
      <c r="E217" t="s">
        <v>12</v>
      </c>
      <c r="F217" t="s">
        <v>25</v>
      </c>
      <c r="G217" t="s">
        <v>26</v>
      </c>
      <c r="H217">
        <v>7268</v>
      </c>
      <c r="I217" t="s">
        <v>458</v>
      </c>
      <c r="J217" t="s">
        <v>459</v>
      </c>
      <c r="K217" t="s">
        <v>17</v>
      </c>
      <c r="L217" t="str">
        <f t="shared" si="3"/>
        <v xml:space="preserve">{ longitude: -63.5210027768949, latitude: 44.6819083438579, stopType: 'Bus Stop Shelter Accessible', gotime: \'7268\', location: \'MT EDWARD RD OPP CIVIC 58\' }, </v>
      </c>
    </row>
    <row r="218" spans="1:12" x14ac:dyDescent="0.25">
      <c r="A218">
        <v>-63.663566274832696</v>
      </c>
      <c r="B218">
        <v>44.677598475392401</v>
      </c>
      <c r="C218">
        <v>2217</v>
      </c>
      <c r="D218" t="s">
        <v>29</v>
      </c>
      <c r="E218" t="s">
        <v>12</v>
      </c>
      <c r="F218" t="s">
        <v>13</v>
      </c>
      <c r="G218" t="s">
        <v>14</v>
      </c>
      <c r="H218">
        <v>6600</v>
      </c>
      <c r="I218" t="s">
        <v>460</v>
      </c>
      <c r="J218" t="s">
        <v>461</v>
      </c>
      <c r="K218" t="s">
        <v>17</v>
      </c>
      <c r="L218" t="str">
        <f t="shared" si="3"/>
        <v xml:space="preserve">{ longitude: -63.6635662748327, latitude: 44.6775984753924, stopType: 'Bus Stop Accessible', gotime: \'6600\', location: \'DUNBRACK ST FS ROCK HAVEN &lt;NB&gt;\' }, </v>
      </c>
    </row>
    <row r="219" spans="1:12" x14ac:dyDescent="0.25">
      <c r="A219">
        <v>-63.663444857794502</v>
      </c>
      <c r="B219">
        <v>44.676849798690299</v>
      </c>
      <c r="C219">
        <v>2218</v>
      </c>
      <c r="D219" t="s">
        <v>22</v>
      </c>
      <c r="E219" t="s">
        <v>12</v>
      </c>
      <c r="F219" t="s">
        <v>13</v>
      </c>
      <c r="G219" t="s">
        <v>19</v>
      </c>
      <c r="H219">
        <v>6601</v>
      </c>
      <c r="I219" t="s">
        <v>462</v>
      </c>
      <c r="J219" t="s">
        <v>463</v>
      </c>
      <c r="K219" t="s">
        <v>17</v>
      </c>
      <c r="L219" t="str">
        <f t="shared" si="3"/>
        <v xml:space="preserve">{ longitude: -63.6634448577945, latitude: 44.6768497986903, stopType: 'Bus Stop Shelter Accessible', gotime: \'6601\', location: \'DUNBRACK ST FS ROSS ST &lt;SB&gt;\' }, </v>
      </c>
    </row>
    <row r="220" spans="1:12" x14ac:dyDescent="0.25">
      <c r="A220">
        <v>-63.651088344830697</v>
      </c>
      <c r="B220">
        <v>44.656628619434301</v>
      </c>
      <c r="C220">
        <v>2219</v>
      </c>
      <c r="D220" t="s">
        <v>29</v>
      </c>
      <c r="E220" t="s">
        <v>12</v>
      </c>
      <c r="F220" t="s">
        <v>13</v>
      </c>
      <c r="G220" t="s">
        <v>14</v>
      </c>
      <c r="H220">
        <v>6602</v>
      </c>
      <c r="I220" t="s">
        <v>464</v>
      </c>
      <c r="J220" t="s">
        <v>465</v>
      </c>
      <c r="K220" t="s">
        <v>17</v>
      </c>
      <c r="L220" t="str">
        <f t="shared" si="3"/>
        <v xml:space="preserve">{ longitude: -63.6510883448307, latitude: 44.6566286194343, stopType: 'Bus Stop Accessible', gotime: \'6602\', location: \'DUNBRACK ST FS WILLET ST &lt;SB&gt;\' }, </v>
      </c>
    </row>
    <row r="221" spans="1:12" x14ac:dyDescent="0.25">
      <c r="A221">
        <v>-63.652403077373997</v>
      </c>
      <c r="B221">
        <v>44.660627526645797</v>
      </c>
      <c r="C221">
        <v>2220</v>
      </c>
      <c r="D221" t="s">
        <v>22</v>
      </c>
      <c r="E221" t="s">
        <v>12</v>
      </c>
      <c r="F221" t="s">
        <v>13</v>
      </c>
      <c r="G221" t="s">
        <v>19</v>
      </c>
      <c r="H221">
        <v>6603</v>
      </c>
      <c r="I221" t="s">
        <v>466</v>
      </c>
      <c r="J221" t="s">
        <v>467</v>
      </c>
      <c r="K221" t="s">
        <v>17</v>
      </c>
      <c r="L221" t="str">
        <f t="shared" si="3"/>
        <v xml:space="preserve">{ longitude: -63.652403077374, latitude: 44.6606275266458, stopType: 'Bus Stop Shelter Accessible', gotime: \'6603\', location: \'DUNBRACK ST AT NORTHCLIFFE\' }, </v>
      </c>
    </row>
    <row r="222" spans="1:12" x14ac:dyDescent="0.25">
      <c r="A222">
        <v>-63.5982549188871</v>
      </c>
      <c r="B222">
        <v>44.667821999342898</v>
      </c>
      <c r="C222">
        <v>2221</v>
      </c>
      <c r="D222" t="s">
        <v>29</v>
      </c>
      <c r="E222" t="s">
        <v>12</v>
      </c>
      <c r="F222" t="s">
        <v>13</v>
      </c>
      <c r="G222" t="s">
        <v>14</v>
      </c>
      <c r="H222">
        <v>6119</v>
      </c>
      <c r="I222" t="s">
        <v>468</v>
      </c>
      <c r="J222" t="s">
        <v>469</v>
      </c>
      <c r="K222" t="s">
        <v>17</v>
      </c>
      <c r="L222" t="str">
        <f t="shared" si="3"/>
        <v xml:space="preserve">{ longitude: -63.5982549188871, latitude: 44.6678219993429, stopType: 'Bus Stop Accessible', gotime: \'6119\', location: \'BARRINGTON ST &lt;NB&gt; OPP RICHMOND ST\' }, </v>
      </c>
    </row>
    <row r="223" spans="1:12" x14ac:dyDescent="0.25">
      <c r="A223">
        <v>-63.598740304373202</v>
      </c>
      <c r="B223">
        <v>44.667913308464598</v>
      </c>
      <c r="C223">
        <v>2222</v>
      </c>
      <c r="D223" t="s">
        <v>29</v>
      </c>
      <c r="E223" t="s">
        <v>12</v>
      </c>
      <c r="F223" t="s">
        <v>13</v>
      </c>
      <c r="G223" t="s">
        <v>14</v>
      </c>
      <c r="H223">
        <v>6120</v>
      </c>
      <c r="I223" t="s">
        <v>470</v>
      </c>
      <c r="J223" t="s">
        <v>471</v>
      </c>
      <c r="K223" t="s">
        <v>17</v>
      </c>
      <c r="L223" t="str">
        <f t="shared" si="3"/>
        <v xml:space="preserve">{ longitude: -63.5987403043732, latitude: 44.6679133084646, stopType: 'Bus Stop Accessible', gotime: \'6120\', location: \'BARRINGTON ST &lt;SB&gt; NS RICHMOND ST\' }, </v>
      </c>
    </row>
    <row r="224" spans="1:12" x14ac:dyDescent="0.25">
      <c r="A224">
        <v>-63.573440132820899</v>
      </c>
      <c r="B224">
        <v>44.646045996130397</v>
      </c>
      <c r="C224">
        <v>2223</v>
      </c>
      <c r="D224" t="s">
        <v>29</v>
      </c>
      <c r="E224" t="s">
        <v>12</v>
      </c>
      <c r="F224" t="s">
        <v>13</v>
      </c>
      <c r="G224" t="s">
        <v>14</v>
      </c>
      <c r="H224">
        <v>6121</v>
      </c>
      <c r="I224" t="s">
        <v>472</v>
      </c>
      <c r="J224" t="s">
        <v>473</v>
      </c>
      <c r="K224" t="s">
        <v>17</v>
      </c>
      <c r="L224" t="str">
        <f t="shared" si="3"/>
        <v xml:space="preserve">{ longitude: -63.5734401328209, latitude: 44.6460459961304, stopType: 'Bus Stop Accessible', gotime: \'6121\', location: \'BARRINGTON ST &lt;NB&gt; NS SACKVILLE ST\' }, </v>
      </c>
    </row>
    <row r="225" spans="1:12" x14ac:dyDescent="0.25">
      <c r="A225">
        <v>-63.572766739266697</v>
      </c>
      <c r="B225">
        <v>44.6443095140704</v>
      </c>
      <c r="C225">
        <v>2224</v>
      </c>
      <c r="D225" t="s">
        <v>22</v>
      </c>
      <c r="E225" t="s">
        <v>12</v>
      </c>
      <c r="F225" t="s">
        <v>13</v>
      </c>
      <c r="G225" t="s">
        <v>19</v>
      </c>
      <c r="H225">
        <v>6122</v>
      </c>
      <c r="I225" t="s">
        <v>474</v>
      </c>
      <c r="J225" t="s">
        <v>475</v>
      </c>
      <c r="K225" t="s">
        <v>17</v>
      </c>
      <c r="L225" t="str">
        <f t="shared" si="3"/>
        <v xml:space="preserve">{ longitude: -63.5727667392667, latitude: 44.6443095140704, stopType: 'Bus Stop Shelter Accessible', gotime: \'6122\', location: \'BARRINGTON ST &lt;SB&gt; NS SPRING GARDEN RD\' }, </v>
      </c>
    </row>
    <row r="226" spans="1:12" x14ac:dyDescent="0.25">
      <c r="A226">
        <v>-63.572386142088597</v>
      </c>
      <c r="B226">
        <v>44.644025540246602</v>
      </c>
      <c r="C226">
        <v>2225</v>
      </c>
      <c r="D226" t="s">
        <v>29</v>
      </c>
      <c r="E226" t="s">
        <v>12</v>
      </c>
      <c r="F226" t="s">
        <v>13</v>
      </c>
      <c r="G226" t="s">
        <v>14</v>
      </c>
      <c r="H226">
        <v>6123</v>
      </c>
      <c r="I226" t="s">
        <v>476</v>
      </c>
      <c r="J226" t="s">
        <v>477</v>
      </c>
      <c r="K226" t="s">
        <v>17</v>
      </c>
      <c r="L226" t="str">
        <f t="shared" si="3"/>
        <v xml:space="preserve">{ longitude: -63.5723861420886, latitude: 44.6440255402466, stopType: 'Bus Stop Accessible', gotime: \'6123\', location: \'BARRINGTON ST &lt;NB&gt; NS SPRING GARDEN RD\' }, </v>
      </c>
    </row>
    <row r="227" spans="1:12" x14ac:dyDescent="0.25">
      <c r="A227">
        <v>-63.572581941901603</v>
      </c>
      <c r="B227">
        <v>44.643944872542903</v>
      </c>
      <c r="C227">
        <v>2226</v>
      </c>
      <c r="D227" t="s">
        <v>29</v>
      </c>
      <c r="E227" t="s">
        <v>12</v>
      </c>
      <c r="F227" t="s">
        <v>13</v>
      </c>
      <c r="G227" t="s">
        <v>14</v>
      </c>
      <c r="H227">
        <v>6124</v>
      </c>
      <c r="I227" t="s">
        <v>478</v>
      </c>
      <c r="J227" t="s">
        <v>479</v>
      </c>
      <c r="K227" t="s">
        <v>17</v>
      </c>
      <c r="L227" t="str">
        <f t="shared" si="3"/>
        <v xml:space="preserve">{ longitude: -63.5725819419016, latitude: 44.6439448725429, stopType: 'Bus Stop Accessible', gotime: \'6124\', location: \'BARRINGTON ST &lt;SB&gt; FS SPRING GARDEN RD\' }, </v>
      </c>
    </row>
    <row r="228" spans="1:12" x14ac:dyDescent="0.25">
      <c r="A228">
        <v>-63.507293583788702</v>
      </c>
      <c r="B228">
        <v>44.6883957823079</v>
      </c>
      <c r="C228">
        <v>2227</v>
      </c>
      <c r="D228" t="s">
        <v>11</v>
      </c>
      <c r="E228" t="s">
        <v>12</v>
      </c>
      <c r="F228" t="s">
        <v>25</v>
      </c>
      <c r="G228" t="s">
        <v>26</v>
      </c>
      <c r="H228">
        <v>7267</v>
      </c>
      <c r="I228" t="s">
        <v>480</v>
      </c>
      <c r="J228" t="s">
        <v>481</v>
      </c>
      <c r="K228" t="s">
        <v>17</v>
      </c>
      <c r="L228" t="str">
        <f t="shared" si="3"/>
        <v xml:space="preserve">{ longitude: -63.5072935837887, latitude: 44.6883957823079, stopType: 'Bus Stop Non-Standard', gotime: \'7267\', location: \'MT EDWARD RD OPP CIVIC 195\' }, </v>
      </c>
    </row>
    <row r="229" spans="1:12" x14ac:dyDescent="0.25">
      <c r="A229">
        <v>-63.529916568710703</v>
      </c>
      <c r="B229">
        <v>44.685398363128201</v>
      </c>
      <c r="C229">
        <v>2228</v>
      </c>
      <c r="D229" t="s">
        <v>29</v>
      </c>
      <c r="E229" t="s">
        <v>12</v>
      </c>
      <c r="F229" t="s">
        <v>13</v>
      </c>
      <c r="G229" t="s">
        <v>19</v>
      </c>
      <c r="H229">
        <v>6368</v>
      </c>
      <c r="I229" t="s">
        <v>482</v>
      </c>
      <c r="J229" t="s">
        <v>483</v>
      </c>
      <c r="K229" t="s">
        <v>17</v>
      </c>
      <c r="L229" t="str">
        <f t="shared" si="3"/>
        <v xml:space="preserve">{ longitude: -63.5299165687107, latitude: 44.6853983631282, stopType: 'Bus Stop Accessible', gotime: \'6368\', location: \'CALEDONIA RD NS MAIN ST\' }, </v>
      </c>
    </row>
    <row r="230" spans="1:12" x14ac:dyDescent="0.25">
      <c r="A230">
        <v>-63.532957202652099</v>
      </c>
      <c r="B230">
        <v>44.691934359086197</v>
      </c>
      <c r="C230">
        <v>2229</v>
      </c>
      <c r="D230" t="s">
        <v>29</v>
      </c>
      <c r="E230" t="s">
        <v>12</v>
      </c>
      <c r="F230" t="s">
        <v>13</v>
      </c>
      <c r="G230" t="s">
        <v>14</v>
      </c>
      <c r="H230">
        <v>6369</v>
      </c>
      <c r="I230" t="s">
        <v>484</v>
      </c>
      <c r="J230" t="s">
        <v>485</v>
      </c>
      <c r="K230" t="s">
        <v>17</v>
      </c>
      <c r="L230" t="str">
        <f t="shared" si="3"/>
        <v xml:space="preserve">{ longitude: -63.5329572026521, latitude: 44.6919343590862, stopType: 'Bus Stop Accessible', gotime: \'6369\', location: \'CALEDONIA RD NS PAUL DAVID CT\' }, </v>
      </c>
    </row>
    <row r="231" spans="1:12" x14ac:dyDescent="0.25">
      <c r="A231">
        <v>-63.531644555357197</v>
      </c>
      <c r="B231">
        <v>44.689156547273001</v>
      </c>
      <c r="C231">
        <v>2230</v>
      </c>
      <c r="D231" t="s">
        <v>29</v>
      </c>
      <c r="E231" t="s">
        <v>12</v>
      </c>
      <c r="F231" t="s">
        <v>13</v>
      </c>
      <c r="G231" t="s">
        <v>14</v>
      </c>
      <c r="H231">
        <v>6370</v>
      </c>
      <c r="I231" t="s">
        <v>486</v>
      </c>
      <c r="J231" t="s">
        <v>487</v>
      </c>
      <c r="K231" t="s">
        <v>17</v>
      </c>
      <c r="L231" t="str">
        <f t="shared" si="3"/>
        <v xml:space="preserve">{ longitude: -63.5316445553572, latitude: 44.689156547273, stopType: 'Bus Stop Accessible', gotime: \'6370\', location: \'CALEDONIA RD NS WESTWOOD DR\' }, </v>
      </c>
    </row>
    <row r="232" spans="1:12" x14ac:dyDescent="0.25">
      <c r="A232">
        <v>-63.532155240980103</v>
      </c>
      <c r="B232">
        <v>44.690604069043502</v>
      </c>
      <c r="C232">
        <v>2231</v>
      </c>
      <c r="D232" t="s">
        <v>22</v>
      </c>
      <c r="E232" t="s">
        <v>12</v>
      </c>
      <c r="F232" t="s">
        <v>13</v>
      </c>
      <c r="G232" t="s">
        <v>14</v>
      </c>
      <c r="H232">
        <v>6371</v>
      </c>
      <c r="I232" t="s">
        <v>488</v>
      </c>
      <c r="J232" t="s">
        <v>489</v>
      </c>
      <c r="K232" t="s">
        <v>17</v>
      </c>
      <c r="L232" t="str">
        <f t="shared" si="3"/>
        <v xml:space="preserve">{ longitude: -63.5321552409801, latitude: 44.6906040690435, stopType: 'Bus Stop Shelter Accessible', gotime: \'6371\', location: \'CALEDONIA RD NS KENNEDY DR\' }, </v>
      </c>
    </row>
    <row r="233" spans="1:12" x14ac:dyDescent="0.25">
      <c r="A233">
        <v>-63.537713184529999</v>
      </c>
      <c r="B233">
        <v>44.700168576017603</v>
      </c>
      <c r="C233">
        <v>2232</v>
      </c>
      <c r="D233" t="s">
        <v>29</v>
      </c>
      <c r="E233" t="s">
        <v>12</v>
      </c>
      <c r="F233" t="s">
        <v>13</v>
      </c>
      <c r="G233" t="s">
        <v>19</v>
      </c>
      <c r="H233">
        <v>6372</v>
      </c>
      <c r="I233" t="s">
        <v>490</v>
      </c>
      <c r="J233" t="s">
        <v>491</v>
      </c>
      <c r="K233" t="s">
        <v>17</v>
      </c>
      <c r="L233" t="str">
        <f t="shared" si="3"/>
        <v xml:space="preserve">{ longitude: -63.53771318453, latitude: 44.7001685760176, stopType: 'Bus Stop Accessible', gotime: \'6372\', location: \'CALEDONIA RD NS MONTEBELLO DR\' }, </v>
      </c>
    </row>
    <row r="234" spans="1:12" x14ac:dyDescent="0.25">
      <c r="A234">
        <v>-63.477649360337097</v>
      </c>
      <c r="B234">
        <v>44.650200362921296</v>
      </c>
      <c r="C234">
        <v>2233</v>
      </c>
      <c r="D234" t="s">
        <v>103</v>
      </c>
      <c r="E234" t="s">
        <v>12</v>
      </c>
      <c r="F234" t="s">
        <v>25</v>
      </c>
      <c r="G234" t="s">
        <v>65</v>
      </c>
      <c r="H234">
        <v>6373</v>
      </c>
      <c r="I234" t="s">
        <v>492</v>
      </c>
      <c r="J234" t="s">
        <v>493</v>
      </c>
      <c r="K234" t="s">
        <v>17</v>
      </c>
      <c r="L234" t="str">
        <f t="shared" si="3"/>
        <v xml:space="preserve">{ longitude: -63.4776493603371, latitude: 44.6502003629213, stopType: 'Bus Stop Inaccessible', gotime: \'6373\', location: \'CARLISLE DR FS OPP HUNTINGTON DR\' }, </v>
      </c>
    </row>
    <row r="235" spans="1:12" x14ac:dyDescent="0.25">
      <c r="A235">
        <v>-63.4797443841261</v>
      </c>
      <c r="B235">
        <v>44.651515064920702</v>
      </c>
      <c r="C235">
        <v>2234</v>
      </c>
      <c r="D235" t="s">
        <v>103</v>
      </c>
      <c r="E235" t="s">
        <v>12</v>
      </c>
      <c r="F235" t="s">
        <v>25</v>
      </c>
      <c r="G235" t="s">
        <v>65</v>
      </c>
      <c r="H235">
        <v>6374</v>
      </c>
      <c r="I235" t="s">
        <v>494</v>
      </c>
      <c r="J235" t="s">
        <v>495</v>
      </c>
      <c r="K235" t="s">
        <v>17</v>
      </c>
      <c r="L235" t="str">
        <f t="shared" si="3"/>
        <v xml:space="preserve">{ longitude: -63.4797443841261, latitude: 44.6515150649207, stopType: 'Bus Stop Inaccessible', gotime: \'6374\', location: \'CARLISLE DR NS SHREWSBURY RD\' }, </v>
      </c>
    </row>
    <row r="236" spans="1:12" x14ac:dyDescent="0.25">
      <c r="A236">
        <v>-63.669767866833602</v>
      </c>
      <c r="B236">
        <v>44.637773811210202</v>
      </c>
      <c r="C236">
        <v>2235</v>
      </c>
      <c r="D236" t="s">
        <v>103</v>
      </c>
      <c r="E236" t="s">
        <v>12</v>
      </c>
      <c r="F236" t="s">
        <v>13</v>
      </c>
      <c r="G236" t="s">
        <v>65</v>
      </c>
      <c r="H236">
        <v>6375</v>
      </c>
      <c r="I236" t="s">
        <v>496</v>
      </c>
      <c r="J236" t="s">
        <v>497</v>
      </c>
      <c r="K236" t="s">
        <v>17</v>
      </c>
      <c r="L236" t="str">
        <f t="shared" si="3"/>
        <v xml:space="preserve">{ longitude: -63.6697678668336, latitude: 44.6377738112102, stopType: 'Bus Stop Inaccessible', gotime: \'6375\', location: \'CHAIN LAKE DR  FS LAKELANDS BLVD\' }, </v>
      </c>
    </row>
    <row r="237" spans="1:12" x14ac:dyDescent="0.25">
      <c r="A237">
        <v>-63.618260006061099</v>
      </c>
      <c r="B237">
        <v>44.613046595803198</v>
      </c>
      <c r="C237">
        <v>2236</v>
      </c>
      <c r="D237" t="s">
        <v>22</v>
      </c>
      <c r="E237" t="s">
        <v>12</v>
      </c>
      <c r="F237" t="s">
        <v>13</v>
      </c>
      <c r="G237" t="s">
        <v>14</v>
      </c>
      <c r="H237">
        <v>6559</v>
      </c>
      <c r="I237" t="s">
        <v>498</v>
      </c>
      <c r="J237" t="s">
        <v>499</v>
      </c>
      <c r="K237" t="s">
        <v>17</v>
      </c>
      <c r="L237" t="str">
        <f t="shared" si="3"/>
        <v xml:space="preserve">{ longitude: -63.6182600060611, latitude: 44.6130465958032, stopType: 'Bus Stop Shelter Accessible', gotime: \'6559\', location: \'DENTITH RD NS HERRING COVE RD\' }, </v>
      </c>
    </row>
    <row r="238" spans="1:12" x14ac:dyDescent="0.25">
      <c r="A238">
        <v>-63.618254737968698</v>
      </c>
      <c r="B238">
        <v>44.613303140141603</v>
      </c>
      <c r="C238">
        <v>2237</v>
      </c>
      <c r="D238" t="s">
        <v>11</v>
      </c>
      <c r="E238" t="s">
        <v>12</v>
      </c>
      <c r="F238" t="s">
        <v>13</v>
      </c>
      <c r="G238" t="s">
        <v>14</v>
      </c>
      <c r="H238">
        <v>6560</v>
      </c>
      <c r="I238" t="s">
        <v>500</v>
      </c>
      <c r="J238" t="s">
        <v>501</v>
      </c>
      <c r="K238" t="s">
        <v>17</v>
      </c>
      <c r="L238" t="str">
        <f t="shared" si="3"/>
        <v xml:space="preserve">{ longitude: -63.6182547379687, latitude: 44.6133031401416, stopType: 'Bus Stop Non-Standard', gotime: \'6560\', location: \'DENTITH RD NS LAMARK ST\' }, </v>
      </c>
    </row>
    <row r="239" spans="1:12" x14ac:dyDescent="0.25">
      <c r="A239">
        <v>-63.620521338970001</v>
      </c>
      <c r="B239">
        <v>44.614851937779697</v>
      </c>
      <c r="C239">
        <v>2238</v>
      </c>
      <c r="D239" t="s">
        <v>11</v>
      </c>
      <c r="E239" t="s">
        <v>12</v>
      </c>
      <c r="F239" t="s">
        <v>13</v>
      </c>
      <c r="G239" t="s">
        <v>14</v>
      </c>
      <c r="H239">
        <v>6561</v>
      </c>
      <c r="I239" t="s">
        <v>502</v>
      </c>
      <c r="J239" t="s">
        <v>503</v>
      </c>
      <c r="K239" t="s">
        <v>17</v>
      </c>
      <c r="L239" t="str">
        <f t="shared" si="3"/>
        <v xml:space="preserve">{ longitude: -63.62052133897, latitude: 44.6148519377797, stopType: 'Bus Stop Non-Standard', gotime: \'6561\', location: \'DENTITH RD NS LEWIS ST\' }, </v>
      </c>
    </row>
    <row r="240" spans="1:12" x14ac:dyDescent="0.25">
      <c r="A240">
        <v>-63.620743962989103</v>
      </c>
      <c r="B240">
        <v>44.6147946131588</v>
      </c>
      <c r="C240">
        <v>2239</v>
      </c>
      <c r="D240" t="s">
        <v>29</v>
      </c>
      <c r="E240" t="s">
        <v>12</v>
      </c>
      <c r="F240" t="s">
        <v>13</v>
      </c>
      <c r="G240" t="s">
        <v>19</v>
      </c>
      <c r="H240">
        <v>6562</v>
      </c>
      <c r="I240" t="s">
        <v>504</v>
      </c>
      <c r="J240" t="s">
        <v>505</v>
      </c>
      <c r="K240" t="s">
        <v>17</v>
      </c>
      <c r="L240" t="str">
        <f t="shared" si="3"/>
        <v xml:space="preserve">{ longitude: -63.6207439629891, latitude: 44.6147946131588, stopType: 'Bus Stop Accessible', gotime: \'6562\', location: \'DENTITH RD OPP LEWIS ST\' }, </v>
      </c>
    </row>
    <row r="241" spans="1:12" x14ac:dyDescent="0.25">
      <c r="A241">
        <v>-63.627908444580697</v>
      </c>
      <c r="B241">
        <v>44.654419114777802</v>
      </c>
      <c r="C241">
        <v>2240</v>
      </c>
      <c r="D241" t="s">
        <v>29</v>
      </c>
      <c r="E241" t="s">
        <v>12</v>
      </c>
      <c r="F241" t="s">
        <v>13</v>
      </c>
      <c r="G241" t="s">
        <v>19</v>
      </c>
      <c r="H241">
        <v>6563</v>
      </c>
      <c r="I241" t="s">
        <v>506</v>
      </c>
      <c r="J241" t="s">
        <v>507</v>
      </c>
      <c r="K241" t="s">
        <v>17</v>
      </c>
      <c r="L241" t="str">
        <f t="shared" si="3"/>
        <v xml:space="preserve">{ longitude: -63.6279084445807, latitude: 44.6544191147778, stopType: 'Bus Stop Accessible', gotime: \'6563\', location: \'DESMOND AVE AT REAR ENTRANCE  BRSC &lt;NB&gt;\' }, </v>
      </c>
    </row>
    <row r="242" spans="1:12" x14ac:dyDescent="0.25">
      <c r="A242">
        <v>-63.628075978242201</v>
      </c>
      <c r="B242">
        <v>44.654463412873902</v>
      </c>
      <c r="C242">
        <v>2241</v>
      </c>
      <c r="D242" t="s">
        <v>22</v>
      </c>
      <c r="E242" t="s">
        <v>12</v>
      </c>
      <c r="F242" t="s">
        <v>13</v>
      </c>
      <c r="G242" t="s">
        <v>19</v>
      </c>
      <c r="H242">
        <v>6564</v>
      </c>
      <c r="I242" t="s">
        <v>508</v>
      </c>
      <c r="J242" t="s">
        <v>509</v>
      </c>
      <c r="K242" t="s">
        <v>17</v>
      </c>
      <c r="L242" t="str">
        <f t="shared" si="3"/>
        <v xml:space="preserve">{ longitude: -63.6280759782422, latitude: 44.6544634128739, stopType: 'Bus Stop Shelter Accessible', gotime: \'6564\', location: \'DESMOND AVE NS BAYERS RD &lt;SB&gt;\' }, </v>
      </c>
    </row>
    <row r="243" spans="1:12" x14ac:dyDescent="0.25">
      <c r="A243">
        <v>-63.627569020254001</v>
      </c>
      <c r="B243">
        <v>44.656336531117297</v>
      </c>
      <c r="C243">
        <v>2242</v>
      </c>
      <c r="D243" t="s">
        <v>22</v>
      </c>
      <c r="E243" t="s">
        <v>12</v>
      </c>
      <c r="F243" t="s">
        <v>13</v>
      </c>
      <c r="G243" t="s">
        <v>19</v>
      </c>
      <c r="H243">
        <v>6565</v>
      </c>
      <c r="I243" t="s">
        <v>510</v>
      </c>
      <c r="J243" t="s">
        <v>511</v>
      </c>
      <c r="K243" t="s">
        <v>17</v>
      </c>
      <c r="L243" t="str">
        <f t="shared" si="3"/>
        <v xml:space="preserve">{ longitude: -63.627569020254, latitude: 44.6563365311173, stopType: 'Bus Stop Shelter Accessible', gotime: \'6565\', location: \'DESMOND AVE NS SCOT ST &lt;NB&gt;\' }, </v>
      </c>
    </row>
    <row r="244" spans="1:12" x14ac:dyDescent="0.25">
      <c r="A244">
        <v>-63.581678572585801</v>
      </c>
      <c r="B244">
        <v>44.655539165496101</v>
      </c>
      <c r="C244">
        <v>2243</v>
      </c>
      <c r="D244" t="s">
        <v>103</v>
      </c>
      <c r="E244" t="s">
        <v>12</v>
      </c>
      <c r="F244" t="s">
        <v>25</v>
      </c>
      <c r="G244" t="s">
        <v>65</v>
      </c>
      <c r="H244">
        <v>6568</v>
      </c>
      <c r="I244" t="s">
        <v>512</v>
      </c>
      <c r="J244" t="s">
        <v>513</v>
      </c>
      <c r="K244" t="s">
        <v>17</v>
      </c>
      <c r="L244" t="str">
        <f t="shared" si="3"/>
        <v xml:space="preserve">{ longitude: -63.5816785725858, latitude: 44.6555391654961, stopType: 'Bus Stop Inaccessible', gotime: \'6568\', location: \'PROVO WALLIS - DOCKYARD 1ST &lt;NB&gt; STOP\' }, </v>
      </c>
    </row>
    <row r="245" spans="1:12" x14ac:dyDescent="0.25">
      <c r="A245">
        <v>-63.587363212292203</v>
      </c>
      <c r="B245">
        <v>44.659679624599001</v>
      </c>
      <c r="C245">
        <v>2244</v>
      </c>
      <c r="D245" t="s">
        <v>103</v>
      </c>
      <c r="E245" t="s">
        <v>12</v>
      </c>
      <c r="F245" t="s">
        <v>25</v>
      </c>
      <c r="G245" t="s">
        <v>65</v>
      </c>
      <c r="H245">
        <v>6569</v>
      </c>
      <c r="I245" t="s">
        <v>514</v>
      </c>
      <c r="J245" t="s">
        <v>515</v>
      </c>
      <c r="K245" t="s">
        <v>17</v>
      </c>
      <c r="L245" t="str">
        <f t="shared" si="3"/>
        <v xml:space="preserve">{ longitude: -63.5873632122922, latitude: 44.659679624599, stopType: 'Bus Stop Inaccessible', gotime: \'6569\', location: \'PROVO WALLIS - DOCKYARD 1ST &lt;SB&gt; STOP\' }, </v>
      </c>
    </row>
    <row r="246" spans="1:12" x14ac:dyDescent="0.25">
      <c r="A246">
        <v>-63.584804703592397</v>
      </c>
      <c r="B246">
        <v>44.658021194417202</v>
      </c>
      <c r="C246">
        <v>2245</v>
      </c>
      <c r="D246" t="s">
        <v>103</v>
      </c>
      <c r="E246" t="s">
        <v>12</v>
      </c>
      <c r="F246" t="s">
        <v>13</v>
      </c>
      <c r="G246" t="s">
        <v>65</v>
      </c>
      <c r="H246">
        <v>6570</v>
      </c>
      <c r="I246" t="s">
        <v>516</v>
      </c>
      <c r="J246" t="s">
        <v>517</v>
      </c>
      <c r="K246" t="s">
        <v>17</v>
      </c>
      <c r="L246" t="str">
        <f t="shared" si="3"/>
        <v xml:space="preserve">{ longitude: -63.5848047035924, latitude: 44.6580211944172, stopType: 'Bus Stop Inaccessible', gotime: \'6570\', location: \'PROVO WALLIS - DOCKYARD 2ND &lt;NB&gt; STOP\' }, </v>
      </c>
    </row>
    <row r="247" spans="1:12" x14ac:dyDescent="0.25">
      <c r="A247">
        <v>-63.583997010038601</v>
      </c>
      <c r="B247">
        <v>44.657240739807598</v>
      </c>
      <c r="C247">
        <v>2246</v>
      </c>
      <c r="D247" t="s">
        <v>22</v>
      </c>
      <c r="E247" t="s">
        <v>12</v>
      </c>
      <c r="F247" t="s">
        <v>25</v>
      </c>
      <c r="G247" t="s">
        <v>26</v>
      </c>
      <c r="H247">
        <v>6571</v>
      </c>
      <c r="I247" t="s">
        <v>518</v>
      </c>
      <c r="J247" t="s">
        <v>519</v>
      </c>
      <c r="K247" t="s">
        <v>17</v>
      </c>
      <c r="L247" t="str">
        <f t="shared" si="3"/>
        <v xml:space="preserve">{ longitude: -63.5839970100386, latitude: 44.6572407398076, stopType: 'Bus Stop Shelter Accessible', gotime: \'6571\', location: \'PROVO WALLIS - DOCKYARD 2ND &lt;SB&gt; STOP\' }, </v>
      </c>
    </row>
    <row r="248" spans="1:12" x14ac:dyDescent="0.25">
      <c r="A248">
        <v>-63.5870556884935</v>
      </c>
      <c r="B248">
        <v>44.659669966797402</v>
      </c>
      <c r="C248">
        <v>2247</v>
      </c>
      <c r="D248" t="s">
        <v>103</v>
      </c>
      <c r="E248" t="s">
        <v>12</v>
      </c>
      <c r="F248" t="s">
        <v>13</v>
      </c>
      <c r="G248" t="s">
        <v>65</v>
      </c>
      <c r="H248">
        <v>6572</v>
      </c>
      <c r="I248" t="s">
        <v>520</v>
      </c>
      <c r="J248" t="s">
        <v>521</v>
      </c>
      <c r="K248" t="s">
        <v>17</v>
      </c>
      <c r="L248" t="str">
        <f t="shared" si="3"/>
        <v xml:space="preserve">{ longitude: -63.5870556884935, latitude: 44.6596699667974, stopType: 'Bus Stop Inaccessible', gotime: \'6572\', location: \'PROVO WALLIS - DOCKYARD 3RD &lt;NB&gt; STOP\' }, </v>
      </c>
    </row>
    <row r="249" spans="1:12" x14ac:dyDescent="0.25">
      <c r="A249">
        <v>-63.581767816747501</v>
      </c>
      <c r="B249">
        <v>44.655476884791902</v>
      </c>
      <c r="C249">
        <v>2248</v>
      </c>
      <c r="D249" t="s">
        <v>22</v>
      </c>
      <c r="E249" t="s">
        <v>12</v>
      </c>
      <c r="F249" t="s">
        <v>25</v>
      </c>
      <c r="G249" t="s">
        <v>26</v>
      </c>
      <c r="H249">
        <v>6573</v>
      </c>
      <c r="I249" t="s">
        <v>522</v>
      </c>
      <c r="J249" t="s">
        <v>523</v>
      </c>
      <c r="K249" t="s">
        <v>17</v>
      </c>
      <c r="L249" t="str">
        <f t="shared" si="3"/>
        <v xml:space="preserve">{ longitude: -63.5817678167475, latitude: 44.6554768847919, stopType: 'Bus Stop Shelter Accessible', gotime: \'6573\', location: \'PROVO WALLIS - DOCKYARD 3RD &lt;SB&gt; STOP\' }, </v>
      </c>
    </row>
    <row r="250" spans="1:12" x14ac:dyDescent="0.25">
      <c r="A250">
        <v>-63.512200096971803</v>
      </c>
      <c r="B250">
        <v>44.678808635877999</v>
      </c>
      <c r="C250">
        <v>2249</v>
      </c>
      <c r="D250" t="s">
        <v>18</v>
      </c>
      <c r="E250" t="s">
        <v>12</v>
      </c>
      <c r="F250" t="s">
        <v>25</v>
      </c>
      <c r="G250" t="s">
        <v>26</v>
      </c>
      <c r="H250">
        <v>6574</v>
      </c>
      <c r="I250" t="s">
        <v>524</v>
      </c>
      <c r="J250" t="s">
        <v>525</v>
      </c>
      <c r="K250" t="s">
        <v>17</v>
      </c>
      <c r="L250" t="str">
        <f t="shared" si="3"/>
        <v xml:space="preserve">{ longitude: -63.5122000969718, latitude: 44.678808635878, stopType: 'Bus Stop Shelter Non-Standard', gotime: \'6574\', location: \'DOROTHEA DR NS TOPSAIL BLVD &lt;WB&gt;\' }, </v>
      </c>
    </row>
    <row r="251" spans="1:12" x14ac:dyDescent="0.25">
      <c r="A251">
        <v>-63.509272405364001</v>
      </c>
      <c r="B251">
        <v>44.678144294022701</v>
      </c>
      <c r="C251">
        <v>2250</v>
      </c>
      <c r="D251" t="s">
        <v>18</v>
      </c>
      <c r="E251" t="s">
        <v>12</v>
      </c>
      <c r="F251" t="s">
        <v>25</v>
      </c>
      <c r="G251" t="s">
        <v>26</v>
      </c>
      <c r="H251">
        <v>6575</v>
      </c>
      <c r="I251" t="s">
        <v>526</v>
      </c>
      <c r="J251" t="s">
        <v>527</v>
      </c>
      <c r="K251" t="s">
        <v>17</v>
      </c>
      <c r="L251" t="str">
        <f t="shared" si="3"/>
        <v xml:space="preserve">{ longitude: -63.509272405364, latitude: 44.6781442940227, stopType: 'Bus Stop Shelter Non-Standard', gotime: \'6575\', location: \'DOROTHEA DR OPP CIVIC 78 &lt;WB&gt;\' }, </v>
      </c>
    </row>
    <row r="252" spans="1:12" x14ac:dyDescent="0.25">
      <c r="A252">
        <v>-63.514987575099603</v>
      </c>
      <c r="B252">
        <v>44.677329759708002</v>
      </c>
      <c r="C252">
        <v>2251</v>
      </c>
      <c r="D252" t="s">
        <v>11</v>
      </c>
      <c r="E252" t="s">
        <v>12</v>
      </c>
      <c r="F252" t="s">
        <v>25</v>
      </c>
      <c r="G252" t="s">
        <v>26</v>
      </c>
      <c r="H252">
        <v>6576</v>
      </c>
      <c r="I252" t="s">
        <v>528</v>
      </c>
      <c r="J252" t="s">
        <v>529</v>
      </c>
      <c r="K252" t="s">
        <v>17</v>
      </c>
      <c r="L252" t="str">
        <f t="shared" si="3"/>
        <v xml:space="preserve">{ longitude: -63.5149875750996, latitude: 44.677329759708, stopType: 'Bus Stop Non-Standard', gotime: \'6576\', location: \'DOROTHEA DR OPP REGAL RD\' }, </v>
      </c>
    </row>
    <row r="253" spans="1:12" x14ac:dyDescent="0.25">
      <c r="A253">
        <v>-63.634129926111598</v>
      </c>
      <c r="B253">
        <v>44.642899229850997</v>
      </c>
      <c r="C253">
        <v>2252</v>
      </c>
      <c r="D253" t="s">
        <v>11</v>
      </c>
      <c r="E253" t="s">
        <v>12</v>
      </c>
      <c r="F253" t="s">
        <v>25</v>
      </c>
      <c r="G253" t="s">
        <v>26</v>
      </c>
      <c r="H253">
        <v>6577</v>
      </c>
      <c r="I253" t="s">
        <v>530</v>
      </c>
      <c r="J253" t="s">
        <v>531</v>
      </c>
      <c r="K253" t="s">
        <v>17</v>
      </c>
      <c r="L253" t="str">
        <f t="shared" si="3"/>
        <v xml:space="preserve">{ longitude: -63.6341299261116, latitude: 44.642899229851, stopType: 'Bus Stop Non-Standard', gotime: \'6577\', location: \'DOWNS AVE FS WINTER ST\' }, </v>
      </c>
    </row>
    <row r="254" spans="1:12" x14ac:dyDescent="0.25">
      <c r="A254">
        <v>-63.569822555672303</v>
      </c>
      <c r="B254">
        <v>44.637287251849003</v>
      </c>
      <c r="C254">
        <v>2253</v>
      </c>
      <c r="D254" t="s">
        <v>29</v>
      </c>
      <c r="E254" t="s">
        <v>12</v>
      </c>
      <c r="F254" t="s">
        <v>13</v>
      </c>
      <c r="G254" t="s">
        <v>14</v>
      </c>
      <c r="H254">
        <v>6092</v>
      </c>
      <c r="I254" t="s">
        <v>532</v>
      </c>
      <c r="J254" t="s">
        <v>533</v>
      </c>
      <c r="K254" t="s">
        <v>17</v>
      </c>
      <c r="L254" t="str">
        <f t="shared" si="3"/>
        <v xml:space="preserve">{ longitude: -63.5698225556723, latitude: 44.637287251849, stopType: 'Bus Stop Accessible', gotime: \'6092\', location: \'BARRINGTON ST &lt;SB&gt; FS GREEN ST\' }, </v>
      </c>
    </row>
    <row r="255" spans="1:12" x14ac:dyDescent="0.25">
      <c r="A255">
        <v>-63.569660320123802</v>
      </c>
      <c r="B255">
        <v>44.637729709744796</v>
      </c>
      <c r="C255">
        <v>2254</v>
      </c>
      <c r="D255" t="s">
        <v>29</v>
      </c>
      <c r="E255" t="s">
        <v>12</v>
      </c>
      <c r="F255" t="s">
        <v>13</v>
      </c>
      <c r="G255" t="s">
        <v>19</v>
      </c>
      <c r="H255">
        <v>6093</v>
      </c>
      <c r="I255" t="s">
        <v>534</v>
      </c>
      <c r="J255" s="1" t="s">
        <v>535</v>
      </c>
      <c r="K255" t="s">
        <v>17</v>
      </c>
      <c r="L255" t="str">
        <f t="shared" si="3"/>
        <v xml:space="preserve">{ longitude: -63.5696603201238, latitude: 44.6377297097448, stopType: 'Bus Stop Accessible', gotime: \'6093\', location: \'BARRINGTON ST &lt;NB&gt; OPP GREEN ST\' }, </v>
      </c>
    </row>
    <row r="256" spans="1:12" x14ac:dyDescent="0.25">
      <c r="A256">
        <v>-63.594811493476399</v>
      </c>
      <c r="B256">
        <v>44.665043086456798</v>
      </c>
      <c r="C256">
        <v>2255</v>
      </c>
      <c r="D256" t="s">
        <v>103</v>
      </c>
      <c r="E256" t="s">
        <v>12</v>
      </c>
      <c r="F256" t="s">
        <v>13</v>
      </c>
      <c r="G256" t="s">
        <v>65</v>
      </c>
      <c r="H256">
        <v>6094</v>
      </c>
      <c r="I256" t="s">
        <v>536</v>
      </c>
      <c r="J256" t="s">
        <v>537</v>
      </c>
      <c r="K256" t="s">
        <v>17</v>
      </c>
      <c r="L256" t="str">
        <f t="shared" si="3"/>
        <v xml:space="preserve">{ longitude: -63.5948114934764, latitude: 44.6650430864568, stopType: 'Bus Stop Inaccessible', gotime: \'6094\', location: \'BARRINGTON ST &lt;NB&gt; FS YOUNG ST\' }, </v>
      </c>
    </row>
    <row r="257" spans="1:12" x14ac:dyDescent="0.25">
      <c r="A257">
        <v>-63.594944135002201</v>
      </c>
      <c r="B257">
        <v>44.6649473904872</v>
      </c>
      <c r="C257">
        <v>2256</v>
      </c>
      <c r="D257" t="s">
        <v>22</v>
      </c>
      <c r="E257" t="s">
        <v>12</v>
      </c>
      <c r="F257" t="s">
        <v>13</v>
      </c>
      <c r="G257" t="s">
        <v>19</v>
      </c>
      <c r="H257">
        <v>6095</v>
      </c>
      <c r="I257" t="s">
        <v>538</v>
      </c>
      <c r="J257" t="s">
        <v>539</v>
      </c>
      <c r="K257" t="s">
        <v>17</v>
      </c>
      <c r="L257" t="str">
        <f t="shared" si="3"/>
        <v xml:space="preserve">{ longitude: -63.5949441350022, latitude: 44.6649473904872, stopType: 'Bus Stop Shelter Accessible', gotime: \'6095\', location: \'BARRINGTON ST &lt;SB&gt; NS YOUNG ST\' }, </v>
      </c>
    </row>
    <row r="258" spans="1:12" x14ac:dyDescent="0.25">
      <c r="A258">
        <v>-63.570431568168402</v>
      </c>
      <c r="B258">
        <v>44.640211290583501</v>
      </c>
      <c r="C258">
        <v>2257</v>
      </c>
      <c r="D258" t="s">
        <v>22</v>
      </c>
      <c r="E258" t="s">
        <v>12</v>
      </c>
      <c r="F258" t="s">
        <v>13</v>
      </c>
      <c r="G258" t="s">
        <v>19</v>
      </c>
      <c r="H258">
        <v>6096</v>
      </c>
      <c r="I258" t="s">
        <v>540</v>
      </c>
      <c r="J258" t="s">
        <v>541</v>
      </c>
      <c r="K258" t="s">
        <v>17</v>
      </c>
      <c r="L258" t="str">
        <f t="shared" si="3"/>
        <v xml:space="preserve">{ longitude: -63.5704315681684, latitude: 44.6402112905835, stopType: 'Bus Stop Shelter Accessible', gotime: \'6096\', location: \'BARRINGTON ST &lt;EB&gt; FS SOUTH ST\' }, </v>
      </c>
    </row>
    <row r="259" spans="1:12" x14ac:dyDescent="0.25">
      <c r="A259">
        <v>-63.5706550088223</v>
      </c>
      <c r="B259">
        <v>44.640127791189997</v>
      </c>
      <c r="C259">
        <v>2258</v>
      </c>
      <c r="D259" t="s">
        <v>29</v>
      </c>
      <c r="E259" t="s">
        <v>12</v>
      </c>
      <c r="F259" t="s">
        <v>13</v>
      </c>
      <c r="G259" t="s">
        <v>19</v>
      </c>
      <c r="H259">
        <v>6097</v>
      </c>
      <c r="I259" t="s">
        <v>542</v>
      </c>
      <c r="J259" t="s">
        <v>543</v>
      </c>
      <c r="K259" t="s">
        <v>17</v>
      </c>
      <c r="L259" t="str">
        <f t="shared" ref="L259:L322" si="4">CONCATENATE( "{ longitude: ", A259, ", latitude: ", B259, ", stopType: '", D259, "', gotime: \'", H259, "\', location: \'", I259, "\' }, ")</f>
        <v xml:space="preserve">{ longitude: -63.5706550088223, latitude: 44.64012779119, stopType: 'Bus Stop Accessible', gotime: \'6097\', location: \'BARRINGTON ST &lt;SB&gt; NS SOUTH ST\' }, </v>
      </c>
    </row>
    <row r="260" spans="1:12" x14ac:dyDescent="0.25">
      <c r="A260">
        <v>-63.604937922064202</v>
      </c>
      <c r="B260">
        <v>44.672175368047498</v>
      </c>
      <c r="C260">
        <v>2259</v>
      </c>
      <c r="D260" t="s">
        <v>29</v>
      </c>
      <c r="E260" t="s">
        <v>12</v>
      </c>
      <c r="F260" t="s">
        <v>25</v>
      </c>
      <c r="G260" t="s">
        <v>26</v>
      </c>
      <c r="H260">
        <v>6098</v>
      </c>
      <c r="I260" t="s">
        <v>544</v>
      </c>
      <c r="J260" t="s">
        <v>545</v>
      </c>
      <c r="K260" t="s">
        <v>17</v>
      </c>
      <c r="L260" t="str">
        <f t="shared" si="4"/>
        <v xml:space="preserve">{ longitude: -63.6049379220642, latitude: 44.6721753680475, stopType: 'Bus Stop Accessible', gotime: \'6098\', location: \'BARRINGTON ST AT CIVIC 3640\' }, </v>
      </c>
    </row>
    <row r="261" spans="1:12" x14ac:dyDescent="0.25">
      <c r="A261">
        <v>-63.605751814153898</v>
      </c>
      <c r="B261">
        <v>44.672559732934303</v>
      </c>
      <c r="C261">
        <v>2260</v>
      </c>
      <c r="D261" t="s">
        <v>11</v>
      </c>
      <c r="E261" t="s">
        <v>12</v>
      </c>
      <c r="F261" t="s">
        <v>25</v>
      </c>
      <c r="G261" t="s">
        <v>26</v>
      </c>
      <c r="H261">
        <v>6099</v>
      </c>
      <c r="I261" t="s">
        <v>546</v>
      </c>
      <c r="J261" t="s">
        <v>547</v>
      </c>
      <c r="K261" t="s">
        <v>17</v>
      </c>
      <c r="L261" t="str">
        <f t="shared" si="4"/>
        <v xml:space="preserve">{ longitude: -63.6057518141539, latitude: 44.6725597329343, stopType: 'Bus Stop Non-Standard', gotime: \'6099\', location: \'BARRINGTON ST NB AT CIVIC 3695\' }, </v>
      </c>
    </row>
    <row r="262" spans="1:12" x14ac:dyDescent="0.25">
      <c r="A262">
        <v>-63.601407949852302</v>
      </c>
      <c r="B262">
        <v>44.669500014659299</v>
      </c>
      <c r="C262">
        <v>2261</v>
      </c>
      <c r="D262" t="s">
        <v>18</v>
      </c>
      <c r="E262" t="s">
        <v>12</v>
      </c>
      <c r="F262" t="s">
        <v>13</v>
      </c>
      <c r="G262" t="s">
        <v>14</v>
      </c>
      <c r="H262">
        <v>6100</v>
      </c>
      <c r="I262" t="s">
        <v>548</v>
      </c>
      <c r="J262" t="s">
        <v>549</v>
      </c>
      <c r="K262" t="s">
        <v>17</v>
      </c>
      <c r="L262" t="str">
        <f t="shared" si="4"/>
        <v xml:space="preserve">{ longitude: -63.6014079498523, latitude: 44.6695000146593, stopType: 'Bus Stop Shelter Non-Standard', gotime: \'6100\', location: \'BARRINGTON ST &lt;SB&gt; AT MULGRAVE PK\' }, </v>
      </c>
    </row>
    <row r="263" spans="1:12" x14ac:dyDescent="0.25">
      <c r="A263">
        <v>-63.586257832988899</v>
      </c>
      <c r="B263">
        <v>44.657673740230301</v>
      </c>
      <c r="C263">
        <v>2262</v>
      </c>
      <c r="D263" t="s">
        <v>29</v>
      </c>
      <c r="E263" t="s">
        <v>12</v>
      </c>
      <c r="F263" t="s">
        <v>13</v>
      </c>
      <c r="G263" t="s">
        <v>19</v>
      </c>
      <c r="H263">
        <v>6101</v>
      </c>
      <c r="I263" t="s">
        <v>550</v>
      </c>
      <c r="J263" t="s">
        <v>551</v>
      </c>
      <c r="K263" t="s">
        <v>17</v>
      </c>
      <c r="L263" t="str">
        <f t="shared" si="4"/>
        <v xml:space="preserve">{ longitude: -63.5862578329889, latitude: 44.6576737402303, stopType: 'Bus Stop Accessible', gotime: \'6101\', location: \'BARRINGTON ST &lt;NB&gt; NS ARTZ ST\' }, </v>
      </c>
    </row>
    <row r="264" spans="1:12" x14ac:dyDescent="0.25">
      <c r="A264">
        <v>-63.573401002431197</v>
      </c>
      <c r="B264">
        <v>44.645613599537398</v>
      </c>
      <c r="C264">
        <v>2263</v>
      </c>
      <c r="D264" t="s">
        <v>29</v>
      </c>
      <c r="E264" t="s">
        <v>12</v>
      </c>
      <c r="F264" t="s">
        <v>13</v>
      </c>
      <c r="G264" t="s">
        <v>19</v>
      </c>
      <c r="H264">
        <v>6102</v>
      </c>
      <c r="I264" t="s">
        <v>552</v>
      </c>
      <c r="J264" t="s">
        <v>553</v>
      </c>
      <c r="K264" t="s">
        <v>17</v>
      </c>
      <c r="L264" t="str">
        <f t="shared" si="4"/>
        <v xml:space="preserve">{ longitude: -63.5734010024312, latitude: 44.6456135995374, stopType: 'Bus Stop Accessible', gotime: \'6102\', location: \'BARRINGTON ST &lt;SB&gt; NS BLOWERS ST\' }, </v>
      </c>
    </row>
    <row r="265" spans="1:12" x14ac:dyDescent="0.25">
      <c r="A265">
        <v>-63.573949007550702</v>
      </c>
      <c r="B265">
        <v>44.646659678294199</v>
      </c>
      <c r="C265">
        <v>2264</v>
      </c>
      <c r="D265" t="s">
        <v>29</v>
      </c>
      <c r="E265" t="s">
        <v>12</v>
      </c>
      <c r="F265" t="s">
        <v>13</v>
      </c>
      <c r="G265" t="s">
        <v>19</v>
      </c>
      <c r="H265">
        <v>6103</v>
      </c>
      <c r="I265" t="s">
        <v>554</v>
      </c>
      <c r="J265" t="s">
        <v>555</v>
      </c>
      <c r="K265" t="s">
        <v>17</v>
      </c>
      <c r="L265" t="str">
        <f t="shared" si="4"/>
        <v xml:space="preserve">{ longitude: -63.5739490075507, latitude: 44.6466596782942, stopType: 'Bus Stop Accessible', gotime: \'6103\', location: \'BARRINGTON ST &lt;SB&gt; NS CIVIC 1656\' }, </v>
      </c>
    </row>
    <row r="266" spans="1:12" x14ac:dyDescent="0.25">
      <c r="A266">
        <v>-63.581808157616898</v>
      </c>
      <c r="B266">
        <v>44.6540232079861</v>
      </c>
      <c r="C266">
        <v>2265</v>
      </c>
      <c r="D266" t="s">
        <v>29</v>
      </c>
      <c r="E266" t="s">
        <v>12</v>
      </c>
      <c r="F266" t="s">
        <v>13</v>
      </c>
      <c r="G266" t="s">
        <v>19</v>
      </c>
      <c r="H266">
        <v>6104</v>
      </c>
      <c r="I266" t="s">
        <v>556</v>
      </c>
      <c r="J266" t="s">
        <v>557</v>
      </c>
      <c r="K266" t="s">
        <v>17</v>
      </c>
      <c r="L266" t="str">
        <f t="shared" si="4"/>
        <v xml:space="preserve">{ longitude: -63.5818081576169, latitude: 44.6540232079861, stopType: 'Bus Stop Accessible', gotime: \'6104\', location: \'BARRINGTON ST &lt;SB&gt; NS CORNWALLIS ST\' }, </v>
      </c>
    </row>
    <row r="267" spans="1:12" x14ac:dyDescent="0.25">
      <c r="A267">
        <v>-63.575500332716402</v>
      </c>
      <c r="B267">
        <v>44.6497433287525</v>
      </c>
      <c r="C267">
        <v>2266</v>
      </c>
      <c r="D267" t="s">
        <v>22</v>
      </c>
      <c r="E267" t="s">
        <v>12</v>
      </c>
      <c r="F267" t="s">
        <v>13</v>
      </c>
      <c r="G267" t="s">
        <v>19</v>
      </c>
      <c r="H267">
        <v>6105</v>
      </c>
      <c r="I267" t="s">
        <v>558</v>
      </c>
      <c r="J267" t="s">
        <v>559</v>
      </c>
      <c r="K267" t="s">
        <v>17</v>
      </c>
      <c r="L267" t="str">
        <f t="shared" si="4"/>
        <v xml:space="preserve">{ longitude: -63.5755003327164, latitude: 44.6497433287525, stopType: 'Bus Stop Shelter Accessible', gotime: \'6105\', location: \'BARRINGTON ST &lt;SB&gt; NS DUKE ST\' }, </v>
      </c>
    </row>
    <row r="268" spans="1:12" x14ac:dyDescent="0.25">
      <c r="A268">
        <v>-63.5748535501262</v>
      </c>
      <c r="B268">
        <v>44.648872133303001</v>
      </c>
      <c r="C268">
        <v>2267</v>
      </c>
      <c r="D268" t="s">
        <v>29</v>
      </c>
      <c r="E268" t="s">
        <v>12</v>
      </c>
      <c r="F268" t="s">
        <v>13</v>
      </c>
      <c r="G268" t="s">
        <v>19</v>
      </c>
      <c r="H268">
        <v>6106</v>
      </c>
      <c r="I268" t="s">
        <v>560</v>
      </c>
      <c r="J268" t="s">
        <v>561</v>
      </c>
      <c r="K268" t="s">
        <v>17</v>
      </c>
      <c r="L268" t="str">
        <f t="shared" si="4"/>
        <v xml:space="preserve">{ longitude: -63.5748535501262, latitude: 44.648872133303, stopType: 'Bus Stop Accessible', gotime: \'6106\', location: \'BARRINGTON ST &lt;NB&gt;  AT GEORGE ST\' }, </v>
      </c>
    </row>
    <row r="269" spans="1:12" x14ac:dyDescent="0.25">
      <c r="A269">
        <v>-63.589680975046299</v>
      </c>
      <c r="B269">
        <v>44.660115802032401</v>
      </c>
      <c r="C269">
        <v>2268</v>
      </c>
      <c r="D269" t="s">
        <v>29</v>
      </c>
      <c r="E269" t="s">
        <v>12</v>
      </c>
      <c r="F269" t="s">
        <v>13</v>
      </c>
      <c r="G269" t="s">
        <v>19</v>
      </c>
      <c r="H269">
        <v>6107</v>
      </c>
      <c r="I269" t="s">
        <v>562</v>
      </c>
      <c r="J269" t="s">
        <v>563</v>
      </c>
      <c r="K269" t="s">
        <v>17</v>
      </c>
      <c r="L269" t="str">
        <f t="shared" si="4"/>
        <v xml:space="preserve">{ longitude: -63.5896809750463, latitude: 44.6601158020324, stopType: 'Bus Stop Accessible', gotime: \'6107\', location: \'BARRINGTON ST &lt;SB&gt; NS FLEETCLUB\' }, </v>
      </c>
    </row>
    <row r="270" spans="1:12" x14ac:dyDescent="0.25">
      <c r="A270">
        <v>-63.574453645409797</v>
      </c>
      <c r="B270">
        <v>44.647669631499198</v>
      </c>
      <c r="C270">
        <v>2269</v>
      </c>
      <c r="D270" t="s">
        <v>29</v>
      </c>
      <c r="E270" t="s">
        <v>12</v>
      </c>
      <c r="F270" t="s">
        <v>13</v>
      </c>
      <c r="G270" t="s">
        <v>19</v>
      </c>
      <c r="H270">
        <v>6108</v>
      </c>
      <c r="I270" t="s">
        <v>564</v>
      </c>
      <c r="J270" t="s">
        <v>565</v>
      </c>
      <c r="K270" t="s">
        <v>17</v>
      </c>
      <c r="L270" t="str">
        <f t="shared" si="4"/>
        <v xml:space="preserve">{ longitude: -63.5744536454098, latitude: 44.6476696314992, stopType: 'Bus Stop Accessible', gotime: \'6108\', location: \'BARRINGTON ST &lt;SB&gt; NS GEORGE ST\' }, </v>
      </c>
    </row>
    <row r="271" spans="1:12" x14ac:dyDescent="0.25">
      <c r="A271">
        <v>-63.5971213436667</v>
      </c>
      <c r="B271">
        <v>44.666696804971203</v>
      </c>
      <c r="C271">
        <v>2270</v>
      </c>
      <c r="D271" t="s">
        <v>29</v>
      </c>
      <c r="E271" t="s">
        <v>12</v>
      </c>
      <c r="F271" t="s">
        <v>13</v>
      </c>
      <c r="G271" t="s">
        <v>19</v>
      </c>
      <c r="H271">
        <v>6109</v>
      </c>
      <c r="I271" t="s">
        <v>566</v>
      </c>
      <c r="J271" t="s">
        <v>567</v>
      </c>
      <c r="K271" t="s">
        <v>17</v>
      </c>
      <c r="L271" t="str">
        <f t="shared" si="4"/>
        <v xml:space="preserve">{ longitude: -63.5971213436667, latitude: 44.6666968049712, stopType: 'Bus Stop Accessible', gotime: \'6109\', location: \'BARRINGTON ST &lt;SB&gt; NS HANOVER ST\' }, </v>
      </c>
    </row>
    <row r="272" spans="1:12" x14ac:dyDescent="0.25">
      <c r="A272">
        <v>-63.596878956032199</v>
      </c>
      <c r="B272">
        <v>44.666696868319796</v>
      </c>
      <c r="C272">
        <v>2271</v>
      </c>
      <c r="D272" t="s">
        <v>11</v>
      </c>
      <c r="E272" t="s">
        <v>12</v>
      </c>
      <c r="F272" t="s">
        <v>13</v>
      </c>
      <c r="G272" t="s">
        <v>14</v>
      </c>
      <c r="H272">
        <v>6110</v>
      </c>
      <c r="I272" t="s">
        <v>568</v>
      </c>
      <c r="J272" t="s">
        <v>569</v>
      </c>
      <c r="K272" t="s">
        <v>17</v>
      </c>
      <c r="L272" t="str">
        <f t="shared" si="4"/>
        <v xml:space="preserve">{ longitude: -63.5968789560322, latitude: 44.6666968683198, stopType: 'Bus Stop Non-Standard', gotime: \'6110\', location: \'BARRINGTON ST &lt;NB&gt; OPP HANOVER ST\' }, </v>
      </c>
    </row>
    <row r="273" spans="1:12" x14ac:dyDescent="0.25">
      <c r="A273">
        <v>-63.569677427197703</v>
      </c>
      <c r="B273">
        <v>44.636375201250701</v>
      </c>
      <c r="C273">
        <v>2272</v>
      </c>
      <c r="D273" t="s">
        <v>29</v>
      </c>
      <c r="E273" t="s">
        <v>12</v>
      </c>
      <c r="F273" t="s">
        <v>13</v>
      </c>
      <c r="G273" t="s">
        <v>14</v>
      </c>
      <c r="H273">
        <v>6111</v>
      </c>
      <c r="I273" t="s">
        <v>570</v>
      </c>
      <c r="J273" t="s">
        <v>571</v>
      </c>
      <c r="K273" t="s">
        <v>17</v>
      </c>
      <c r="L273" t="str">
        <f t="shared" si="4"/>
        <v xml:space="preserve">{ longitude: -63.5696774271977, latitude: 44.6363752012507, stopType: 'Bus Stop Accessible', gotime: \'6111\', location: \'BARRINGTON ST &lt;SB&gt; NS INGLIS ST\' }, </v>
      </c>
    </row>
    <row r="274" spans="1:12" x14ac:dyDescent="0.25">
      <c r="A274">
        <v>-63.570020752774099</v>
      </c>
      <c r="B274">
        <v>44.638665023141002</v>
      </c>
      <c r="C274">
        <v>2273</v>
      </c>
      <c r="D274" t="s">
        <v>29</v>
      </c>
      <c r="E274" t="s">
        <v>12</v>
      </c>
      <c r="F274" t="s">
        <v>13</v>
      </c>
      <c r="G274" t="s">
        <v>14</v>
      </c>
      <c r="H274">
        <v>6112</v>
      </c>
      <c r="I274" t="s">
        <v>572</v>
      </c>
      <c r="J274" t="s">
        <v>573</v>
      </c>
      <c r="K274" t="s">
        <v>17</v>
      </c>
      <c r="L274" t="str">
        <f t="shared" si="4"/>
        <v xml:space="preserve">{ longitude: -63.5700207527741, latitude: 44.638665023141, stopType: 'Bus Stop Accessible', gotime: \'6112\', location: \'BARRINGTON ST  &lt;SB&gt;NS KENT ST\' }, </v>
      </c>
    </row>
    <row r="275" spans="1:12" x14ac:dyDescent="0.25">
      <c r="A275">
        <v>-63.571144928000997</v>
      </c>
      <c r="B275">
        <v>44.6415847015951</v>
      </c>
      <c r="C275">
        <v>2274</v>
      </c>
      <c r="D275" t="s">
        <v>29</v>
      </c>
      <c r="E275" t="s">
        <v>12</v>
      </c>
      <c r="F275" t="s">
        <v>13</v>
      </c>
      <c r="G275" t="s">
        <v>14</v>
      </c>
      <c r="H275">
        <v>6113</v>
      </c>
      <c r="I275" t="s">
        <v>574</v>
      </c>
      <c r="J275" t="s">
        <v>575</v>
      </c>
      <c r="K275" t="s">
        <v>17</v>
      </c>
      <c r="L275" t="str">
        <f t="shared" si="4"/>
        <v xml:space="preserve">{ longitude: -63.571144928001, latitude: 44.6415847015951, stopType: 'Bus Stop Accessible', gotime: \'6113\', location: \'BARRINGTON ST &lt;NB&gt; NS MORRIS ST\' }, </v>
      </c>
    </row>
    <row r="276" spans="1:12" x14ac:dyDescent="0.25">
      <c r="A276">
        <v>-63.5714998769446</v>
      </c>
      <c r="B276">
        <v>44.6418630712744</v>
      </c>
      <c r="C276">
        <v>2275</v>
      </c>
      <c r="D276" t="s">
        <v>29</v>
      </c>
      <c r="E276" t="s">
        <v>12</v>
      </c>
      <c r="F276" t="s">
        <v>13</v>
      </c>
      <c r="G276" t="s">
        <v>14</v>
      </c>
      <c r="H276">
        <v>6114</v>
      </c>
      <c r="I276" t="s">
        <v>576</v>
      </c>
      <c r="J276" t="s">
        <v>577</v>
      </c>
      <c r="K276" t="s">
        <v>17</v>
      </c>
      <c r="L276" t="str">
        <f t="shared" si="4"/>
        <v xml:space="preserve">{ longitude: -63.5714998769446, latitude: 44.6418630712744, stopType: 'Bus Stop Accessible', gotime: \'6114\', location: \'BARRINGTON ST &lt;SB&gt; AT MORRIS ST\' }, </v>
      </c>
    </row>
    <row r="277" spans="1:12" x14ac:dyDescent="0.25">
      <c r="A277">
        <v>-63.588867353787997</v>
      </c>
      <c r="B277">
        <v>44.6593777237184</v>
      </c>
      <c r="C277">
        <v>2276</v>
      </c>
      <c r="D277" t="s">
        <v>22</v>
      </c>
      <c r="E277" t="s">
        <v>12</v>
      </c>
      <c r="F277" t="s">
        <v>13</v>
      </c>
      <c r="G277" t="s">
        <v>19</v>
      </c>
      <c r="H277">
        <v>6115</v>
      </c>
      <c r="I277" t="s">
        <v>578</v>
      </c>
      <c r="J277" t="s">
        <v>579</v>
      </c>
      <c r="K277" t="s">
        <v>17</v>
      </c>
      <c r="L277" t="str">
        <f t="shared" si="4"/>
        <v xml:space="preserve">{ longitude: -63.588867353788, latitude: 44.6593777237184, stopType: 'Bus Stop Shelter Accessible', gotime: \'6115\', location: \'BARRINGTON ST &lt;SB&gt; NS NORTH ST\' }, </v>
      </c>
    </row>
    <row r="278" spans="1:12" x14ac:dyDescent="0.25">
      <c r="A278">
        <v>-63.587825387184701</v>
      </c>
      <c r="B278">
        <v>44.6588010713741</v>
      </c>
      <c r="C278">
        <v>2277</v>
      </c>
      <c r="D278" t="s">
        <v>22</v>
      </c>
      <c r="E278" t="s">
        <v>12</v>
      </c>
      <c r="F278" t="s">
        <v>13</v>
      </c>
      <c r="G278" t="s">
        <v>19</v>
      </c>
      <c r="H278">
        <v>6116</v>
      </c>
      <c r="I278" t="s">
        <v>580</v>
      </c>
      <c r="J278" t="s">
        <v>581</v>
      </c>
      <c r="K278" t="s">
        <v>17</v>
      </c>
      <c r="L278" t="str">
        <f t="shared" si="4"/>
        <v xml:space="preserve">{ longitude: -63.5878253871847, latitude: 44.6588010713741, stopType: 'Bus Stop Shelter Accessible', gotime: \'6116\', location: \'BARRINGTON ST &lt;NB&gt; NS NORTH ST\' }, </v>
      </c>
    </row>
    <row r="279" spans="1:12" x14ac:dyDescent="0.25">
      <c r="A279">
        <v>-63.6027764960035</v>
      </c>
      <c r="B279">
        <v>44.671663421751099</v>
      </c>
      <c r="C279">
        <v>2278</v>
      </c>
      <c r="D279" t="s">
        <v>11</v>
      </c>
      <c r="E279" t="s">
        <v>12</v>
      </c>
      <c r="F279" t="s">
        <v>25</v>
      </c>
      <c r="G279" t="s">
        <v>26</v>
      </c>
      <c r="H279">
        <v>6117</v>
      </c>
      <c r="I279" t="s">
        <v>582</v>
      </c>
      <c r="J279" t="s">
        <v>583</v>
      </c>
      <c r="K279" t="s">
        <v>17</v>
      </c>
      <c r="L279" t="str">
        <f t="shared" si="4"/>
        <v xml:space="preserve">{ longitude: -63.6027764960035, latitude: 44.6716634217511, stopType: 'Bus Stop Non-Standard', gotime: \'6117\', location: \'BARRINGTON ST &lt;NB&gt; OPP RECTOR ST\' }, </v>
      </c>
    </row>
    <row r="280" spans="1:12" x14ac:dyDescent="0.25">
      <c r="A280">
        <v>-63.603042292711102</v>
      </c>
      <c r="B280">
        <v>44.671602511552003</v>
      </c>
      <c r="C280">
        <v>2279</v>
      </c>
      <c r="D280" t="s">
        <v>29</v>
      </c>
      <c r="E280" t="s">
        <v>12</v>
      </c>
      <c r="F280" t="s">
        <v>25</v>
      </c>
      <c r="G280" t="s">
        <v>26</v>
      </c>
      <c r="H280">
        <v>6118</v>
      </c>
      <c r="I280" t="s">
        <v>584</v>
      </c>
      <c r="J280" t="s">
        <v>585</v>
      </c>
      <c r="K280" t="s">
        <v>17</v>
      </c>
      <c r="L280" t="str">
        <f t="shared" si="4"/>
        <v xml:space="preserve">{ longitude: -63.6030422927111, latitude: 44.671602511552, stopType: 'Bus Stop Accessible', gotime: \'6118\', location: \'BARRINGTON ST &lt;SB&gt; NS RECTOR ST\' }, </v>
      </c>
    </row>
    <row r="281" spans="1:12" x14ac:dyDescent="0.25">
      <c r="A281">
        <v>-63.607461858081599</v>
      </c>
      <c r="B281">
        <v>44.628250607328802</v>
      </c>
      <c r="C281">
        <v>2280</v>
      </c>
      <c r="D281" t="s">
        <v>18</v>
      </c>
      <c r="E281" t="s">
        <v>12</v>
      </c>
      <c r="F281" t="s">
        <v>13</v>
      </c>
      <c r="G281" t="s">
        <v>14</v>
      </c>
      <c r="H281">
        <v>8116</v>
      </c>
      <c r="I281" t="s">
        <v>586</v>
      </c>
      <c r="J281" t="s">
        <v>587</v>
      </c>
      <c r="K281" t="s">
        <v>17</v>
      </c>
      <c r="L281" t="str">
        <f t="shared" si="4"/>
        <v xml:space="preserve">{ longitude: -63.6074618580816, latitude: 44.6282506073288, stopType: 'Bus Stop Shelter Non-Standard', gotime: \'8116\', location: \'PURCELLS COVE RD NS WESTGATE DR\' }, </v>
      </c>
    </row>
    <row r="282" spans="1:12" x14ac:dyDescent="0.25">
      <c r="A282">
        <v>-63.557255869416998</v>
      </c>
      <c r="B282">
        <v>44.597120439729103</v>
      </c>
      <c r="C282">
        <v>2281</v>
      </c>
      <c r="D282" t="s">
        <v>103</v>
      </c>
      <c r="E282" t="s">
        <v>12</v>
      </c>
      <c r="F282" t="s">
        <v>25</v>
      </c>
      <c r="G282" t="s">
        <v>65</v>
      </c>
      <c r="H282">
        <v>8117</v>
      </c>
      <c r="I282" t="s">
        <v>588</v>
      </c>
      <c r="J282" t="s">
        <v>589</v>
      </c>
      <c r="K282" t="s">
        <v>17</v>
      </c>
      <c r="L282" t="str">
        <f t="shared" si="4"/>
        <v xml:space="preserve">{ longitude: -63.557255869417, latitude: 44.5971204397291, stopType: 'Bus Stop Inaccessible', gotime: \'8117\', location: \'PURCELLS COVE RD NS YORK REDOUBT ENTRANCE\' }, </v>
      </c>
    </row>
    <row r="283" spans="1:12" x14ac:dyDescent="0.25">
      <c r="A283">
        <v>-63.608651454180603</v>
      </c>
      <c r="B283">
        <v>44.631477416451197</v>
      </c>
      <c r="C283">
        <v>2282</v>
      </c>
      <c r="D283" t="s">
        <v>18</v>
      </c>
      <c r="E283" t="s">
        <v>12</v>
      </c>
      <c r="F283" t="s">
        <v>13</v>
      </c>
      <c r="G283" t="s">
        <v>14</v>
      </c>
      <c r="H283">
        <v>8118</v>
      </c>
      <c r="I283" t="s">
        <v>590</v>
      </c>
      <c r="J283" t="s">
        <v>591</v>
      </c>
      <c r="K283" t="s">
        <v>17</v>
      </c>
      <c r="L283" t="str">
        <f t="shared" si="4"/>
        <v xml:space="preserve">{ longitude: -63.6086514541806, latitude: 44.6314774164512, stopType: 'Bus Stop Shelter Non-Standard', gotime: \'8118\', location: \'PURCELLS COVE RD OPP CIVIC 153\' }, </v>
      </c>
    </row>
    <row r="284" spans="1:12" x14ac:dyDescent="0.25">
      <c r="A284">
        <v>-63.601817913676697</v>
      </c>
      <c r="B284">
        <v>44.623797893682898</v>
      </c>
      <c r="C284">
        <v>2283</v>
      </c>
      <c r="D284" t="s">
        <v>18</v>
      </c>
      <c r="E284" t="s">
        <v>12</v>
      </c>
      <c r="F284" t="s">
        <v>13</v>
      </c>
      <c r="G284" t="s">
        <v>14</v>
      </c>
      <c r="H284">
        <v>8119</v>
      </c>
      <c r="I284" t="s">
        <v>592</v>
      </c>
      <c r="J284" t="s">
        <v>593</v>
      </c>
      <c r="K284" t="s">
        <v>17</v>
      </c>
      <c r="L284" t="str">
        <f t="shared" si="4"/>
        <v xml:space="preserve">{ longitude: -63.6018179136767, latitude: 44.6237978936829, stopType: 'Bus Stop Shelter Non-Standard', gotime: \'8119\', location: \'PURCELLS COVE RD OPP CIVIC 233\' }, </v>
      </c>
    </row>
    <row r="285" spans="1:12" x14ac:dyDescent="0.25">
      <c r="A285">
        <v>-63.599339833199402</v>
      </c>
      <c r="B285">
        <v>44.623181599772003</v>
      </c>
      <c r="C285">
        <v>2284</v>
      </c>
      <c r="D285" t="s">
        <v>11</v>
      </c>
      <c r="E285" t="s">
        <v>12</v>
      </c>
      <c r="F285" t="s">
        <v>25</v>
      </c>
      <c r="G285" t="s">
        <v>26</v>
      </c>
      <c r="H285">
        <v>8120</v>
      </c>
      <c r="I285" t="s">
        <v>594</v>
      </c>
      <c r="J285" t="s">
        <v>595</v>
      </c>
      <c r="K285" t="s">
        <v>17</v>
      </c>
      <c r="L285" t="str">
        <f t="shared" si="4"/>
        <v xml:space="preserve">{ longitude: -63.5993398331994, latitude: 44.623181599772, stopType: 'Bus Stop Non-Standard', gotime: \'8120\', location: \'PURCELLS COVE RD OPP CIVIC 251\' }, </v>
      </c>
    </row>
    <row r="286" spans="1:12" x14ac:dyDescent="0.25">
      <c r="A286">
        <v>-63.594822062226598</v>
      </c>
      <c r="B286">
        <v>44.623792787004398</v>
      </c>
      <c r="C286">
        <v>2285</v>
      </c>
      <c r="D286" t="s">
        <v>11</v>
      </c>
      <c r="E286" t="s">
        <v>12</v>
      </c>
      <c r="F286" t="s">
        <v>13</v>
      </c>
      <c r="G286" t="s">
        <v>14</v>
      </c>
      <c r="H286">
        <v>8121</v>
      </c>
      <c r="I286" t="s">
        <v>596</v>
      </c>
      <c r="J286" t="s">
        <v>597</v>
      </c>
      <c r="K286" t="s">
        <v>17</v>
      </c>
      <c r="L286" t="str">
        <f t="shared" si="4"/>
        <v xml:space="preserve">{ longitude: -63.5948220622266, latitude: 44.6237927870044, stopType: 'Bus Stop Non-Standard', gotime: \'8121\', location: \'PURCELLS COVE RD OPP CIVIC 291\' }, </v>
      </c>
    </row>
    <row r="287" spans="1:12" x14ac:dyDescent="0.25">
      <c r="A287">
        <v>-63.549606884739298</v>
      </c>
      <c r="B287">
        <v>44.7308292404567</v>
      </c>
      <c r="C287">
        <v>2286</v>
      </c>
      <c r="D287" t="s">
        <v>103</v>
      </c>
      <c r="E287" t="s">
        <v>12</v>
      </c>
      <c r="F287" t="s">
        <v>25</v>
      </c>
      <c r="G287" t="s">
        <v>65</v>
      </c>
      <c r="H287">
        <v>8443</v>
      </c>
      <c r="I287" t="s">
        <v>598</v>
      </c>
      <c r="J287" t="s">
        <v>599</v>
      </c>
      <c r="K287" t="s">
        <v>17</v>
      </c>
      <c r="L287" t="str">
        <f t="shared" si="4"/>
        <v xml:space="preserve">{ longitude: -63.5496068847393, latitude: 44.7308292404567, stopType: 'Bus Stop Inaccessible', gotime: \'8443\', location: \'WAVERLEY RD  FS CIVIC 867\' }, </v>
      </c>
    </row>
    <row r="288" spans="1:12" x14ac:dyDescent="0.25">
      <c r="A288">
        <v>-63.545320159866897</v>
      </c>
      <c r="B288">
        <v>44.717429001720603</v>
      </c>
      <c r="C288">
        <v>2287</v>
      </c>
      <c r="D288" t="s">
        <v>11</v>
      </c>
      <c r="E288" t="s">
        <v>12</v>
      </c>
      <c r="F288" t="s">
        <v>25</v>
      </c>
      <c r="G288" t="s">
        <v>26</v>
      </c>
      <c r="H288">
        <v>8444</v>
      </c>
      <c r="I288" t="s">
        <v>600</v>
      </c>
      <c r="J288" t="s">
        <v>601</v>
      </c>
      <c r="K288" t="s">
        <v>17</v>
      </c>
      <c r="L288" t="str">
        <f t="shared" si="4"/>
        <v xml:space="preserve">{ longitude: -63.5453201598669, latitude: 44.7174290017206, stopType: 'Bus Stop Non-Standard', gotime: \'8444\', location: \'WAVERLEY RD  AT CIVIC 451\' }, </v>
      </c>
    </row>
    <row r="289" spans="1:12" x14ac:dyDescent="0.25">
      <c r="A289">
        <v>-63.5420912459847</v>
      </c>
      <c r="B289">
        <v>44.727229585201499</v>
      </c>
      <c r="C289">
        <v>2288</v>
      </c>
      <c r="D289" t="s">
        <v>11</v>
      </c>
      <c r="E289" t="s">
        <v>12</v>
      </c>
      <c r="F289" t="s">
        <v>25</v>
      </c>
      <c r="G289" t="s">
        <v>26</v>
      </c>
      <c r="H289">
        <v>8445</v>
      </c>
      <c r="I289" t="s">
        <v>602</v>
      </c>
      <c r="J289" t="s">
        <v>603</v>
      </c>
      <c r="K289" t="s">
        <v>17</v>
      </c>
      <c r="L289" t="str">
        <f t="shared" si="4"/>
        <v xml:space="preserve">{ longitude: -63.5420912459847, latitude: 44.7272295852015, stopType: 'Bus Stop Non-Standard', gotime: \'8445\', location: \'WAVERLEY RD  AT CIVIC 765\' }, </v>
      </c>
    </row>
    <row r="290" spans="1:12" x14ac:dyDescent="0.25">
      <c r="A290">
        <v>-63.548490788699198</v>
      </c>
      <c r="B290">
        <v>44.708806782247201</v>
      </c>
      <c r="C290">
        <v>2289</v>
      </c>
      <c r="D290" t="s">
        <v>22</v>
      </c>
      <c r="E290" t="s">
        <v>12</v>
      </c>
      <c r="F290" t="s">
        <v>25</v>
      </c>
      <c r="G290" t="s">
        <v>26</v>
      </c>
      <c r="H290">
        <v>8446</v>
      </c>
      <c r="I290" t="s">
        <v>604</v>
      </c>
      <c r="J290" t="s">
        <v>605</v>
      </c>
      <c r="K290" t="s">
        <v>17</v>
      </c>
      <c r="L290" t="str">
        <f t="shared" si="4"/>
        <v xml:space="preserve">{ longitude: -63.5484907886992, latitude: 44.7088067822472, stopType: 'Bus Stop Shelter Accessible', gotime: \'8446\', location: \'WAVERLEY RD  NS BREEZE DR\' }, </v>
      </c>
    </row>
    <row r="291" spans="1:12" x14ac:dyDescent="0.25">
      <c r="A291">
        <v>-63.548349950787497</v>
      </c>
      <c r="B291">
        <v>44.701227877225897</v>
      </c>
      <c r="C291">
        <v>2290</v>
      </c>
      <c r="D291" t="s">
        <v>11</v>
      </c>
      <c r="E291" t="s">
        <v>12</v>
      </c>
      <c r="F291" t="s">
        <v>25</v>
      </c>
      <c r="G291" t="s">
        <v>19</v>
      </c>
      <c r="H291">
        <v>8447</v>
      </c>
      <c r="I291" t="s">
        <v>606</v>
      </c>
      <c r="J291" t="s">
        <v>607</v>
      </c>
      <c r="K291" t="s">
        <v>17</v>
      </c>
      <c r="L291" t="str">
        <f t="shared" si="4"/>
        <v xml:space="preserve">{ longitude: -63.5483499507875, latitude: 44.7012278772259, stopType: 'Bus Stop Non-Standard', gotime: \'8447\', location: \'WAVERLEY RD  NS MOUNTBATTEN AVE\' }, </v>
      </c>
    </row>
    <row r="292" spans="1:12" x14ac:dyDescent="0.25">
      <c r="A292">
        <v>-63.547045131944898</v>
      </c>
      <c r="B292">
        <v>44.693846248117801</v>
      </c>
      <c r="C292">
        <v>2291</v>
      </c>
      <c r="D292" t="s">
        <v>29</v>
      </c>
      <c r="E292" t="s">
        <v>12</v>
      </c>
      <c r="F292" t="s">
        <v>25</v>
      </c>
      <c r="G292" t="s">
        <v>26</v>
      </c>
      <c r="H292">
        <v>8448</v>
      </c>
      <c r="I292" t="s">
        <v>608</v>
      </c>
      <c r="J292" t="s">
        <v>609</v>
      </c>
      <c r="K292" t="s">
        <v>17</v>
      </c>
      <c r="L292" t="str">
        <f t="shared" si="4"/>
        <v xml:space="preserve">{ longitude: -63.5470451319449, latitude: 44.6938462481178, stopType: 'Bus Stop Accessible', gotime: \'8448\', location: \'WAVERLEY RD  OPP CIVIC 208\' }, </v>
      </c>
    </row>
    <row r="293" spans="1:12" x14ac:dyDescent="0.25">
      <c r="A293">
        <v>-63.583617974725101</v>
      </c>
      <c r="B293">
        <v>44.652485825925197</v>
      </c>
      <c r="C293">
        <v>2292</v>
      </c>
      <c r="D293" t="s">
        <v>29</v>
      </c>
      <c r="E293" t="s">
        <v>12</v>
      </c>
      <c r="F293" t="s">
        <v>25</v>
      </c>
      <c r="G293" t="s">
        <v>26</v>
      </c>
      <c r="H293">
        <v>6503</v>
      </c>
      <c r="I293" t="s">
        <v>610</v>
      </c>
      <c r="J293" t="s">
        <v>611</v>
      </c>
      <c r="K293" t="s">
        <v>17</v>
      </c>
      <c r="L293" t="str">
        <f t="shared" si="4"/>
        <v xml:space="preserve">{ longitude: -63.5836179747251, latitude: 44.6524858259252, stopType: 'Bus Stop Accessible', gotime: \'6503\', location: \'CORNWALLIS ST FS GOTTINGEN ST\' }, </v>
      </c>
    </row>
    <row r="294" spans="1:12" x14ac:dyDescent="0.25">
      <c r="A294">
        <v>-63.585258401545801</v>
      </c>
      <c r="B294">
        <v>44.651596301123398</v>
      </c>
      <c r="C294">
        <v>2293</v>
      </c>
      <c r="D294" t="s">
        <v>22</v>
      </c>
      <c r="E294" t="s">
        <v>12</v>
      </c>
      <c r="F294" t="s">
        <v>13</v>
      </c>
      <c r="G294" t="s">
        <v>19</v>
      </c>
      <c r="H294">
        <v>6504</v>
      </c>
      <c r="I294" t="s">
        <v>612</v>
      </c>
      <c r="J294" t="s">
        <v>613</v>
      </c>
      <c r="K294" t="s">
        <v>17</v>
      </c>
      <c r="L294" t="str">
        <f t="shared" si="4"/>
        <v xml:space="preserve">{ longitude: -63.5852584015458, latitude: 44.6515963011234, stopType: 'Bus Stop Shelter Accessible', gotime: \'6504\', location: \'CORNWALLIS ST AT G.B.ISNOR MANOR TO VIC MANOR\' }, </v>
      </c>
    </row>
    <row r="295" spans="1:12" x14ac:dyDescent="0.25">
      <c r="A295">
        <v>-63.586101823020599</v>
      </c>
      <c r="B295">
        <v>44.650876772719499</v>
      </c>
      <c r="C295">
        <v>2294</v>
      </c>
      <c r="D295" t="s">
        <v>29</v>
      </c>
      <c r="E295" t="s">
        <v>12</v>
      </c>
      <c r="F295" t="s">
        <v>25</v>
      </c>
      <c r="G295" t="s">
        <v>26</v>
      </c>
      <c r="H295">
        <v>6506</v>
      </c>
      <c r="I295" t="s">
        <v>614</v>
      </c>
      <c r="J295" t="s">
        <v>615</v>
      </c>
      <c r="K295" t="s">
        <v>17</v>
      </c>
      <c r="L295" t="str">
        <f t="shared" si="4"/>
        <v xml:space="preserve">{ longitude: -63.5861018230206, latitude: 44.6508767727195, stopType: 'Bus Stop Accessible', gotime: \'6506\', location: \'CORNWALLIS ST NS BAUER ST\' }, </v>
      </c>
    </row>
    <row r="296" spans="1:12" x14ac:dyDescent="0.25">
      <c r="A296">
        <v>-63.582471045738401</v>
      </c>
      <c r="B296">
        <v>44.653259596186203</v>
      </c>
      <c r="C296">
        <v>2295</v>
      </c>
      <c r="D296" t="s">
        <v>29</v>
      </c>
      <c r="E296" t="s">
        <v>12</v>
      </c>
      <c r="F296" t="s">
        <v>25</v>
      </c>
      <c r="G296" t="s">
        <v>26</v>
      </c>
      <c r="H296">
        <v>6507</v>
      </c>
      <c r="I296" t="s">
        <v>616</v>
      </c>
      <c r="J296" t="s">
        <v>617</v>
      </c>
      <c r="K296" t="s">
        <v>17</v>
      </c>
      <c r="L296" t="str">
        <f t="shared" si="4"/>
        <v xml:space="preserve">{ longitude: -63.5824710457384, latitude: 44.6532595961862, stopType: 'Bus Stop Accessible', gotime: \'6507\', location: \'CORNWALLIS ST NS BRUNSWICK ST\' }, </v>
      </c>
    </row>
    <row r="297" spans="1:12" x14ac:dyDescent="0.25">
      <c r="A297">
        <v>-63.586462222426903</v>
      </c>
      <c r="B297">
        <v>44.650864266667803</v>
      </c>
      <c r="C297">
        <v>2296</v>
      </c>
      <c r="D297" t="s">
        <v>29</v>
      </c>
      <c r="E297" t="s">
        <v>12</v>
      </c>
      <c r="F297" t="s">
        <v>13</v>
      </c>
      <c r="G297" t="s">
        <v>19</v>
      </c>
      <c r="H297">
        <v>6508</v>
      </c>
      <c r="I297" t="s">
        <v>618</v>
      </c>
      <c r="J297" t="s">
        <v>619</v>
      </c>
      <c r="K297" t="s">
        <v>17</v>
      </c>
      <c r="L297" t="str">
        <f t="shared" si="4"/>
        <v xml:space="preserve">{ longitude: -63.5864622224269, latitude: 44.6508642666678, stopType: 'Bus Stop Accessible', gotime: \'6508\', location: \'CORNWALLIS ST NS NORTH PARK ST\' }, </v>
      </c>
    </row>
    <row r="298" spans="1:12" x14ac:dyDescent="0.25">
      <c r="A298">
        <v>-63.491394930546903</v>
      </c>
      <c r="B298">
        <v>44.612172471584302</v>
      </c>
      <c r="C298">
        <v>2297</v>
      </c>
      <c r="D298" t="s">
        <v>22</v>
      </c>
      <c r="E298" t="s">
        <v>12</v>
      </c>
      <c r="F298" t="s">
        <v>25</v>
      </c>
      <c r="G298" t="s">
        <v>199</v>
      </c>
      <c r="H298">
        <v>6509</v>
      </c>
      <c r="I298" t="s">
        <v>620</v>
      </c>
      <c r="J298" t="s">
        <v>621</v>
      </c>
      <c r="K298" t="s">
        <v>17</v>
      </c>
      <c r="L298" t="str">
        <f t="shared" si="4"/>
        <v xml:space="preserve">{ longitude: -63.4913949305469, latitude: 44.6121724715843, stopType: 'Bus Stop Shelter Accessible', gotime: \'6509\', location: \'COW BAY RD OPP SENIORS MANOR\' }, </v>
      </c>
    </row>
    <row r="299" spans="1:12" x14ac:dyDescent="0.25">
      <c r="A299">
        <v>-63.475832789582697</v>
      </c>
      <c r="B299">
        <v>44.611565976904203</v>
      </c>
      <c r="C299">
        <v>2298</v>
      </c>
      <c r="D299" t="s">
        <v>22</v>
      </c>
      <c r="E299" t="s">
        <v>12</v>
      </c>
      <c r="F299" t="s">
        <v>25</v>
      </c>
      <c r="G299" t="s">
        <v>26</v>
      </c>
      <c r="H299">
        <v>6510</v>
      </c>
      <c r="I299" t="s">
        <v>622</v>
      </c>
      <c r="J299" t="s">
        <v>623</v>
      </c>
      <c r="K299" t="s">
        <v>17</v>
      </c>
      <c r="L299" t="str">
        <f t="shared" si="4"/>
        <v xml:space="preserve">{ longitude: -63.4758327895827, latitude: 44.6115659769042, stopType: 'Bus Stop Shelter Accessible', gotime: \'6510\', location: \'COW BAY RD FS OCEANLEA DR\' }, </v>
      </c>
    </row>
    <row r="300" spans="1:12" x14ac:dyDescent="0.25">
      <c r="A300">
        <v>-63.4878709358549</v>
      </c>
      <c r="B300">
        <v>44.611952297347003</v>
      </c>
      <c r="C300">
        <v>2299</v>
      </c>
      <c r="D300" t="s">
        <v>22</v>
      </c>
      <c r="E300" t="s">
        <v>12</v>
      </c>
      <c r="F300" t="s">
        <v>25</v>
      </c>
      <c r="G300" t="s">
        <v>26</v>
      </c>
      <c r="H300">
        <v>6511</v>
      </c>
      <c r="I300" t="s">
        <v>624</v>
      </c>
      <c r="J300" t="s">
        <v>625</v>
      </c>
      <c r="K300" t="s">
        <v>17</v>
      </c>
      <c r="L300" t="str">
        <f t="shared" si="4"/>
        <v xml:space="preserve">{ longitude: -63.4878709358549, latitude: 44.611952297347, stopType: 'Bus Stop Shelter Accessible', gotime: \'6511\', location: \'COW BAY RD NS BRIARWOOD DR\' }, </v>
      </c>
    </row>
    <row r="301" spans="1:12" x14ac:dyDescent="0.25">
      <c r="A301">
        <v>-63.480084834945302</v>
      </c>
      <c r="B301">
        <v>44.611217038588997</v>
      </c>
      <c r="C301">
        <v>2300</v>
      </c>
      <c r="D301" t="s">
        <v>22</v>
      </c>
      <c r="E301" t="s">
        <v>12</v>
      </c>
      <c r="F301" t="s">
        <v>25</v>
      </c>
      <c r="G301" t="s">
        <v>26</v>
      </c>
      <c r="H301">
        <v>6512</v>
      </c>
      <c r="I301" t="s">
        <v>626</v>
      </c>
      <c r="J301" t="s">
        <v>627</v>
      </c>
      <c r="K301" t="s">
        <v>17</v>
      </c>
      <c r="L301" t="str">
        <f t="shared" si="4"/>
        <v xml:space="preserve">{ longitude: -63.4800848349453, latitude: 44.611217038589, stopType: 'Bus Stop Shelter Accessible', gotime: \'6512\', location: \'COW BAY RD NS GARRISON DR\' }, </v>
      </c>
    </row>
    <row r="302" spans="1:12" x14ac:dyDescent="0.25">
      <c r="A302">
        <v>-63.484540581426799</v>
      </c>
      <c r="B302">
        <v>44.610743755837802</v>
      </c>
      <c r="C302">
        <v>2301</v>
      </c>
      <c r="D302" t="s">
        <v>22</v>
      </c>
      <c r="E302" t="s">
        <v>12</v>
      </c>
      <c r="F302" t="s">
        <v>25</v>
      </c>
      <c r="G302" t="s">
        <v>26</v>
      </c>
      <c r="H302">
        <v>6513</v>
      </c>
      <c r="I302" t="s">
        <v>628</v>
      </c>
      <c r="J302" t="s">
        <v>629</v>
      </c>
      <c r="K302" t="s">
        <v>17</v>
      </c>
      <c r="L302" t="str">
        <f t="shared" si="4"/>
        <v xml:space="preserve">{ longitude: -63.4845405814268, latitude: 44.6107437558378, stopType: 'Bus Stop Shelter Accessible', gotime: \'6513\', location: \'COW BAY RD NS YORKS LANE\' }, </v>
      </c>
    </row>
    <row r="303" spans="1:12" x14ac:dyDescent="0.25">
      <c r="A303">
        <v>-63.620262155344903</v>
      </c>
      <c r="B303">
        <v>44.632131825110598</v>
      </c>
      <c r="C303">
        <v>2302</v>
      </c>
      <c r="D303" t="s">
        <v>11</v>
      </c>
      <c r="E303" t="s">
        <v>12</v>
      </c>
      <c r="F303" t="s">
        <v>13</v>
      </c>
      <c r="G303" t="s">
        <v>14</v>
      </c>
      <c r="H303">
        <v>6514</v>
      </c>
      <c r="I303" t="s">
        <v>630</v>
      </c>
      <c r="J303" t="s">
        <v>631</v>
      </c>
      <c r="K303" t="s">
        <v>17</v>
      </c>
      <c r="L303" t="str">
        <f t="shared" si="4"/>
        <v xml:space="preserve">{ longitude: -63.6202621553449, latitude: 44.6321318251106, stopType: 'Bus Stop Non-Standard', gotime: \'6514\', location: \'COWIE HILL AT CIVIC 41\' }, </v>
      </c>
    </row>
    <row r="304" spans="1:12" x14ac:dyDescent="0.25">
      <c r="A304">
        <v>-63.621807284844699</v>
      </c>
      <c r="B304">
        <v>44.631368384842702</v>
      </c>
      <c r="C304">
        <v>2303</v>
      </c>
      <c r="D304" t="s">
        <v>22</v>
      </c>
      <c r="E304" t="s">
        <v>12</v>
      </c>
      <c r="F304" t="s">
        <v>13</v>
      </c>
      <c r="G304" t="s">
        <v>14</v>
      </c>
      <c r="H304">
        <v>6515</v>
      </c>
      <c r="I304" t="s">
        <v>632</v>
      </c>
      <c r="J304" t="s">
        <v>633</v>
      </c>
      <c r="K304" t="s">
        <v>17</v>
      </c>
      <c r="L304" t="str">
        <f t="shared" si="4"/>
        <v xml:space="preserve">{ longitude: -63.6218072848447, latitude: 44.6313683848427, stopType: 'Bus Stop Shelter Accessible', gotime: \'6515\', location: \'COWIE HILL AT SENIORS MANOR\' }, </v>
      </c>
    </row>
    <row r="305" spans="1:12" x14ac:dyDescent="0.25">
      <c r="A305">
        <v>-63.619733198461297</v>
      </c>
      <c r="B305">
        <v>44.632105519656598</v>
      </c>
      <c r="C305">
        <v>2304</v>
      </c>
      <c r="D305" t="s">
        <v>29</v>
      </c>
      <c r="E305" t="s">
        <v>12</v>
      </c>
      <c r="F305" t="s">
        <v>13</v>
      </c>
      <c r="G305" t="s">
        <v>14</v>
      </c>
      <c r="H305">
        <v>6516</v>
      </c>
      <c r="I305" t="s">
        <v>634</v>
      </c>
      <c r="J305" t="s">
        <v>635</v>
      </c>
      <c r="K305" t="s">
        <v>17</v>
      </c>
      <c r="L305" t="str">
        <f t="shared" si="4"/>
        <v xml:space="preserve">{ longitude: -63.6197331984613, latitude: 44.6321055196566, stopType: 'Bus Stop Accessible', gotime: \'6516\', location: \'COWIE HILL OPP CIVIC 41\' }, </v>
      </c>
    </row>
    <row r="306" spans="1:12" x14ac:dyDescent="0.25">
      <c r="A306">
        <v>-63.668866355432399</v>
      </c>
      <c r="B306">
        <v>44.709476318097003</v>
      </c>
      <c r="C306">
        <v>2305</v>
      </c>
      <c r="D306" t="s">
        <v>103</v>
      </c>
      <c r="E306" t="s">
        <v>12</v>
      </c>
      <c r="F306" t="s">
        <v>25</v>
      </c>
      <c r="G306" t="s">
        <v>65</v>
      </c>
      <c r="H306">
        <v>6274</v>
      </c>
      <c r="I306" t="s">
        <v>636</v>
      </c>
      <c r="J306" t="s">
        <v>637</v>
      </c>
      <c r="K306" t="s">
        <v>17</v>
      </c>
      <c r="L306" t="str">
        <f t="shared" si="4"/>
        <v xml:space="preserve">{ longitude: -63.6688663554324, latitude: 44.709476318097, stopType: 'Bus Stop Inaccessible', gotime: \'6274\', location: \'BEDFORD HWY NS GLENMONT AVE [IB]\' }, </v>
      </c>
    </row>
    <row r="307" spans="1:12" x14ac:dyDescent="0.25">
      <c r="A307">
        <v>-63.660764895218399</v>
      </c>
      <c r="B307">
        <v>44.682336976786999</v>
      </c>
      <c r="C307">
        <v>2306</v>
      </c>
      <c r="D307" t="s">
        <v>11</v>
      </c>
      <c r="E307" t="s">
        <v>12</v>
      </c>
      <c r="F307" t="s">
        <v>25</v>
      </c>
      <c r="G307" t="s">
        <v>26</v>
      </c>
      <c r="H307">
        <v>6275</v>
      </c>
      <c r="I307" t="s">
        <v>638</v>
      </c>
      <c r="J307" t="s">
        <v>639</v>
      </c>
      <c r="K307" t="s">
        <v>17</v>
      </c>
      <c r="L307" t="str">
        <f t="shared" si="4"/>
        <v xml:space="preserve">{ longitude: -63.6607648952184, latitude: 44.682336976787, stopType: 'Bus Stop Non-Standard', gotime: \'6275\', location: \'BEDFORD HWY NS KEARNEY LAKE RD\' }, </v>
      </c>
    </row>
    <row r="308" spans="1:12" x14ac:dyDescent="0.25">
      <c r="A308">
        <v>-63.6600630993861</v>
      </c>
      <c r="B308">
        <v>44.690746548921503</v>
      </c>
      <c r="C308">
        <v>2307</v>
      </c>
      <c r="D308" t="s">
        <v>103</v>
      </c>
      <c r="E308" t="s">
        <v>12</v>
      </c>
      <c r="F308" t="s">
        <v>25</v>
      </c>
      <c r="G308" t="s">
        <v>65</v>
      </c>
      <c r="H308">
        <v>6276</v>
      </c>
      <c r="I308" t="s">
        <v>640</v>
      </c>
      <c r="J308" t="s">
        <v>641</v>
      </c>
      <c r="K308" t="s">
        <v>17</v>
      </c>
      <c r="L308" t="str">
        <f t="shared" si="4"/>
        <v xml:space="preserve">{ longitude: -63.6600630993861, latitude: 44.6907465489215, stopType: 'Bus Stop Inaccessible', gotime: \'6276\', location: \'BEDFORD HWY NS KENT AVE\' }, </v>
      </c>
    </row>
    <row r="309" spans="1:12" x14ac:dyDescent="0.25">
      <c r="A309">
        <v>-63.6715342641372</v>
      </c>
      <c r="B309">
        <v>44.721510260842997</v>
      </c>
      <c r="C309">
        <v>2308</v>
      </c>
      <c r="D309" t="s">
        <v>103</v>
      </c>
      <c r="E309" t="s">
        <v>12</v>
      </c>
      <c r="F309" t="s">
        <v>25</v>
      </c>
      <c r="G309" t="s">
        <v>65</v>
      </c>
      <c r="H309">
        <v>6277</v>
      </c>
      <c r="I309" t="s">
        <v>642</v>
      </c>
      <c r="J309" t="s">
        <v>643</v>
      </c>
      <c r="K309" t="s">
        <v>17</v>
      </c>
      <c r="L309" t="str">
        <f t="shared" si="4"/>
        <v xml:space="preserve">{ longitude: -63.6715342641372, latitude: 44.721510260843, stopType: 'Bus Stop Inaccessible', gotime: \'6277\', location: \'BEDFORD HWY NS LINDSAY HILL\' }, </v>
      </c>
    </row>
    <row r="310" spans="1:12" x14ac:dyDescent="0.25">
      <c r="A310">
        <v>-63.6705923027585</v>
      </c>
      <c r="B310">
        <v>44.722943368779703</v>
      </c>
      <c r="C310">
        <v>2309</v>
      </c>
      <c r="D310" t="s">
        <v>29</v>
      </c>
      <c r="E310" t="s">
        <v>12</v>
      </c>
      <c r="F310" t="s">
        <v>25</v>
      </c>
      <c r="G310" t="s">
        <v>19</v>
      </c>
      <c r="H310">
        <v>6278</v>
      </c>
      <c r="I310" t="s">
        <v>644</v>
      </c>
      <c r="J310" t="s">
        <v>645</v>
      </c>
      <c r="K310" t="s">
        <v>17</v>
      </c>
      <c r="L310" t="str">
        <f t="shared" si="4"/>
        <v xml:space="preserve">{ longitude: -63.6705923027585, latitude: 44.7229433687797, stopType: 'Bus Stop Accessible', gotime: \'6278\', location: \'BEDFORD HWY NS SULLIVANS HILL\' }, </v>
      </c>
    </row>
    <row r="311" spans="1:12" x14ac:dyDescent="0.25">
      <c r="A311">
        <v>-63.654756533515297</v>
      </c>
      <c r="B311">
        <v>44.679997735946401</v>
      </c>
      <c r="C311">
        <v>2310</v>
      </c>
      <c r="D311" t="s">
        <v>22</v>
      </c>
      <c r="E311" t="s">
        <v>12</v>
      </c>
      <c r="F311" t="s">
        <v>25</v>
      </c>
      <c r="G311" t="s">
        <v>19</v>
      </c>
      <c r="H311">
        <v>6279</v>
      </c>
      <c r="I311" t="s">
        <v>646</v>
      </c>
      <c r="J311" t="s">
        <v>647</v>
      </c>
      <c r="K311" t="s">
        <v>17</v>
      </c>
      <c r="L311" t="str">
        <f t="shared" si="4"/>
        <v xml:space="preserve">{ longitude: -63.6547565335153, latitude: 44.6799977359464, stopType: 'Bus Stop Shelter Accessible', gotime: \'6279\', location: \'BEDFORD HWY NS TORRINGTON DR\' }, </v>
      </c>
    </row>
    <row r="312" spans="1:12" x14ac:dyDescent="0.25">
      <c r="A312">
        <v>-63.677440501784801</v>
      </c>
      <c r="B312">
        <v>44.717152119842403</v>
      </c>
      <c r="C312">
        <v>2311</v>
      </c>
      <c r="D312" t="s">
        <v>11</v>
      </c>
      <c r="E312" t="s">
        <v>12</v>
      </c>
      <c r="F312" t="s">
        <v>25</v>
      </c>
      <c r="G312" t="s">
        <v>26</v>
      </c>
      <c r="H312">
        <v>6280</v>
      </c>
      <c r="I312" t="s">
        <v>648</v>
      </c>
      <c r="J312" t="s">
        <v>649</v>
      </c>
      <c r="K312" t="s">
        <v>17</v>
      </c>
      <c r="L312" t="str">
        <f t="shared" si="4"/>
        <v xml:space="preserve">{ longitude: -63.6774405017848, latitude: 44.7171521198424, stopType: 'Bus Stop Non-Standard', gotime: \'6280\', location: \'BEDFORD HWY NS VALLEY RD\' }, </v>
      </c>
    </row>
    <row r="313" spans="1:12" x14ac:dyDescent="0.25">
      <c r="A313">
        <v>-63.654961594668201</v>
      </c>
      <c r="B313">
        <v>44.7352842885171</v>
      </c>
      <c r="C313">
        <v>2312</v>
      </c>
      <c r="D313" t="s">
        <v>22</v>
      </c>
      <c r="E313" t="s">
        <v>12</v>
      </c>
      <c r="F313" t="s">
        <v>25</v>
      </c>
      <c r="G313" t="s">
        <v>19</v>
      </c>
      <c r="H313">
        <v>6281</v>
      </c>
      <c r="I313" t="s">
        <v>650</v>
      </c>
      <c r="J313" t="s">
        <v>651</v>
      </c>
      <c r="K313" t="s">
        <v>17</v>
      </c>
      <c r="L313" t="str">
        <f t="shared" si="4"/>
        <v xml:space="preserve">{ longitude: -63.6549615946682, latitude: 44.7352842885171, stopType: 'Bus Stop Shelter Accessible', gotime: \'6281\', location: \'BEDFORD HWY OPP BEDFORD PLACE MALL\' }, </v>
      </c>
    </row>
    <row r="314" spans="1:12" x14ac:dyDescent="0.25">
      <c r="A314">
        <v>-63.6633603224751</v>
      </c>
      <c r="B314">
        <v>44.728962680965999</v>
      </c>
      <c r="C314">
        <v>2313</v>
      </c>
      <c r="D314" t="s">
        <v>11</v>
      </c>
      <c r="E314" t="s">
        <v>12</v>
      </c>
      <c r="F314" t="s">
        <v>13</v>
      </c>
      <c r="G314" t="s">
        <v>14</v>
      </c>
      <c r="H314">
        <v>6282</v>
      </c>
      <c r="I314" t="s">
        <v>652</v>
      </c>
      <c r="J314" t="s">
        <v>653</v>
      </c>
      <c r="K314" t="s">
        <v>17</v>
      </c>
      <c r="L314" t="str">
        <f t="shared" si="4"/>
        <v xml:space="preserve">{ longitude: -63.6633603224751, latitude: 44.728962680966, stopType: 'Bus Stop Non-Standard', gotime: \'6282\', location: \'BEDFORD HWY OPP CIVIC 1394\' }, </v>
      </c>
    </row>
    <row r="315" spans="1:12" x14ac:dyDescent="0.25">
      <c r="A315">
        <v>-63.669820563467098</v>
      </c>
      <c r="B315">
        <v>44.723945722704698</v>
      </c>
      <c r="C315">
        <v>2314</v>
      </c>
      <c r="D315" t="s">
        <v>29</v>
      </c>
      <c r="E315" t="s">
        <v>12</v>
      </c>
      <c r="F315" t="s">
        <v>25</v>
      </c>
      <c r="G315" t="s">
        <v>26</v>
      </c>
      <c r="H315">
        <v>6283</v>
      </c>
      <c r="I315" t="s">
        <v>654</v>
      </c>
      <c r="J315" t="s">
        <v>655</v>
      </c>
      <c r="K315" t="s">
        <v>17</v>
      </c>
      <c r="L315" t="str">
        <f t="shared" si="4"/>
        <v xml:space="preserve">{ longitude: -63.6698205634671, latitude: 44.7239457227047, stopType: 'Bus Stop Accessible', gotime: \'6283\', location: \'BEDFORD HWY OPP FOURTH ST\' }, </v>
      </c>
    </row>
    <row r="316" spans="1:12" x14ac:dyDescent="0.25">
      <c r="A316">
        <v>-63.6686384378879</v>
      </c>
      <c r="B316">
        <v>44.709528657188599</v>
      </c>
      <c r="C316">
        <v>2315</v>
      </c>
      <c r="D316" t="s">
        <v>103</v>
      </c>
      <c r="E316" t="s">
        <v>12</v>
      </c>
      <c r="F316" t="s">
        <v>25</v>
      </c>
      <c r="G316" t="s">
        <v>65</v>
      </c>
      <c r="H316">
        <v>6284</v>
      </c>
      <c r="I316" t="s">
        <v>656</v>
      </c>
      <c r="J316" t="s">
        <v>657</v>
      </c>
      <c r="K316" t="s">
        <v>17</v>
      </c>
      <c r="L316" t="str">
        <f t="shared" si="4"/>
        <v xml:space="preserve">{ longitude: -63.6686384378879, latitude: 44.7095286571886, stopType: 'Bus Stop Inaccessible', gotime: \'6284\', location: \'BEDFORD HWY OPP GLENMONT AVE\' }, </v>
      </c>
    </row>
    <row r="317" spans="1:12" x14ac:dyDescent="0.25">
      <c r="A317">
        <v>-63.663332042409799</v>
      </c>
      <c r="B317">
        <v>44.729199164500301</v>
      </c>
      <c r="C317">
        <v>2316</v>
      </c>
      <c r="D317" t="s">
        <v>11</v>
      </c>
      <c r="E317" t="s">
        <v>12</v>
      </c>
      <c r="F317" t="s">
        <v>25</v>
      </c>
      <c r="G317" t="s">
        <v>26</v>
      </c>
      <c r="H317">
        <v>6285</v>
      </c>
      <c r="I317" t="s">
        <v>658</v>
      </c>
      <c r="J317" t="s">
        <v>659</v>
      </c>
      <c r="K317" t="s">
        <v>17</v>
      </c>
      <c r="L317" t="str">
        <f t="shared" si="4"/>
        <v xml:space="preserve">{ longitude: -63.6633320424098, latitude: 44.7291991645003, stopType: 'Bus Stop Non-Standard', gotime: \'6285\', location: \'BEDFORD HWY OPP HATCHERY LANE\' }, </v>
      </c>
    </row>
    <row r="318" spans="1:12" x14ac:dyDescent="0.25">
      <c r="A318">
        <v>-63.640644025216602</v>
      </c>
      <c r="B318">
        <v>44.669716506879098</v>
      </c>
      <c r="C318">
        <v>2317</v>
      </c>
      <c r="D318" t="s">
        <v>11</v>
      </c>
      <c r="E318" t="s">
        <v>12</v>
      </c>
      <c r="F318" t="s">
        <v>13</v>
      </c>
      <c r="G318" t="s">
        <v>19</v>
      </c>
      <c r="H318">
        <v>6286</v>
      </c>
      <c r="I318" t="s">
        <v>660</v>
      </c>
      <c r="J318" t="s">
        <v>661</v>
      </c>
      <c r="K318" t="s">
        <v>17</v>
      </c>
      <c r="L318" t="str">
        <f t="shared" si="4"/>
        <v xml:space="preserve">{ longitude: -63.6406440252166, latitude: 44.6697165068791, stopType: 'Bus Stop Non-Standard', gotime: \'6286\', location: \'BEDFORD HWY OPP SHERBROOKE DR\' }, </v>
      </c>
    </row>
    <row r="319" spans="1:12" x14ac:dyDescent="0.25">
      <c r="A319">
        <v>-63.660678809492701</v>
      </c>
      <c r="B319">
        <v>44.696159896801497</v>
      </c>
      <c r="C319">
        <v>2318</v>
      </c>
      <c r="D319" t="s">
        <v>18</v>
      </c>
      <c r="E319" t="s">
        <v>12</v>
      </c>
      <c r="F319" t="s">
        <v>25</v>
      </c>
      <c r="G319" t="s">
        <v>19</v>
      </c>
      <c r="H319">
        <v>6287</v>
      </c>
      <c r="I319" t="s">
        <v>662</v>
      </c>
      <c r="J319" t="s">
        <v>663</v>
      </c>
      <c r="K319" t="s">
        <v>17</v>
      </c>
      <c r="L319" t="str">
        <f t="shared" si="4"/>
        <v xml:space="preserve">{ longitude: -63.6606788094927, latitude: 44.6961598968015, stopType: 'Bus Stop Shelter Non-Standard', gotime: \'6287\', location: \'BEDFORD HWY OPP SHAUNSLIEVE DR\' }, </v>
      </c>
    </row>
    <row r="320" spans="1:12" x14ac:dyDescent="0.25">
      <c r="A320">
        <v>-63.629728172103199</v>
      </c>
      <c r="B320">
        <v>44.655510447862497</v>
      </c>
      <c r="C320">
        <v>2319</v>
      </c>
      <c r="D320" t="s">
        <v>29</v>
      </c>
      <c r="E320" t="s">
        <v>12</v>
      </c>
      <c r="F320" t="s">
        <v>13</v>
      </c>
      <c r="G320" t="s">
        <v>19</v>
      </c>
      <c r="H320">
        <v>6986</v>
      </c>
      <c r="I320" t="s">
        <v>664</v>
      </c>
      <c r="J320" t="s">
        <v>665</v>
      </c>
      <c r="K320" t="s">
        <v>17</v>
      </c>
      <c r="L320" t="str">
        <f t="shared" si="4"/>
        <v xml:space="preserve">{ longitude: -63.6297281721032, latitude: 44.6555104478625, stopType: 'Bus Stop Accessible', gotime: \'6986\', location: \'JOSEPH HOWE DR FS BAYERS RD\' }, </v>
      </c>
    </row>
    <row r="321" spans="1:12" x14ac:dyDescent="0.25">
      <c r="A321">
        <v>-63.600201693594997</v>
      </c>
      <c r="B321">
        <v>44.711840427608998</v>
      </c>
      <c r="C321">
        <v>2320</v>
      </c>
      <c r="D321" t="s">
        <v>11</v>
      </c>
      <c r="E321" t="s">
        <v>12</v>
      </c>
      <c r="F321" t="s">
        <v>13</v>
      </c>
      <c r="G321" t="s">
        <v>14</v>
      </c>
      <c r="H321">
        <v>6987</v>
      </c>
      <c r="I321" t="s">
        <v>666</v>
      </c>
      <c r="J321" t="s">
        <v>667</v>
      </c>
      <c r="K321" t="s">
        <v>17</v>
      </c>
      <c r="L321" t="str">
        <f t="shared" si="4"/>
        <v xml:space="preserve">{ longitude: -63.600201693595, latitude: 44.711840427609, stopType: 'Bus Stop Non-Standard', gotime: \'6987\', location: \'JOE ZATZMAN AVE FS AKERLEY BLVD\' }, </v>
      </c>
    </row>
    <row r="322" spans="1:12" x14ac:dyDescent="0.25">
      <c r="A322">
        <v>-63.601636874766598</v>
      </c>
      <c r="B322">
        <v>44.713876562548698</v>
      </c>
      <c r="C322">
        <v>2321</v>
      </c>
      <c r="D322" t="s">
        <v>18</v>
      </c>
      <c r="E322" t="s">
        <v>12</v>
      </c>
      <c r="F322" t="s">
        <v>13</v>
      </c>
      <c r="G322" t="s">
        <v>19</v>
      </c>
      <c r="H322">
        <v>6988</v>
      </c>
      <c r="I322" t="s">
        <v>668</v>
      </c>
      <c r="J322" t="s">
        <v>669</v>
      </c>
      <c r="K322" t="s">
        <v>17</v>
      </c>
      <c r="L322" t="str">
        <f t="shared" si="4"/>
        <v xml:space="preserve">{ longitude: -63.6016368747666, latitude: 44.7138765625487, stopType: 'Bus Stop Shelter Non-Standard', gotime: \'6988\', location: \'JOE ZATZMAN AVE FS SIMMOMDS DR\' }, </v>
      </c>
    </row>
    <row r="323" spans="1:12" x14ac:dyDescent="0.25">
      <c r="A323">
        <v>-63.604352793190898</v>
      </c>
      <c r="B323">
        <v>44.715346571931597</v>
      </c>
      <c r="C323">
        <v>2322</v>
      </c>
      <c r="D323" t="s">
        <v>103</v>
      </c>
      <c r="E323" t="s">
        <v>12</v>
      </c>
      <c r="F323" t="s">
        <v>13</v>
      </c>
      <c r="G323" t="s">
        <v>65</v>
      </c>
      <c r="H323">
        <v>6989</v>
      </c>
      <c r="I323" t="s">
        <v>670</v>
      </c>
      <c r="J323" t="s">
        <v>671</v>
      </c>
      <c r="K323" t="s">
        <v>17</v>
      </c>
      <c r="L323" t="str">
        <f t="shared" ref="L323:L386" si="5">CONCATENATE( "{ longitude: ", A323, ", latitude: ", B323, ", stopType: '", D323, "', gotime: \'", H323, "\', location: \'", I323, "\' }, ")</f>
        <v xml:space="preserve">{ longitude: -63.6043527931909, latitude: 44.7153465719316, stopType: 'Bus Stop Inaccessible', gotime: \'6989\', location: \'JOE ZATZMAN AVE NS OPP TOPPLE DR\' }, </v>
      </c>
    </row>
    <row r="324" spans="1:12" x14ac:dyDescent="0.25">
      <c r="A324">
        <v>-63.482615995708002</v>
      </c>
      <c r="B324">
        <v>44.680450094846996</v>
      </c>
      <c r="C324">
        <v>2323</v>
      </c>
      <c r="D324" t="s">
        <v>11</v>
      </c>
      <c r="E324" t="s">
        <v>12</v>
      </c>
      <c r="F324" t="s">
        <v>13</v>
      </c>
      <c r="G324" t="s">
        <v>14</v>
      </c>
      <c r="H324">
        <v>6990</v>
      </c>
      <c r="I324" t="s">
        <v>672</v>
      </c>
      <c r="J324" s="1" t="s">
        <v>673</v>
      </c>
      <c r="K324" t="s">
        <v>17</v>
      </c>
      <c r="L324" t="str">
        <f t="shared" si="5"/>
        <v xml:space="preserve">{ longitude: -63.482615995708, latitude: 44.680450094847, stopType: 'Bus Stop Non-Standard', gotime: \'6990\', location: \'JOHN STEWART DR AT CIVICIC 293\' }, </v>
      </c>
    </row>
    <row r="325" spans="1:12" x14ac:dyDescent="0.25">
      <c r="A325">
        <v>-63.485977438166202</v>
      </c>
      <c r="B325">
        <v>44.685958567396803</v>
      </c>
      <c r="C325">
        <v>2324</v>
      </c>
      <c r="D325" t="s">
        <v>29</v>
      </c>
      <c r="E325" t="s">
        <v>12</v>
      </c>
      <c r="F325" t="s">
        <v>25</v>
      </c>
      <c r="G325" t="s">
        <v>26</v>
      </c>
      <c r="H325">
        <v>6991</v>
      </c>
      <c r="I325" t="s">
        <v>674</v>
      </c>
      <c r="J325" t="s">
        <v>675</v>
      </c>
      <c r="K325" t="s">
        <v>17</v>
      </c>
      <c r="L325" t="str">
        <f t="shared" si="5"/>
        <v xml:space="preserve">{ longitude: -63.4859774381662, latitude: 44.6859585673968, stopType: 'Bus Stop Accessible', gotime: \'6991\', location: \'JOHN STEWART DR FS AUBURN DR\' }, </v>
      </c>
    </row>
    <row r="326" spans="1:12" x14ac:dyDescent="0.25">
      <c r="A326">
        <v>-63.4838476838368</v>
      </c>
      <c r="B326">
        <v>44.682222755568098</v>
      </c>
      <c r="C326">
        <v>2325</v>
      </c>
      <c r="D326" t="s">
        <v>29</v>
      </c>
      <c r="E326" t="s">
        <v>12</v>
      </c>
      <c r="F326" t="s">
        <v>25</v>
      </c>
      <c r="G326" t="s">
        <v>19</v>
      </c>
      <c r="H326">
        <v>6992</v>
      </c>
      <c r="I326" t="s">
        <v>676</v>
      </c>
      <c r="J326" t="s">
        <v>677</v>
      </c>
      <c r="K326" t="s">
        <v>17</v>
      </c>
      <c r="L326" t="str">
        <f t="shared" si="5"/>
        <v xml:space="preserve">{ longitude: -63.4838476838368, latitude: 44.6822227555681, stopType: 'Bus Stop Accessible', gotime: \'6992\', location: \'JOHN STEWART DR OPP FS TAMARA\' }, </v>
      </c>
    </row>
    <row r="327" spans="1:12" x14ac:dyDescent="0.25">
      <c r="A327">
        <v>-63.483560269733502</v>
      </c>
      <c r="B327">
        <v>44.6820672025977</v>
      </c>
      <c r="C327">
        <v>2326</v>
      </c>
      <c r="D327" t="s">
        <v>11</v>
      </c>
      <c r="E327" t="s">
        <v>12</v>
      </c>
      <c r="F327" t="s">
        <v>25</v>
      </c>
      <c r="G327" t="s">
        <v>160</v>
      </c>
      <c r="H327">
        <v>6993</v>
      </c>
      <c r="I327" t="s">
        <v>678</v>
      </c>
      <c r="J327" t="s">
        <v>679</v>
      </c>
      <c r="K327" t="s">
        <v>17</v>
      </c>
      <c r="L327" t="str">
        <f t="shared" si="5"/>
        <v xml:space="preserve">{ longitude: -63.4835602697335, latitude: 44.6820672025977, stopType: 'Bus Stop Non-Standard', gotime: \'6993\', location: \'JOHN STEWART DR FS 2ND INGLEWOOD\' }, </v>
      </c>
    </row>
    <row r="328" spans="1:12" x14ac:dyDescent="0.25">
      <c r="A328">
        <v>-63.480386878288101</v>
      </c>
      <c r="B328">
        <v>44.678160034960797</v>
      </c>
      <c r="C328">
        <v>2327</v>
      </c>
      <c r="D328" t="s">
        <v>11</v>
      </c>
      <c r="E328" t="s">
        <v>12</v>
      </c>
      <c r="F328" t="s">
        <v>25</v>
      </c>
      <c r="G328" t="s">
        <v>160</v>
      </c>
      <c r="H328">
        <v>6994</v>
      </c>
      <c r="I328" t="s">
        <v>680</v>
      </c>
      <c r="J328" t="s">
        <v>681</v>
      </c>
      <c r="K328" t="s">
        <v>17</v>
      </c>
      <c r="L328" t="str">
        <f t="shared" si="5"/>
        <v xml:space="preserve">{ longitude: -63.4803868782881, latitude: 44.6781600349608, stopType: 'Bus Stop Non-Standard', gotime: \'6994\', location: \'JOHN STEWART DR FS HALO\' }, </v>
      </c>
    </row>
    <row r="329" spans="1:12" x14ac:dyDescent="0.25">
      <c r="A329">
        <v>-63.484694432897797</v>
      </c>
      <c r="B329">
        <v>44.684652919476903</v>
      </c>
      <c r="C329">
        <v>2328</v>
      </c>
      <c r="D329" t="s">
        <v>103</v>
      </c>
      <c r="E329" t="s">
        <v>12</v>
      </c>
      <c r="F329" t="s">
        <v>13</v>
      </c>
      <c r="G329" t="s">
        <v>65</v>
      </c>
      <c r="H329">
        <v>6995</v>
      </c>
      <c r="I329" t="s">
        <v>682</v>
      </c>
      <c r="J329" t="s">
        <v>683</v>
      </c>
      <c r="K329" t="s">
        <v>17</v>
      </c>
      <c r="L329" t="str">
        <f t="shared" si="5"/>
        <v xml:space="preserve">{ longitude: -63.4846944328978, latitude: 44.6846529194769, stopType: 'Bus Stop Inaccessible', gotime: \'6995\', location: \'JOHN STEWART DR FS GAMMON\' }, </v>
      </c>
    </row>
    <row r="330" spans="1:12" x14ac:dyDescent="0.25">
      <c r="A330">
        <v>-63.4846374782297</v>
      </c>
      <c r="B330">
        <v>44.683948725703999</v>
      </c>
      <c r="C330">
        <v>2329</v>
      </c>
      <c r="D330" t="s">
        <v>29</v>
      </c>
      <c r="E330" t="s">
        <v>12</v>
      </c>
      <c r="F330" t="s">
        <v>25</v>
      </c>
      <c r="G330" t="s">
        <v>26</v>
      </c>
      <c r="H330">
        <v>6996</v>
      </c>
      <c r="I330" t="s">
        <v>684</v>
      </c>
      <c r="J330" t="s">
        <v>685</v>
      </c>
      <c r="K330" t="s">
        <v>17</v>
      </c>
      <c r="L330" t="str">
        <f t="shared" si="5"/>
        <v xml:space="preserve">{ longitude: -63.4846374782297, latitude: 44.683948725704, stopType: 'Bus Stop Accessible', gotime: \'6996\', location: \'JOHN STEWART DR FS ROSEWAY CT\' }, </v>
      </c>
    </row>
    <row r="331" spans="1:12" x14ac:dyDescent="0.25">
      <c r="A331">
        <v>-63.481391238520203</v>
      </c>
      <c r="B331">
        <v>44.6791499673866</v>
      </c>
      <c r="C331">
        <v>2330</v>
      </c>
      <c r="D331" t="s">
        <v>11</v>
      </c>
      <c r="E331" t="s">
        <v>12</v>
      </c>
      <c r="F331" t="s">
        <v>25</v>
      </c>
      <c r="G331" t="s">
        <v>160</v>
      </c>
      <c r="H331">
        <v>6997</v>
      </c>
      <c r="I331" t="s">
        <v>686</v>
      </c>
      <c r="J331" t="s">
        <v>687</v>
      </c>
      <c r="K331" t="s">
        <v>17</v>
      </c>
      <c r="L331" t="str">
        <f t="shared" si="5"/>
        <v xml:space="preserve">{ longitude: -63.4813912385202, latitude: 44.6791499673866, stopType: 'Bus Stop Non-Standard', gotime: \'6997\', location: \'JOHN STEWART DR NS 1ST INGLEWOOD\' }, </v>
      </c>
    </row>
    <row r="332" spans="1:12" x14ac:dyDescent="0.25">
      <c r="A332">
        <v>-63.485826984895198</v>
      </c>
      <c r="B332">
        <v>44.686122105992297</v>
      </c>
      <c r="C332">
        <v>2331</v>
      </c>
      <c r="D332" t="s">
        <v>11</v>
      </c>
      <c r="E332" t="s">
        <v>12</v>
      </c>
      <c r="F332" t="s">
        <v>13</v>
      </c>
      <c r="G332" t="s">
        <v>14</v>
      </c>
      <c r="H332">
        <v>6998</v>
      </c>
      <c r="I332" t="s">
        <v>688</v>
      </c>
      <c r="J332" t="s">
        <v>689</v>
      </c>
      <c r="K332" t="s">
        <v>17</v>
      </c>
      <c r="L332" t="str">
        <f t="shared" si="5"/>
        <v xml:space="preserve">{ longitude: -63.4858269848952, latitude: 44.6861221059923, stopType: 'Bus Stop Non-Standard', gotime: \'6998\', location: \'JOHN STEWART DR NS AUBURN DR\' }, </v>
      </c>
    </row>
    <row r="333" spans="1:12" x14ac:dyDescent="0.25">
      <c r="A333">
        <v>-63.481692978234101</v>
      </c>
      <c r="B333">
        <v>44.679206656730699</v>
      </c>
      <c r="C333">
        <v>2332</v>
      </c>
      <c r="D333" t="s">
        <v>29</v>
      </c>
      <c r="E333" t="s">
        <v>12</v>
      </c>
      <c r="F333" t="s">
        <v>25</v>
      </c>
      <c r="G333" t="s">
        <v>160</v>
      </c>
      <c r="H333">
        <v>6999</v>
      </c>
      <c r="I333" t="s">
        <v>690</v>
      </c>
      <c r="J333" t="s">
        <v>691</v>
      </c>
      <c r="K333" t="s">
        <v>17</v>
      </c>
      <c r="L333" t="str">
        <f t="shared" si="5"/>
        <v xml:space="preserve">{ longitude: -63.4816929782341, latitude: 44.6792066567307, stopType: 'Bus Stop Accessible', gotime: \'6999\', location: \'JOHN STEWART DR OPP FS 2ND INGLEWOOD\' }, </v>
      </c>
    </row>
    <row r="334" spans="1:12" x14ac:dyDescent="0.25">
      <c r="A334">
        <v>-63.519773400597003</v>
      </c>
      <c r="B334">
        <v>44.630126164818499</v>
      </c>
      <c r="C334">
        <v>2333</v>
      </c>
      <c r="D334" t="s">
        <v>11</v>
      </c>
      <c r="E334" t="s">
        <v>12</v>
      </c>
      <c r="F334" t="s">
        <v>13</v>
      </c>
      <c r="G334" t="s">
        <v>14</v>
      </c>
      <c r="H334">
        <v>7471</v>
      </c>
      <c r="I334" t="s">
        <v>692</v>
      </c>
      <c r="J334" t="s">
        <v>693</v>
      </c>
      <c r="K334" t="s">
        <v>17</v>
      </c>
      <c r="L334" t="str">
        <f t="shared" si="5"/>
        <v xml:space="preserve">{ longitude: -63.519773400597, latitude: 44.6301261648185, stopType: 'Bus Stop Non-Standard', gotime: \'7471\', location: \'PLEASANT ST AT HAMPTON GREY BLDG\' }, </v>
      </c>
    </row>
    <row r="335" spans="1:12" x14ac:dyDescent="0.25">
      <c r="A335">
        <v>-63.545319765504303</v>
      </c>
      <c r="B335">
        <v>44.648329186364997</v>
      </c>
      <c r="C335">
        <v>2334</v>
      </c>
      <c r="D335" t="s">
        <v>29</v>
      </c>
      <c r="E335" t="s">
        <v>12</v>
      </c>
      <c r="F335" t="s">
        <v>25</v>
      </c>
      <c r="G335" t="s">
        <v>26</v>
      </c>
      <c r="H335">
        <v>7472</v>
      </c>
      <c r="I335" t="s">
        <v>694</v>
      </c>
      <c r="J335" s="1" t="s">
        <v>695</v>
      </c>
      <c r="K335" t="s">
        <v>17</v>
      </c>
      <c r="L335" t="str">
        <f t="shared" si="5"/>
        <v xml:space="preserve">{ longitude: -63.5453197655043, latitude: 44.648329186365, stopType: 'Bus Stop Accessible', gotime: \'7472\', location: \'PLEASANT ST FS TRUNK 111 &lt;NB&gt;\' }, </v>
      </c>
    </row>
    <row r="336" spans="1:12" x14ac:dyDescent="0.25">
      <c r="A336">
        <v>-63.502264849278603</v>
      </c>
      <c r="B336">
        <v>44.6182528348292</v>
      </c>
      <c r="C336">
        <v>2335</v>
      </c>
      <c r="D336" t="s">
        <v>29</v>
      </c>
      <c r="E336" t="s">
        <v>12</v>
      </c>
      <c r="F336" t="s">
        <v>25</v>
      </c>
      <c r="G336" t="s">
        <v>199</v>
      </c>
      <c r="H336">
        <v>7473</v>
      </c>
      <c r="I336" t="s">
        <v>696</v>
      </c>
      <c r="J336" t="s">
        <v>697</v>
      </c>
      <c r="K336" t="s">
        <v>17</v>
      </c>
      <c r="L336" t="str">
        <f t="shared" si="5"/>
        <v xml:space="preserve">{ longitude: -63.5022648492786, latitude: 44.6182528348292, stopType: 'Bus Stop Accessible', gotime: \'7473\', location: \'PLEASANT ST FS ULTRAMAR TANK\' }, </v>
      </c>
    </row>
    <row r="337" spans="1:12" x14ac:dyDescent="0.25">
      <c r="A337">
        <v>-63.685831213301498</v>
      </c>
      <c r="B337">
        <v>44.699412666828401</v>
      </c>
      <c r="C337">
        <v>2336</v>
      </c>
      <c r="D337" t="s">
        <v>11</v>
      </c>
      <c r="E337" t="s">
        <v>12</v>
      </c>
      <c r="F337" t="s">
        <v>13</v>
      </c>
      <c r="G337" t="s">
        <v>698</v>
      </c>
      <c r="H337">
        <v>9092</v>
      </c>
      <c r="I337" t="s">
        <v>699</v>
      </c>
      <c r="J337" t="s">
        <v>700</v>
      </c>
      <c r="K337" t="s">
        <v>17</v>
      </c>
      <c r="L337" t="str">
        <f t="shared" si="5"/>
        <v xml:space="preserve">{ longitude: -63.6858312133015, latitude: 44.6994126668284, stopType: 'Bus Stop Non-Standard', gotime: \'9092\', location: \'STARBOARD DR &lt;NS&gt; PEAKVIEW WAY\' }, </v>
      </c>
    </row>
    <row r="338" spans="1:12" x14ac:dyDescent="0.25">
      <c r="A338">
        <v>-63.616680366691497</v>
      </c>
      <c r="B338">
        <v>44.620304173046598</v>
      </c>
      <c r="C338">
        <v>2337</v>
      </c>
      <c r="D338" t="s">
        <v>29</v>
      </c>
      <c r="E338" t="s">
        <v>12</v>
      </c>
      <c r="F338" t="s">
        <v>13</v>
      </c>
      <c r="G338" t="s">
        <v>14</v>
      </c>
      <c r="H338">
        <v>6872</v>
      </c>
      <c r="I338" t="s">
        <v>701</v>
      </c>
      <c r="J338" t="s">
        <v>702</v>
      </c>
      <c r="K338" t="s">
        <v>17</v>
      </c>
      <c r="L338" t="str">
        <f t="shared" si="5"/>
        <v xml:space="preserve">{ longitude: -63.6166803666915, latitude: 44.6203041730466, stopType: 'Bus Stop Accessible', gotime: \'6872\', location: \'HERRING COVE RD AT CIVIC 235\' }, </v>
      </c>
    </row>
    <row r="339" spans="1:12" x14ac:dyDescent="0.25">
      <c r="A339">
        <v>-63.615588064826198</v>
      </c>
      <c r="B339">
        <v>44.6083948030738</v>
      </c>
      <c r="C339">
        <v>2338</v>
      </c>
      <c r="D339" t="s">
        <v>29</v>
      </c>
      <c r="E339" t="s">
        <v>12</v>
      </c>
      <c r="F339" t="s">
        <v>13</v>
      </c>
      <c r="G339" t="s">
        <v>14</v>
      </c>
      <c r="H339">
        <v>6873</v>
      </c>
      <c r="I339" t="s">
        <v>703</v>
      </c>
      <c r="J339" t="s">
        <v>704</v>
      </c>
      <c r="K339" t="s">
        <v>17</v>
      </c>
      <c r="L339" t="str">
        <f t="shared" si="5"/>
        <v xml:space="preserve">{ longitude: -63.6155880648262, latitude: 44.6083948030738, stopType: 'Bus Stop Accessible', gotime: \'6873\', location: \'HERRING COVE RD AT CIVIC 412\' }, </v>
      </c>
    </row>
    <row r="340" spans="1:12" x14ac:dyDescent="0.25">
      <c r="A340">
        <v>-63.6139217637377</v>
      </c>
      <c r="B340">
        <v>44.606050929700103</v>
      </c>
      <c r="C340">
        <v>2339</v>
      </c>
      <c r="D340" t="s">
        <v>29</v>
      </c>
      <c r="E340" t="s">
        <v>12</v>
      </c>
      <c r="F340" t="s">
        <v>13</v>
      </c>
      <c r="G340" t="s">
        <v>14</v>
      </c>
      <c r="H340">
        <v>6874</v>
      </c>
      <c r="I340" t="s">
        <v>705</v>
      </c>
      <c r="J340" t="s">
        <v>706</v>
      </c>
      <c r="K340" t="s">
        <v>17</v>
      </c>
      <c r="L340" t="str">
        <f t="shared" si="5"/>
        <v xml:space="preserve">{ longitude: -63.6139217637377, latitude: 44.6060509297001, stopType: 'Bus Stop Accessible', gotime: \'6874\', location: \'HERRING COVE RD AT CIVIC 457\' }, </v>
      </c>
    </row>
    <row r="341" spans="1:12" x14ac:dyDescent="0.25">
      <c r="A341">
        <v>-63.612609651754497</v>
      </c>
      <c r="B341">
        <v>44.6047618649363</v>
      </c>
      <c r="C341">
        <v>2340</v>
      </c>
      <c r="D341" t="s">
        <v>11</v>
      </c>
      <c r="E341" t="s">
        <v>12</v>
      </c>
      <c r="F341" t="s">
        <v>13</v>
      </c>
      <c r="G341" t="s">
        <v>14</v>
      </c>
      <c r="H341">
        <v>6875</v>
      </c>
      <c r="I341" t="s">
        <v>707</v>
      </c>
      <c r="J341" t="s">
        <v>708</v>
      </c>
      <c r="K341" t="s">
        <v>17</v>
      </c>
      <c r="L341" t="str">
        <f t="shared" si="5"/>
        <v xml:space="preserve">{ longitude: -63.6126096517545, latitude: 44.6047618649363, stopType: 'Bus Stop Non-Standard', gotime: \'6875\', location: \'HERRING COVE RD AT CIVIC 470\' }, </v>
      </c>
    </row>
    <row r="342" spans="1:12" x14ac:dyDescent="0.25">
      <c r="A342">
        <v>-63.606202698132201</v>
      </c>
      <c r="B342">
        <v>44.599691969727303</v>
      </c>
      <c r="C342">
        <v>2341</v>
      </c>
      <c r="D342" t="s">
        <v>103</v>
      </c>
      <c r="E342" t="s">
        <v>12</v>
      </c>
      <c r="F342" t="s">
        <v>25</v>
      </c>
      <c r="G342" t="s">
        <v>65</v>
      </c>
      <c r="H342">
        <v>6876</v>
      </c>
      <c r="I342" t="s">
        <v>709</v>
      </c>
      <c r="J342" t="s">
        <v>710</v>
      </c>
      <c r="K342" t="s">
        <v>17</v>
      </c>
      <c r="L342" t="str">
        <f t="shared" si="5"/>
        <v xml:space="preserve">{ longitude: -63.6062026981322, latitude: 44.5996919697273, stopType: 'Bus Stop Inaccessible', gotime: \'6876\', location: \'HERRING COVE RD AT CIVIC 540\' }, </v>
      </c>
    </row>
    <row r="343" spans="1:12" x14ac:dyDescent="0.25">
      <c r="A343">
        <v>-63.604907448671703</v>
      </c>
      <c r="B343">
        <v>44.5987278415788</v>
      </c>
      <c r="C343">
        <v>2342</v>
      </c>
      <c r="D343" t="s">
        <v>103</v>
      </c>
      <c r="E343" t="s">
        <v>12</v>
      </c>
      <c r="F343" t="s">
        <v>25</v>
      </c>
      <c r="G343" t="s">
        <v>65</v>
      </c>
      <c r="H343">
        <v>6877</v>
      </c>
      <c r="I343" t="s">
        <v>711</v>
      </c>
      <c r="J343" t="s">
        <v>712</v>
      </c>
      <c r="K343" t="s">
        <v>17</v>
      </c>
      <c r="L343" t="str">
        <f t="shared" si="5"/>
        <v xml:space="preserve">{ longitude: -63.6049074486717, latitude: 44.5987278415788, stopType: 'Bus Stop Inaccessible', gotime: \'6877\', location: \'HERRING COVE RD AT CIVIC 554\' }, </v>
      </c>
    </row>
    <row r="344" spans="1:12" x14ac:dyDescent="0.25">
      <c r="A344">
        <v>-63.5911346558741</v>
      </c>
      <c r="B344">
        <v>44.586919251482399</v>
      </c>
      <c r="C344">
        <v>2343</v>
      </c>
      <c r="D344" t="s">
        <v>103</v>
      </c>
      <c r="E344" t="s">
        <v>12</v>
      </c>
      <c r="F344" t="s">
        <v>25</v>
      </c>
      <c r="G344" t="s">
        <v>65</v>
      </c>
      <c r="H344">
        <v>6878</v>
      </c>
      <c r="I344" t="s">
        <v>713</v>
      </c>
      <c r="J344" t="s">
        <v>714</v>
      </c>
      <c r="K344" t="s">
        <v>17</v>
      </c>
      <c r="L344" t="str">
        <f t="shared" si="5"/>
        <v xml:space="preserve">{ longitude: -63.5911346558741, latitude: 44.5869192514824, stopType: 'Bus Stop Inaccessible', gotime: \'6878\', location: \'HERRING COVE RD AT CIVIC 725\' }, </v>
      </c>
    </row>
    <row r="345" spans="1:12" x14ac:dyDescent="0.25">
      <c r="A345">
        <v>-63.588832910111897</v>
      </c>
      <c r="B345">
        <v>44.585118936852602</v>
      </c>
      <c r="C345">
        <v>2344</v>
      </c>
      <c r="D345" t="s">
        <v>11</v>
      </c>
      <c r="E345" t="s">
        <v>12</v>
      </c>
      <c r="F345" t="s">
        <v>25</v>
      </c>
      <c r="G345" t="s">
        <v>26</v>
      </c>
      <c r="H345">
        <v>6879</v>
      </c>
      <c r="I345" t="s">
        <v>715</v>
      </c>
      <c r="J345" t="s">
        <v>716</v>
      </c>
      <c r="K345" t="s">
        <v>17</v>
      </c>
      <c r="L345" t="str">
        <f t="shared" si="5"/>
        <v xml:space="preserve">{ longitude: -63.5888329101119, latitude: 44.5851189368526, stopType: 'Bus Stop Non-Standard', gotime: \'6879\', location: \'HERRING COVE RD AT CIVIC 749\' }, </v>
      </c>
    </row>
    <row r="346" spans="1:12" x14ac:dyDescent="0.25">
      <c r="A346">
        <v>-63.584332287983202</v>
      </c>
      <c r="B346">
        <v>44.582211981828898</v>
      </c>
      <c r="C346">
        <v>2345</v>
      </c>
      <c r="D346" t="s">
        <v>103</v>
      </c>
      <c r="E346" t="s">
        <v>12</v>
      </c>
      <c r="F346" t="s">
        <v>25</v>
      </c>
      <c r="G346" t="s">
        <v>65</v>
      </c>
      <c r="H346">
        <v>6880</v>
      </c>
      <c r="I346" t="s">
        <v>717</v>
      </c>
      <c r="J346" t="s">
        <v>718</v>
      </c>
      <c r="K346" t="s">
        <v>17</v>
      </c>
      <c r="L346" t="str">
        <f t="shared" si="5"/>
        <v xml:space="preserve">{ longitude: -63.5843322879832, latitude: 44.5822119818289, stopType: 'Bus Stop Inaccessible', gotime: \'6880\', location: \'HERRING COVE RD AT CIVIC 822\' }, </v>
      </c>
    </row>
    <row r="347" spans="1:12" x14ac:dyDescent="0.25">
      <c r="A347">
        <v>-63.580239377804297</v>
      </c>
      <c r="B347">
        <v>44.579830125172698</v>
      </c>
      <c r="C347">
        <v>2346</v>
      </c>
      <c r="D347" t="s">
        <v>11</v>
      </c>
      <c r="E347" t="s">
        <v>12</v>
      </c>
      <c r="F347" t="s">
        <v>25</v>
      </c>
      <c r="G347" t="s">
        <v>26</v>
      </c>
      <c r="H347">
        <v>6881</v>
      </c>
      <c r="I347" t="s">
        <v>719</v>
      </c>
      <c r="J347" t="s">
        <v>720</v>
      </c>
      <c r="K347" t="s">
        <v>17</v>
      </c>
      <c r="L347" t="str">
        <f t="shared" si="5"/>
        <v xml:space="preserve">{ longitude: -63.5802393778043, latitude: 44.5798301251727, stopType: 'Bus Stop Non-Standard', gotime: \'6881\', location: \'HERRING COVE RD AT CIVIC 851\' }, </v>
      </c>
    </row>
    <row r="348" spans="1:12" x14ac:dyDescent="0.25">
      <c r="A348">
        <v>-63.580798872924397</v>
      </c>
      <c r="B348">
        <v>44.580284623543101</v>
      </c>
      <c r="C348">
        <v>2347</v>
      </c>
      <c r="D348" t="s">
        <v>103</v>
      </c>
      <c r="E348" t="s">
        <v>12</v>
      </c>
      <c r="F348" t="s">
        <v>25</v>
      </c>
      <c r="G348" t="s">
        <v>65</v>
      </c>
      <c r="H348">
        <v>6882</v>
      </c>
      <c r="I348" t="s">
        <v>721</v>
      </c>
      <c r="J348" t="s">
        <v>722</v>
      </c>
      <c r="K348" t="s">
        <v>17</v>
      </c>
      <c r="L348" t="str">
        <f t="shared" si="5"/>
        <v xml:space="preserve">{ longitude: -63.5807988729244, latitude: 44.5802846235431, stopType: 'Bus Stop Inaccessible', gotime: \'6882\', location: \'HERRING COVE RD AT CIVIC 858\' }, </v>
      </c>
    </row>
    <row r="349" spans="1:12" x14ac:dyDescent="0.25">
      <c r="A349">
        <v>-63.578718083860501</v>
      </c>
      <c r="B349">
        <v>44.578881875919897</v>
      </c>
      <c r="C349">
        <v>2348</v>
      </c>
      <c r="D349" t="s">
        <v>11</v>
      </c>
      <c r="E349" t="s">
        <v>12</v>
      </c>
      <c r="F349" t="s">
        <v>25</v>
      </c>
      <c r="G349" t="s">
        <v>26</v>
      </c>
      <c r="H349">
        <v>6883</v>
      </c>
      <c r="I349" t="s">
        <v>723</v>
      </c>
      <c r="J349" t="s">
        <v>724</v>
      </c>
      <c r="K349" t="s">
        <v>17</v>
      </c>
      <c r="L349" t="str">
        <f t="shared" si="5"/>
        <v xml:space="preserve">{ longitude: -63.5787180838605, latitude: 44.5788818759199, stopType: 'Bus Stop Non-Standard', gotime: \'6883\', location: \'HERRING COVE RD AT CIVIC 865\' }, </v>
      </c>
    </row>
    <row r="350" spans="1:12" x14ac:dyDescent="0.25">
      <c r="A350">
        <v>-63.630335778184602</v>
      </c>
      <c r="B350">
        <v>44.659753961937597</v>
      </c>
      <c r="C350">
        <v>2349</v>
      </c>
      <c r="D350" t="s">
        <v>11</v>
      </c>
      <c r="E350" t="s">
        <v>12</v>
      </c>
      <c r="F350" t="s">
        <v>25</v>
      </c>
      <c r="G350" t="s">
        <v>19</v>
      </c>
      <c r="H350">
        <v>6616</v>
      </c>
      <c r="I350" t="s">
        <v>108</v>
      </c>
      <c r="J350" t="s">
        <v>725</v>
      </c>
      <c r="K350" t="s">
        <v>17</v>
      </c>
      <c r="L350" t="str">
        <f t="shared" si="5"/>
        <v xml:space="preserve">{ longitude: -63.6303357781846, latitude: 44.6597539619376, stopType: 'Bus Stop Non-Standard', gotime: \'6616\', location: \'DUTCH VILLAGE RD WB OPP PERCY ST\' }, </v>
      </c>
    </row>
    <row r="351" spans="1:12" x14ac:dyDescent="0.25">
      <c r="A351">
        <v>-63.618814050269897</v>
      </c>
      <c r="B351">
        <v>44.647866952142301</v>
      </c>
      <c r="C351">
        <v>2350</v>
      </c>
      <c r="D351" t="s">
        <v>64</v>
      </c>
      <c r="E351" t="s">
        <v>12</v>
      </c>
      <c r="F351" t="s">
        <v>25</v>
      </c>
      <c r="G351" t="s">
        <v>65</v>
      </c>
      <c r="H351">
        <v>6617</v>
      </c>
      <c r="I351" t="s">
        <v>726</v>
      </c>
      <c r="J351" t="s">
        <v>727</v>
      </c>
      <c r="K351" t="s">
        <v>17</v>
      </c>
      <c r="L351" t="str">
        <f t="shared" si="5"/>
        <v xml:space="preserve">{ longitude: -63.6188140502699, latitude: 44.6478669521423, stopType: 'Bus Stop Shelter Inaccessible', gotime: \'6617\', location: \'EAST PERIMETER RD FS MUMFORD RD\' }, </v>
      </c>
    </row>
    <row r="352" spans="1:12" x14ac:dyDescent="0.25">
      <c r="A352">
        <v>-63.6165115338001</v>
      </c>
      <c r="B352">
        <v>44.649226127442503</v>
      </c>
      <c r="C352">
        <v>2351</v>
      </c>
      <c r="D352" t="s">
        <v>103</v>
      </c>
      <c r="E352" t="s">
        <v>12</v>
      </c>
      <c r="F352" t="s">
        <v>25</v>
      </c>
      <c r="G352" t="s">
        <v>65</v>
      </c>
      <c r="H352">
        <v>6618</v>
      </c>
      <c r="I352" t="s">
        <v>728</v>
      </c>
      <c r="J352" t="s">
        <v>729</v>
      </c>
      <c r="K352" t="s">
        <v>17</v>
      </c>
      <c r="L352" t="str">
        <f t="shared" si="5"/>
        <v xml:space="preserve">{ longitude: -63.6165115338001, latitude: 44.6492261274425, stopType: 'Bus Stop Inaccessible', gotime: \'6618\', location: \'EAST PERIMETER RD 2ND STOP\' }, </v>
      </c>
    </row>
    <row r="353" spans="1:12" x14ac:dyDescent="0.25">
      <c r="A353">
        <v>-63.616341262970103</v>
      </c>
      <c r="B353">
        <v>44.651331385680301</v>
      </c>
      <c r="C353">
        <v>2352</v>
      </c>
      <c r="D353" t="s">
        <v>22</v>
      </c>
      <c r="E353" t="s">
        <v>12</v>
      </c>
      <c r="F353" t="s">
        <v>13</v>
      </c>
      <c r="G353" t="s">
        <v>14</v>
      </c>
      <c r="H353">
        <v>6619</v>
      </c>
      <c r="I353" t="s">
        <v>730</v>
      </c>
      <c r="J353" t="s">
        <v>731</v>
      </c>
      <c r="K353" t="s">
        <v>17</v>
      </c>
      <c r="L353" t="str">
        <f t="shared" si="5"/>
        <v xml:space="preserve">{ longitude: -63.6163412629701, latitude: 44.6513313856803, stopType: 'Bus Stop Shelter Accessible', gotime: \'6619\', location: \'EAST PERIMETER RD NS BAYERS\' }, </v>
      </c>
    </row>
    <row r="354" spans="1:12" x14ac:dyDescent="0.25">
      <c r="A354">
        <v>-63.616660417362397</v>
      </c>
      <c r="B354">
        <v>44.649334736386798</v>
      </c>
      <c r="C354">
        <v>2353</v>
      </c>
      <c r="D354" t="s">
        <v>29</v>
      </c>
      <c r="E354" t="s">
        <v>12</v>
      </c>
      <c r="F354" t="s">
        <v>13</v>
      </c>
      <c r="G354" t="s">
        <v>19</v>
      </c>
      <c r="H354">
        <v>6620</v>
      </c>
      <c r="I354" t="s">
        <v>732</v>
      </c>
      <c r="J354" t="s">
        <v>733</v>
      </c>
      <c r="K354" t="s">
        <v>17</v>
      </c>
      <c r="L354" t="str">
        <f t="shared" si="5"/>
        <v xml:space="preserve">{ longitude: -63.6166604173624, latitude: 44.6493347363868, stopType: 'Bus Stop Accessible', gotime: \'6620\', location: \'EAST PERMETER RD NS PARKADE\' }, </v>
      </c>
    </row>
    <row r="355" spans="1:12" x14ac:dyDescent="0.25">
      <c r="A355">
        <v>-63.618787637769898</v>
      </c>
      <c r="B355">
        <v>44.647871158226899</v>
      </c>
      <c r="C355">
        <v>2354</v>
      </c>
      <c r="D355" t="s">
        <v>29</v>
      </c>
      <c r="E355" t="s">
        <v>12</v>
      </c>
      <c r="F355" t="s">
        <v>13</v>
      </c>
      <c r="G355" t="s">
        <v>19</v>
      </c>
      <c r="H355">
        <v>6621</v>
      </c>
      <c r="I355" t="s">
        <v>734</v>
      </c>
      <c r="J355" t="s">
        <v>735</v>
      </c>
      <c r="K355" t="s">
        <v>17</v>
      </c>
      <c r="L355" t="str">
        <f t="shared" si="5"/>
        <v xml:space="preserve">{ longitude: -63.6187876377699, latitude: 44.6478711582269, stopType: 'Bus Stop Accessible', gotime: \'6621\', location: \'EAST PERMETER RD NS MUMFORD RD\' }, </v>
      </c>
    </row>
    <row r="356" spans="1:12" x14ac:dyDescent="0.25">
      <c r="A356">
        <v>-63.578637766547999</v>
      </c>
      <c r="B356">
        <v>44.698650355157604</v>
      </c>
      <c r="C356">
        <v>2355</v>
      </c>
      <c r="D356" t="s">
        <v>11</v>
      </c>
      <c r="E356" t="s">
        <v>12</v>
      </c>
      <c r="F356" t="s">
        <v>25</v>
      </c>
      <c r="G356" t="s">
        <v>26</v>
      </c>
      <c r="H356">
        <v>6623</v>
      </c>
      <c r="I356" t="s">
        <v>736</v>
      </c>
      <c r="J356" t="s">
        <v>737</v>
      </c>
      <c r="K356" t="s">
        <v>17</v>
      </c>
      <c r="L356" t="str">
        <f t="shared" si="5"/>
        <v xml:space="preserve">{ longitude: -63.578637766548, latitude: 44.6986503551576, stopType: 'Bus Stop Non-Standard', gotime: \'6623\', location: \'EILEEN STUBBS AVE NS OPP CIVIC 201 TO SACKVILLE\' }, </v>
      </c>
    </row>
    <row r="357" spans="1:12" x14ac:dyDescent="0.25">
      <c r="A357">
        <v>-63.503792825296003</v>
      </c>
      <c r="B357">
        <v>44.686547356274097</v>
      </c>
      <c r="C357">
        <v>2356</v>
      </c>
      <c r="D357" t="s">
        <v>103</v>
      </c>
      <c r="E357" t="s">
        <v>12</v>
      </c>
      <c r="F357" t="s">
        <v>25</v>
      </c>
      <c r="G357" t="s">
        <v>65</v>
      </c>
      <c r="H357">
        <v>6519</v>
      </c>
      <c r="I357" t="s">
        <v>738</v>
      </c>
      <c r="J357" t="s">
        <v>739</v>
      </c>
      <c r="K357" t="s">
        <v>17</v>
      </c>
      <c r="L357" t="str">
        <f t="shared" si="5"/>
        <v xml:space="preserve">{ longitude: -63.503792825296, latitude: 44.6865473562741, stopType: 'Bus Stop Inaccessible', gotime: \'6519\', location: \'CRANBERRY CR FS ORQUEL CR\' }, </v>
      </c>
    </row>
    <row r="358" spans="1:12" x14ac:dyDescent="0.25">
      <c r="A358">
        <v>-63.6631278728659</v>
      </c>
      <c r="B358">
        <v>44.754443603315899</v>
      </c>
      <c r="C358">
        <v>2357</v>
      </c>
      <c r="D358" t="s">
        <v>740</v>
      </c>
      <c r="E358" t="s">
        <v>741</v>
      </c>
      <c r="F358" t="s">
        <v>13</v>
      </c>
      <c r="G358" t="s">
        <v>14</v>
      </c>
      <c r="H358" t="s">
        <v>742</v>
      </c>
      <c r="I358" t="s">
        <v>743</v>
      </c>
      <c r="J358" t="s">
        <v>744</v>
      </c>
      <c r="K358" t="s">
        <v>17</v>
      </c>
      <c r="L358" t="str">
        <f t="shared" si="5"/>
        <v xml:space="preserve">{ longitude: -63.6631278728659, latitude: 44.7544436033159, stopType: 'Bus Terminal Non-Standard', gotime: \' \', location: \'COBEQUID TERMINAL (INSIDE,LB)\' }, </v>
      </c>
    </row>
    <row r="359" spans="1:12" x14ac:dyDescent="0.25">
      <c r="A359">
        <v>-63.556504399149802</v>
      </c>
      <c r="B359">
        <v>44.686137526997598</v>
      </c>
      <c r="C359">
        <v>2358</v>
      </c>
      <c r="D359" t="s">
        <v>740</v>
      </c>
      <c r="E359" t="s">
        <v>741</v>
      </c>
      <c r="F359" t="s">
        <v>13</v>
      </c>
      <c r="G359" t="s">
        <v>745</v>
      </c>
      <c r="H359" t="s">
        <v>742</v>
      </c>
      <c r="I359" t="s">
        <v>746</v>
      </c>
      <c r="J359" t="s">
        <v>747</v>
      </c>
      <c r="K359" t="s">
        <v>17</v>
      </c>
      <c r="L359" t="str">
        <f t="shared" si="5"/>
        <v xml:space="preserve">{ longitude: -63.5565043991498, latitude: 44.6861375269976, stopType: 'Bus Terminal Non-Standard', gotime: \' \', location: \'MIC MAC MALL (IGA)\' }, </v>
      </c>
    </row>
    <row r="360" spans="1:12" x14ac:dyDescent="0.25">
      <c r="A360">
        <v>-63.589093208810397</v>
      </c>
      <c r="B360">
        <v>44.684383484805998</v>
      </c>
      <c r="C360">
        <v>2359</v>
      </c>
      <c r="D360" t="s">
        <v>740</v>
      </c>
      <c r="E360" t="s">
        <v>741</v>
      </c>
      <c r="F360" t="s">
        <v>13</v>
      </c>
      <c r="G360" t="s">
        <v>748</v>
      </c>
      <c r="H360" t="s">
        <v>742</v>
      </c>
      <c r="I360" t="s">
        <v>749</v>
      </c>
      <c r="J360" t="s">
        <v>750</v>
      </c>
      <c r="K360" t="s">
        <v>17</v>
      </c>
      <c r="L360" t="str">
        <f t="shared" si="5"/>
        <v xml:space="preserve">{ longitude: -63.5890932088104, latitude: 44.684383484806, stopType: 'Bus Terminal Non-Standard', gotime: \' \', location: \'HIGHFIELD TERMINAL\' }, </v>
      </c>
    </row>
    <row r="361" spans="1:12" x14ac:dyDescent="0.25">
      <c r="A361">
        <v>-63.5385510263688</v>
      </c>
      <c r="B361">
        <v>44.670718319373499</v>
      </c>
      <c r="C361">
        <v>2360</v>
      </c>
      <c r="D361" t="s">
        <v>740</v>
      </c>
      <c r="E361" t="s">
        <v>741</v>
      </c>
      <c r="F361" t="s">
        <v>13</v>
      </c>
      <c r="G361" t="s">
        <v>751</v>
      </c>
      <c r="H361" t="s">
        <v>742</v>
      </c>
      <c r="I361" t="s">
        <v>752</v>
      </c>
      <c r="J361" t="s">
        <v>753</v>
      </c>
      <c r="K361" t="s">
        <v>17</v>
      </c>
      <c r="L361" t="str">
        <f t="shared" si="5"/>
        <v xml:space="preserve">{ longitude: -63.5385510263688, latitude: 44.6707183193735, stopType: 'Bus Terminal Non-Standard', gotime: \' \', location: \'PENHORN TERMINAL (EB)(LB)\' }, </v>
      </c>
    </row>
    <row r="362" spans="1:12" x14ac:dyDescent="0.25">
      <c r="A362">
        <v>-63.569242565796699</v>
      </c>
      <c r="B362">
        <v>44.664838726291897</v>
      </c>
      <c r="C362">
        <v>2361</v>
      </c>
      <c r="D362" t="s">
        <v>740</v>
      </c>
      <c r="E362" t="s">
        <v>741</v>
      </c>
      <c r="F362" t="s">
        <v>13</v>
      </c>
      <c r="G362" t="s">
        <v>751</v>
      </c>
      <c r="H362" t="s">
        <v>742</v>
      </c>
      <c r="I362" t="s">
        <v>754</v>
      </c>
      <c r="J362" t="s">
        <v>755</v>
      </c>
      <c r="K362" t="s">
        <v>17</v>
      </c>
      <c r="L362" t="str">
        <f t="shared" si="5"/>
        <v xml:space="preserve">{ longitude: -63.5692425657967, latitude: 44.6648387262919, stopType: 'Bus Terminal Non-Standard', gotime: \' \', location: \'ALDERNEY TERMINAL (SB)(LC)\' }, </v>
      </c>
    </row>
    <row r="363" spans="1:12" x14ac:dyDescent="0.25">
      <c r="A363">
        <v>-63.657311144311898</v>
      </c>
      <c r="B363">
        <v>44.661589652964302</v>
      </c>
      <c r="C363">
        <v>2362</v>
      </c>
      <c r="D363" t="s">
        <v>740</v>
      </c>
      <c r="E363" t="s">
        <v>741</v>
      </c>
      <c r="F363" t="s">
        <v>13</v>
      </c>
      <c r="G363" t="s">
        <v>748</v>
      </c>
      <c r="H363" t="s">
        <v>742</v>
      </c>
      <c r="I363" t="s">
        <v>756</v>
      </c>
      <c r="J363" t="s">
        <v>757</v>
      </c>
      <c r="K363" t="s">
        <v>17</v>
      </c>
      <c r="L363" t="str">
        <f t="shared" si="5"/>
        <v xml:space="preserve">{ longitude: -63.6573111443119, latitude: 44.6615896529643, stopType: 'Bus Terminal Non-Standard', gotime: \' \', location: \'LACEWOOD TERMINAL (WILLETT ST)\' }, </v>
      </c>
    </row>
    <row r="364" spans="1:12" x14ac:dyDescent="0.25">
      <c r="A364">
        <v>-63.6569645648039</v>
      </c>
      <c r="B364">
        <v>44.661254104233997</v>
      </c>
      <c r="C364">
        <v>2363</v>
      </c>
      <c r="D364" t="s">
        <v>740</v>
      </c>
      <c r="E364" t="s">
        <v>741</v>
      </c>
      <c r="F364" t="s">
        <v>13</v>
      </c>
      <c r="G364" t="s">
        <v>758</v>
      </c>
      <c r="H364" t="s">
        <v>742</v>
      </c>
      <c r="I364" t="s">
        <v>759</v>
      </c>
      <c r="J364" t="s">
        <v>760</v>
      </c>
      <c r="K364" t="s">
        <v>17</v>
      </c>
      <c r="L364" t="str">
        <f t="shared" si="5"/>
        <v xml:space="preserve">{ longitude: -63.6569645648039, latitude: 44.661254104234, stopType: 'Bus Terminal Non-Standard', gotime: \' \', location: \'LACEWOOD TERMINAL-JUMBO\' }, </v>
      </c>
    </row>
    <row r="365" spans="1:12" x14ac:dyDescent="0.25">
      <c r="A365">
        <v>-63.575686218671898</v>
      </c>
      <c r="B365">
        <v>44.650581451712398</v>
      </c>
      <c r="C365">
        <v>2364</v>
      </c>
      <c r="D365" t="s">
        <v>740</v>
      </c>
      <c r="E365" t="s">
        <v>741</v>
      </c>
      <c r="F365" t="s">
        <v>13</v>
      </c>
      <c r="G365" t="s">
        <v>751</v>
      </c>
      <c r="H365" t="s">
        <v>742</v>
      </c>
      <c r="I365" t="s">
        <v>761</v>
      </c>
      <c r="J365" s="1" t="s">
        <v>762</v>
      </c>
      <c r="K365" t="s">
        <v>17</v>
      </c>
      <c r="L365" t="str">
        <f t="shared" si="5"/>
        <v xml:space="preserve">{ longitude: -63.5756862186719, latitude: 44.6505814517124, stopType: 'Bus Terminal Non-Standard', gotime: \' \', location: \'BARRINGTON OP HOTEL HALIFAX,NB\' }, </v>
      </c>
    </row>
    <row r="366" spans="1:12" x14ac:dyDescent="0.25">
      <c r="A366">
        <v>-63.572867837097199</v>
      </c>
      <c r="B366">
        <v>44.6494062754605</v>
      </c>
      <c r="C366">
        <v>2365</v>
      </c>
      <c r="D366" t="s">
        <v>740</v>
      </c>
      <c r="E366" t="s">
        <v>741</v>
      </c>
      <c r="F366" t="s">
        <v>13</v>
      </c>
      <c r="G366" t="s">
        <v>751</v>
      </c>
      <c r="H366" t="s">
        <v>742</v>
      </c>
      <c r="I366" t="s">
        <v>763</v>
      </c>
      <c r="J366" t="s">
        <v>764</v>
      </c>
      <c r="K366" t="s">
        <v>17</v>
      </c>
      <c r="L366" t="str">
        <f t="shared" si="5"/>
        <v xml:space="preserve">{ longitude: -63.5728678370972, latitude: 44.6494062754605, stopType: 'Bus Terminal Non-Standard', gotime: \' \', location: \'HALIFAX FERRY TERMINAL\' }, </v>
      </c>
    </row>
    <row r="367" spans="1:12" x14ac:dyDescent="0.25">
      <c r="A367">
        <v>-63.575516924892099</v>
      </c>
      <c r="B367">
        <v>44.649778202172499</v>
      </c>
      <c r="C367">
        <v>2366</v>
      </c>
      <c r="D367" t="s">
        <v>740</v>
      </c>
      <c r="E367" t="s">
        <v>741</v>
      </c>
      <c r="F367" t="s">
        <v>13</v>
      </c>
      <c r="G367" t="s">
        <v>751</v>
      </c>
      <c r="H367" t="s">
        <v>742</v>
      </c>
      <c r="I367" t="s">
        <v>765</v>
      </c>
      <c r="J367" t="s">
        <v>766</v>
      </c>
      <c r="K367" t="s">
        <v>17</v>
      </c>
      <c r="L367" t="str">
        <f t="shared" si="5"/>
        <v xml:space="preserve">{ longitude: -63.5755169248921, latitude: 44.6497782021725, stopType: 'Bus Terminal Non-Standard', gotime: \' \', location: \'BARRINGTON NS DUKE, SB\' }, </v>
      </c>
    </row>
    <row r="368" spans="1:12" x14ac:dyDescent="0.25">
      <c r="A368">
        <v>-63.621510129764701</v>
      </c>
      <c r="B368">
        <v>44.648347791721001</v>
      </c>
      <c r="C368">
        <v>2367</v>
      </c>
      <c r="D368" t="s">
        <v>740</v>
      </c>
      <c r="E368" t="s">
        <v>741</v>
      </c>
      <c r="F368" t="s">
        <v>13</v>
      </c>
      <c r="G368" t="s">
        <v>751</v>
      </c>
      <c r="H368" t="s">
        <v>742</v>
      </c>
      <c r="I368" t="s">
        <v>767</v>
      </c>
      <c r="J368" t="s">
        <v>768</v>
      </c>
      <c r="K368" t="s">
        <v>17</v>
      </c>
      <c r="L368" t="str">
        <f t="shared" si="5"/>
        <v xml:space="preserve">{ longitude: -63.6215101297647, latitude: 44.648347791721, stopType: 'Bus Terminal Non-Standard', gotime: \' \', location: \'MUMFORD RD BUS TERMINAL\' }, </v>
      </c>
    </row>
    <row r="369" spans="1:12" x14ac:dyDescent="0.25">
      <c r="A369">
        <v>-63.5760904454757</v>
      </c>
      <c r="B369">
        <v>44.670420532881401</v>
      </c>
      <c r="C369">
        <v>2368</v>
      </c>
      <c r="D369" t="s">
        <v>769</v>
      </c>
      <c r="E369" t="s">
        <v>741</v>
      </c>
      <c r="F369" t="s">
        <v>13</v>
      </c>
      <c r="G369" t="s">
        <v>770</v>
      </c>
      <c r="H369" t="s">
        <v>742</v>
      </c>
      <c r="I369" t="s">
        <v>771</v>
      </c>
      <c r="J369" t="s">
        <v>772</v>
      </c>
      <c r="K369" t="s">
        <v>17</v>
      </c>
      <c r="L369" t="str">
        <f t="shared" si="5"/>
        <v xml:space="preserve">{ longitude: -63.5760904454757, latitude: 44.6704205328814, stopType: 'Park and Ride', gotime: \' \', location: \'DARTMOUTH SPORTSPLEX\' }, </v>
      </c>
    </row>
    <row r="370" spans="1:12" x14ac:dyDescent="0.25">
      <c r="A370">
        <v>-63.693448214619401</v>
      </c>
      <c r="B370">
        <v>44.771479943546296</v>
      </c>
      <c r="C370">
        <v>2369</v>
      </c>
      <c r="D370" t="s">
        <v>769</v>
      </c>
      <c r="E370" t="s">
        <v>741</v>
      </c>
      <c r="F370" t="s">
        <v>13</v>
      </c>
      <c r="G370" t="s">
        <v>770</v>
      </c>
      <c r="H370" t="s">
        <v>742</v>
      </c>
      <c r="I370" t="s">
        <v>773</v>
      </c>
      <c r="J370" t="s">
        <v>774</v>
      </c>
      <c r="K370" t="s">
        <v>17</v>
      </c>
      <c r="L370" t="str">
        <f t="shared" si="5"/>
        <v xml:space="preserve">{ longitude: -63.6934482146194, latitude: 44.7714799435463, stopType: 'Park and Ride', gotime: \' \', location: \'DOWNSVIEW MALL\' }, </v>
      </c>
    </row>
    <row r="371" spans="1:12" x14ac:dyDescent="0.25">
      <c r="A371">
        <v>-63.580589051576403</v>
      </c>
      <c r="B371">
        <v>44.654270432820297</v>
      </c>
      <c r="C371">
        <v>2370</v>
      </c>
      <c r="D371" t="s">
        <v>29</v>
      </c>
      <c r="E371" t="s">
        <v>12</v>
      </c>
      <c r="F371" t="s">
        <v>25</v>
      </c>
      <c r="G371" t="s">
        <v>26</v>
      </c>
      <c r="H371">
        <v>8413</v>
      </c>
      <c r="I371" t="s">
        <v>775</v>
      </c>
      <c r="J371" t="s">
        <v>776</v>
      </c>
      <c r="K371" t="s">
        <v>17</v>
      </c>
      <c r="L371" t="str">
        <f t="shared" si="5"/>
        <v xml:space="preserve">{ longitude: -63.5805890515764, latitude: 44.6542704328203, stopType: 'Bus Stop Accessible', gotime: \'8413\', location: \'UPPER WATER ST SB FS CORNWALLIS ST\' }, </v>
      </c>
    </row>
    <row r="372" spans="1:12" x14ac:dyDescent="0.25">
      <c r="A372">
        <v>-63.580330307512597</v>
      </c>
      <c r="B372">
        <v>44.654423145293599</v>
      </c>
      <c r="C372">
        <v>2371</v>
      </c>
      <c r="D372" t="s">
        <v>29</v>
      </c>
      <c r="E372" t="s">
        <v>12</v>
      </c>
      <c r="F372" t="s">
        <v>13</v>
      </c>
      <c r="G372" t="s">
        <v>14</v>
      </c>
      <c r="H372">
        <v>8414</v>
      </c>
      <c r="I372" t="s">
        <v>777</v>
      </c>
      <c r="J372" t="s">
        <v>778</v>
      </c>
      <c r="K372" t="s">
        <v>17</v>
      </c>
      <c r="L372" t="str">
        <f t="shared" si="5"/>
        <v xml:space="preserve">{ longitude: -63.5803303075126, latitude: 44.6544231452936, stopType: 'Bus Stop Accessible', gotime: \'8414\', location: \'UPPER WATER ST NB NS CORNWALLIS ST\' }, </v>
      </c>
    </row>
    <row r="373" spans="1:12" x14ac:dyDescent="0.25">
      <c r="A373">
        <v>-63.619982677714098</v>
      </c>
      <c r="B373">
        <v>44.636029912073298</v>
      </c>
      <c r="C373">
        <v>2372</v>
      </c>
      <c r="D373" t="s">
        <v>11</v>
      </c>
      <c r="E373" t="s">
        <v>12</v>
      </c>
      <c r="F373" t="s">
        <v>13</v>
      </c>
      <c r="G373" t="s">
        <v>14</v>
      </c>
      <c r="H373">
        <v>8083</v>
      </c>
      <c r="I373" t="s">
        <v>779</v>
      </c>
      <c r="J373" t="s">
        <v>780</v>
      </c>
      <c r="K373" t="s">
        <v>17</v>
      </c>
      <c r="L373" t="str">
        <f t="shared" si="5"/>
        <v xml:space="preserve">{ longitude: -63.6199826777141, latitude: 44.6360299120733, stopType: 'Bus Stop Non-Standard', gotime: \'8083\', location: \'PURCELLS COVE RD AT BRAEBURN RD\' }, </v>
      </c>
    </row>
    <row r="374" spans="1:12" x14ac:dyDescent="0.25">
      <c r="A374">
        <v>-63.563586615595497</v>
      </c>
      <c r="B374">
        <v>44.6066984957682</v>
      </c>
      <c r="C374">
        <v>2373</v>
      </c>
      <c r="D374" t="s">
        <v>18</v>
      </c>
      <c r="E374" t="s">
        <v>12</v>
      </c>
      <c r="F374" t="s">
        <v>13</v>
      </c>
      <c r="G374" t="s">
        <v>14</v>
      </c>
      <c r="H374">
        <v>8084</v>
      </c>
      <c r="I374" t="s">
        <v>781</v>
      </c>
      <c r="J374" t="s">
        <v>782</v>
      </c>
      <c r="K374" t="s">
        <v>17</v>
      </c>
      <c r="L374" t="str">
        <f t="shared" si="5"/>
        <v xml:space="preserve">{ longitude: -63.5635866155955, latitude: 44.6066984957682, stopType: 'Bus Stop Shelter Non-Standard', gotime: \'8084\', location: \'PURCELLS COVE RD AT FERGUSON COVE RD\' }, </v>
      </c>
    </row>
    <row r="375" spans="1:12" x14ac:dyDescent="0.25">
      <c r="A375">
        <v>-63.5609733231287</v>
      </c>
      <c r="B375">
        <v>44.600931001703103</v>
      </c>
      <c r="C375">
        <v>2374</v>
      </c>
      <c r="D375" t="s">
        <v>11</v>
      </c>
      <c r="E375" t="s">
        <v>12</v>
      </c>
      <c r="F375" t="s">
        <v>25</v>
      </c>
      <c r="G375" t="s">
        <v>26</v>
      </c>
      <c r="H375">
        <v>8085</v>
      </c>
      <c r="I375" t="s">
        <v>783</v>
      </c>
      <c r="J375" t="s">
        <v>784</v>
      </c>
      <c r="K375" t="s">
        <v>17</v>
      </c>
      <c r="L375" t="str">
        <f t="shared" si="5"/>
        <v xml:space="preserve">{ longitude: -63.5609733231287, latitude: 44.6009310017031, stopType: 'Bus Stop Non-Standard', gotime: \'8085\', location: \'PURCELLS COVE RD AT STANBRAE RD\' }, </v>
      </c>
    </row>
    <row r="376" spans="1:12" x14ac:dyDescent="0.25">
      <c r="A376">
        <v>-63.619758311345699</v>
      </c>
      <c r="B376">
        <v>44.636863993350801</v>
      </c>
      <c r="C376">
        <v>2375</v>
      </c>
      <c r="D376" t="s">
        <v>22</v>
      </c>
      <c r="E376" t="s">
        <v>12</v>
      </c>
      <c r="F376" t="s">
        <v>13</v>
      </c>
      <c r="G376" t="s">
        <v>19</v>
      </c>
      <c r="H376">
        <v>8086</v>
      </c>
      <c r="I376" t="s">
        <v>785</v>
      </c>
      <c r="J376" t="s">
        <v>786</v>
      </c>
      <c r="K376" t="s">
        <v>17</v>
      </c>
      <c r="L376" t="str">
        <f t="shared" si="5"/>
        <v xml:space="preserve">{ longitude: -63.6197583113457, latitude: 44.6368639933508, stopType: 'Bus Stop Shelter Accessible', gotime: \'8086\', location: \'PURCELLS COVE RD FS ANCHOR DR\' }, </v>
      </c>
    </row>
    <row r="377" spans="1:12" x14ac:dyDescent="0.25">
      <c r="A377">
        <v>-63.589238348488003</v>
      </c>
      <c r="B377">
        <v>44.6226854259411</v>
      </c>
      <c r="C377">
        <v>2376</v>
      </c>
      <c r="D377" t="s">
        <v>29</v>
      </c>
      <c r="E377" t="s">
        <v>12</v>
      </c>
      <c r="F377" t="s">
        <v>13</v>
      </c>
      <c r="G377" t="s">
        <v>19</v>
      </c>
      <c r="H377">
        <v>8087</v>
      </c>
      <c r="I377" t="s">
        <v>787</v>
      </c>
      <c r="J377" t="s">
        <v>788</v>
      </c>
      <c r="K377" t="s">
        <v>17</v>
      </c>
      <c r="L377" t="str">
        <f t="shared" si="5"/>
        <v xml:space="preserve">{ longitude: -63.589238348488, latitude: 44.6226854259411, stopType: 'Bus Stop Accessible', gotime: \'8087\', location: \'PURCELLS COVE RD FS HALLS RD\' }, </v>
      </c>
    </row>
    <row r="378" spans="1:12" x14ac:dyDescent="0.25">
      <c r="A378">
        <v>-63.589854634071003</v>
      </c>
      <c r="B378">
        <v>44.622882845082003</v>
      </c>
      <c r="C378">
        <v>2377</v>
      </c>
      <c r="D378" t="s">
        <v>11</v>
      </c>
      <c r="E378" t="s">
        <v>12</v>
      </c>
      <c r="F378" t="s">
        <v>13</v>
      </c>
      <c r="G378" t="s">
        <v>14</v>
      </c>
      <c r="H378">
        <v>8088</v>
      </c>
      <c r="I378" t="s">
        <v>787</v>
      </c>
      <c r="J378" t="s">
        <v>789</v>
      </c>
      <c r="K378" t="s">
        <v>17</v>
      </c>
      <c r="L378" t="str">
        <f t="shared" si="5"/>
        <v xml:space="preserve">{ longitude: -63.589854634071, latitude: 44.622882845082, stopType: 'Bus Stop Non-Standard', gotime: \'8088\', location: \'PURCELLS COVE RD FS HALLS RD\' }, </v>
      </c>
    </row>
    <row r="379" spans="1:12" x14ac:dyDescent="0.25">
      <c r="A379">
        <v>-63.619709964922798</v>
      </c>
      <c r="B379">
        <v>44.637785648957802</v>
      </c>
      <c r="C379">
        <v>2378</v>
      </c>
      <c r="D379" t="s">
        <v>29</v>
      </c>
      <c r="E379" t="s">
        <v>12</v>
      </c>
      <c r="F379" t="s">
        <v>13</v>
      </c>
      <c r="G379" t="s">
        <v>19</v>
      </c>
      <c r="H379">
        <v>8089</v>
      </c>
      <c r="I379" t="s">
        <v>790</v>
      </c>
      <c r="J379" t="s">
        <v>791</v>
      </c>
      <c r="K379" t="s">
        <v>17</v>
      </c>
      <c r="L379" t="str">
        <f t="shared" si="5"/>
        <v xml:space="preserve">{ longitude: -63.6197099649228, latitude: 44.6377856489578, stopType: 'Bus Stop Accessible', gotime: \'8089\', location: \'PURCELLS COVE RD FS HERRING COVE RD\' }, </v>
      </c>
    </row>
    <row r="380" spans="1:12" x14ac:dyDescent="0.25">
      <c r="A380">
        <v>-63.607777633661897</v>
      </c>
      <c r="B380">
        <v>44.628295103886302</v>
      </c>
      <c r="C380">
        <v>2379</v>
      </c>
      <c r="D380" t="s">
        <v>29</v>
      </c>
      <c r="E380" t="s">
        <v>12</v>
      </c>
      <c r="F380" t="s">
        <v>13</v>
      </c>
      <c r="G380" t="s">
        <v>19</v>
      </c>
      <c r="H380">
        <v>8090</v>
      </c>
      <c r="I380" t="s">
        <v>792</v>
      </c>
      <c r="J380" t="s">
        <v>793</v>
      </c>
      <c r="K380" t="s">
        <v>17</v>
      </c>
      <c r="L380" t="str">
        <f t="shared" si="5"/>
        <v xml:space="preserve">{ longitude: -63.6077776336619, latitude: 44.6282951038863, stopType: 'Bus Stop Accessible', gotime: \'8090\', location: \'PURCELLS COVE RD FS INVERNESS AVE\' }, </v>
      </c>
    </row>
    <row r="381" spans="1:12" x14ac:dyDescent="0.25">
      <c r="A381">
        <v>-63.597815493206802</v>
      </c>
      <c r="B381">
        <v>44.623151208207702</v>
      </c>
      <c r="C381">
        <v>2380</v>
      </c>
      <c r="D381" t="s">
        <v>11</v>
      </c>
      <c r="E381" t="s">
        <v>12</v>
      </c>
      <c r="F381" t="s">
        <v>13</v>
      </c>
      <c r="G381" t="s">
        <v>14</v>
      </c>
      <c r="H381">
        <v>8091</v>
      </c>
      <c r="I381" t="s">
        <v>794</v>
      </c>
      <c r="J381" t="s">
        <v>795</v>
      </c>
      <c r="K381" t="s">
        <v>17</v>
      </c>
      <c r="L381" t="str">
        <f t="shared" si="5"/>
        <v xml:space="preserve">{ longitude: -63.5978154932068, latitude: 44.6231512082077, stopType: 'Bus Stop Non-Standard', gotime: \'8091\', location: \'PURCELLS COVE RD FS PINE BLUFF\' }, </v>
      </c>
    </row>
    <row r="382" spans="1:12" x14ac:dyDescent="0.25">
      <c r="A382">
        <v>-63.594973205874901</v>
      </c>
      <c r="B382">
        <v>44.6235869893029</v>
      </c>
      <c r="C382">
        <v>2381</v>
      </c>
      <c r="D382" t="s">
        <v>29</v>
      </c>
      <c r="E382" t="s">
        <v>12</v>
      </c>
      <c r="F382" t="s">
        <v>13</v>
      </c>
      <c r="G382" t="s">
        <v>19</v>
      </c>
      <c r="H382">
        <v>8092</v>
      </c>
      <c r="I382" t="s">
        <v>796</v>
      </c>
      <c r="J382" t="s">
        <v>797</v>
      </c>
      <c r="K382" t="s">
        <v>17</v>
      </c>
      <c r="L382" t="str">
        <f t="shared" si="5"/>
        <v xml:space="preserve">{ longitude: -63.5949732058749, latitude: 44.6235869893029, stopType: 'Bus Stop Accessible', gotime: \'8092\', location: \'PURCELLS COVE RD FS WENLOCK GROVE\' }, </v>
      </c>
    </row>
    <row r="383" spans="1:12" x14ac:dyDescent="0.25">
      <c r="A383">
        <v>-63.6220433285634</v>
      </c>
      <c r="B383">
        <v>44.631344640304597</v>
      </c>
      <c r="C383">
        <v>2382</v>
      </c>
      <c r="D383" t="s">
        <v>11</v>
      </c>
      <c r="E383" t="s">
        <v>12</v>
      </c>
      <c r="F383" t="s">
        <v>13</v>
      </c>
      <c r="G383" t="s">
        <v>14</v>
      </c>
      <c r="H383">
        <v>6517</v>
      </c>
      <c r="I383" t="s">
        <v>798</v>
      </c>
      <c r="J383" t="s">
        <v>799</v>
      </c>
      <c r="K383" t="s">
        <v>17</v>
      </c>
      <c r="L383" t="str">
        <f t="shared" si="5"/>
        <v xml:space="preserve">{ longitude: -63.6220433285634, latitude: 44.6313446403046, stopType: 'Bus Stop Non-Standard', gotime: \'6517\', location: \'COWIE HILL OPP SENIORS MANOR\' }, </v>
      </c>
    </row>
    <row r="384" spans="1:12" x14ac:dyDescent="0.25">
      <c r="A384">
        <v>-63.502073559147</v>
      </c>
      <c r="B384">
        <v>44.682228863333798</v>
      </c>
      <c r="C384">
        <v>2383</v>
      </c>
      <c r="D384" t="s">
        <v>29</v>
      </c>
      <c r="E384" t="s">
        <v>12</v>
      </c>
      <c r="F384" t="s">
        <v>13</v>
      </c>
      <c r="G384" t="s">
        <v>14</v>
      </c>
      <c r="H384">
        <v>6518</v>
      </c>
      <c r="I384" t="s">
        <v>800</v>
      </c>
      <c r="J384" t="s">
        <v>801</v>
      </c>
      <c r="K384" t="s">
        <v>17</v>
      </c>
      <c r="L384" t="str">
        <f t="shared" si="5"/>
        <v xml:space="preserve">{ longitude: -63.502073559147, latitude: 44.6822288633338, stopType: 'Bus Stop Accessible', gotime: \'6518\', location: \'CRANBERRY CR FS CIVIC 67\' }, </v>
      </c>
    </row>
    <row r="385" spans="1:12" x14ac:dyDescent="0.25">
      <c r="A385">
        <v>-63.513421637105999</v>
      </c>
      <c r="B385">
        <v>44.625230026571899</v>
      </c>
      <c r="C385">
        <v>2384</v>
      </c>
      <c r="D385" t="s">
        <v>29</v>
      </c>
      <c r="E385" t="s">
        <v>12</v>
      </c>
      <c r="F385" t="s">
        <v>13</v>
      </c>
      <c r="G385" t="s">
        <v>14</v>
      </c>
      <c r="H385">
        <v>7474</v>
      </c>
      <c r="I385" t="s">
        <v>802</v>
      </c>
      <c r="J385" t="s">
        <v>803</v>
      </c>
      <c r="K385" t="s">
        <v>17</v>
      </c>
      <c r="L385" t="str">
        <f t="shared" si="5"/>
        <v xml:space="preserve">{ longitude: -63.513421637106, latitude: 44.6252300265719, stopType: 'Bus Stop Accessible', gotime: \'7474\', location: \'PLEASANT ST FS OPP CIVIC 1038 &lt;SB&gt;\' }, </v>
      </c>
    </row>
    <row r="386" spans="1:12" x14ac:dyDescent="0.25">
      <c r="A386">
        <v>-63.517108502112499</v>
      </c>
      <c r="B386">
        <v>44.627957348241303</v>
      </c>
      <c r="C386">
        <v>2385</v>
      </c>
      <c r="D386" t="s">
        <v>29</v>
      </c>
      <c r="E386" t="s">
        <v>12</v>
      </c>
      <c r="F386" t="s">
        <v>25</v>
      </c>
      <c r="G386" t="s">
        <v>199</v>
      </c>
      <c r="H386">
        <v>7475</v>
      </c>
      <c r="I386" t="s">
        <v>804</v>
      </c>
      <c r="J386" t="s">
        <v>805</v>
      </c>
      <c r="K386" t="s">
        <v>17</v>
      </c>
      <c r="L386" t="str">
        <f t="shared" si="5"/>
        <v xml:space="preserve">{ longitude: -63.5171085021125, latitude: 44.6279573482413, stopType: 'Bus Stop Accessible', gotime: \'7475\', location: \'PLEASANT ST AT BAYDEN POWELL CTR\' }, </v>
      </c>
    </row>
    <row r="387" spans="1:12" x14ac:dyDescent="0.25">
      <c r="A387">
        <v>-63.554447228807597</v>
      </c>
      <c r="B387">
        <v>44.665405662415303</v>
      </c>
      <c r="C387">
        <v>2386</v>
      </c>
      <c r="D387" t="s">
        <v>29</v>
      </c>
      <c r="E387" t="s">
        <v>12</v>
      </c>
      <c r="F387" t="s">
        <v>25</v>
      </c>
      <c r="G387" t="s">
        <v>26</v>
      </c>
      <c r="H387">
        <v>7476</v>
      </c>
      <c r="I387" t="s">
        <v>806</v>
      </c>
      <c r="J387" t="s">
        <v>807</v>
      </c>
      <c r="K387" t="s">
        <v>17</v>
      </c>
      <c r="L387" t="str">
        <f t="shared" ref="L387:L450" si="6">CONCATENATE( "{ longitude: ", A387, ", latitude: ", B387, ", stopType: '", D387, "', gotime: \'", H387, "\', location: \'", I387, "\' }, ")</f>
        <v xml:space="preserve">{ longitude: -63.5544472288076, latitude: 44.6654056624153, stopType: 'Bus Stop Accessible', gotime: \'7476\', location: \'PLEASANT ST AT CIVIC 129 &lt;NB&gt;\' }, </v>
      </c>
    </row>
    <row r="388" spans="1:12" x14ac:dyDescent="0.25">
      <c r="A388">
        <v>-63.500799337345498</v>
      </c>
      <c r="B388">
        <v>44.6170070471778</v>
      </c>
      <c r="C388">
        <v>2387</v>
      </c>
      <c r="D388" t="s">
        <v>22</v>
      </c>
      <c r="E388" t="s">
        <v>12</v>
      </c>
      <c r="F388" t="s">
        <v>25</v>
      </c>
      <c r="G388" t="s">
        <v>199</v>
      </c>
      <c r="H388">
        <v>7477</v>
      </c>
      <c r="I388" t="s">
        <v>808</v>
      </c>
      <c r="J388" t="s">
        <v>809</v>
      </c>
      <c r="K388" t="s">
        <v>17</v>
      </c>
      <c r="L388" t="str">
        <f t="shared" si="6"/>
        <v xml:space="preserve">{ longitude: -63.5007993373455, latitude: 44.6170070471778, stopType: 'Bus Stop Shelter Accessible', gotime: \'7477\', location: \'PLEASANT ST AT CIVIC 1335 LEGION &lt;SB&gt;\' }, </v>
      </c>
    </row>
    <row r="389" spans="1:12" x14ac:dyDescent="0.25">
      <c r="A389">
        <v>-63.499731315343602</v>
      </c>
      <c r="B389">
        <v>44.616097715937002</v>
      </c>
      <c r="C389">
        <v>2388</v>
      </c>
      <c r="D389" t="s">
        <v>29</v>
      </c>
      <c r="E389" t="s">
        <v>12</v>
      </c>
      <c r="F389" t="s">
        <v>25</v>
      </c>
      <c r="G389" t="s">
        <v>19</v>
      </c>
      <c r="H389">
        <v>7478</v>
      </c>
      <c r="I389" t="s">
        <v>810</v>
      </c>
      <c r="J389" t="s">
        <v>811</v>
      </c>
      <c r="K389" t="s">
        <v>17</v>
      </c>
      <c r="L389" t="str">
        <f t="shared" si="6"/>
        <v xml:space="preserve">{ longitude: -63.4997313153436, latitude: 44.616097715937, stopType: 'Bus Stop Accessible', gotime: \'7478\', location: \'PLEASANT ST AT CIVIC 1363 &lt;SB&gt;\' }, </v>
      </c>
    </row>
    <row r="390" spans="1:12" x14ac:dyDescent="0.25">
      <c r="A390">
        <v>-63.551112233898898</v>
      </c>
      <c r="B390">
        <v>44.658799185309</v>
      </c>
      <c r="C390">
        <v>2389</v>
      </c>
      <c r="D390" t="s">
        <v>29</v>
      </c>
      <c r="E390" t="s">
        <v>12</v>
      </c>
      <c r="F390" t="s">
        <v>25</v>
      </c>
      <c r="G390" t="s">
        <v>19</v>
      </c>
      <c r="H390">
        <v>7479</v>
      </c>
      <c r="I390" t="s">
        <v>812</v>
      </c>
      <c r="J390" t="s">
        <v>813</v>
      </c>
      <c r="K390" t="s">
        <v>17</v>
      </c>
      <c r="L390" t="str">
        <f t="shared" si="6"/>
        <v xml:space="preserve">{ longitude: -63.5511122338989, latitude: 44.658799185309, stopType: 'Bus Stop Accessible', gotime: \'7479\', location: \'PLEASANT ST AT CIVIC 229\' }, </v>
      </c>
    </row>
    <row r="391" spans="1:12" x14ac:dyDescent="0.25">
      <c r="A391">
        <v>-63.557011542306398</v>
      </c>
      <c r="B391">
        <v>44.666695829214198</v>
      </c>
      <c r="C391">
        <v>2390</v>
      </c>
      <c r="D391" t="s">
        <v>29</v>
      </c>
      <c r="E391" t="s">
        <v>12</v>
      </c>
      <c r="F391" t="s">
        <v>25</v>
      </c>
      <c r="G391" t="s">
        <v>19</v>
      </c>
      <c r="H391">
        <v>7480</v>
      </c>
      <c r="I391" t="s">
        <v>814</v>
      </c>
      <c r="J391" t="s">
        <v>815</v>
      </c>
      <c r="K391" t="s">
        <v>17</v>
      </c>
      <c r="L391" t="str">
        <f t="shared" si="6"/>
        <v xml:space="preserve">{ longitude: -63.5570115423064, latitude: 44.6666958292142, stopType: 'Bus Stop Accessible', gotime: \'7480\', location: \'PLEASANT ST AT CIVIC 76 &lt;SB&gt;\' }, </v>
      </c>
    </row>
    <row r="392" spans="1:12" x14ac:dyDescent="0.25">
      <c r="A392">
        <v>-63.5485919906302</v>
      </c>
      <c r="B392">
        <v>44.653786862029897</v>
      </c>
      <c r="C392">
        <v>2391</v>
      </c>
      <c r="D392" t="s">
        <v>22</v>
      </c>
      <c r="E392" t="s">
        <v>12</v>
      </c>
      <c r="F392" t="s">
        <v>13</v>
      </c>
      <c r="G392" t="s">
        <v>19</v>
      </c>
      <c r="H392">
        <v>7481</v>
      </c>
      <c r="I392" t="s">
        <v>816</v>
      </c>
      <c r="J392" t="s">
        <v>817</v>
      </c>
      <c r="K392" t="s">
        <v>17</v>
      </c>
      <c r="L392" t="str">
        <f t="shared" si="6"/>
        <v xml:space="preserve">{ longitude: -63.5485919906302, latitude: 44.6537868620299, stopType: 'Bus Stop Shelter Accessible', gotime: \'7481\', location: \'PLEASANT ST AT DART GEN &lt;NB&gt;\' }, </v>
      </c>
    </row>
    <row r="393" spans="1:12" x14ac:dyDescent="0.25">
      <c r="A393">
        <v>-63.547375530842203</v>
      </c>
      <c r="B393">
        <v>44.651361275072503</v>
      </c>
      <c r="C393">
        <v>2392</v>
      </c>
      <c r="D393" t="s">
        <v>22</v>
      </c>
      <c r="E393" t="s">
        <v>12</v>
      </c>
      <c r="F393" t="s">
        <v>25</v>
      </c>
      <c r="G393" t="s">
        <v>19</v>
      </c>
      <c r="H393">
        <v>7482</v>
      </c>
      <c r="I393" t="s">
        <v>818</v>
      </c>
      <c r="J393" t="s">
        <v>819</v>
      </c>
      <c r="K393" t="s">
        <v>17</v>
      </c>
      <c r="L393" t="str">
        <f t="shared" si="6"/>
        <v xml:space="preserve">{ longitude: -63.5473755308422, latitude: 44.6513612750725, stopType: 'Bus Stop Shelter Accessible', gotime: \'7482\', location: \'PLEASANT ST AT NS HOSP &lt;SB&gt;\' }, </v>
      </c>
    </row>
    <row r="394" spans="1:12" x14ac:dyDescent="0.25">
      <c r="A394">
        <v>-63.504941312306897</v>
      </c>
      <c r="B394">
        <v>44.620166147369801</v>
      </c>
      <c r="C394">
        <v>2393</v>
      </c>
      <c r="D394" t="s">
        <v>11</v>
      </c>
      <c r="E394" t="s">
        <v>12</v>
      </c>
      <c r="F394" t="s">
        <v>25</v>
      </c>
      <c r="G394" t="s">
        <v>26</v>
      </c>
      <c r="H394">
        <v>7483</v>
      </c>
      <c r="I394" t="s">
        <v>820</v>
      </c>
      <c r="J394" t="s">
        <v>821</v>
      </c>
      <c r="K394" t="s">
        <v>17</v>
      </c>
      <c r="L394" t="str">
        <f t="shared" si="6"/>
        <v xml:space="preserve">{ longitude: -63.5049413123069, latitude: 44.6201661473698, stopType: 'Bus Stop Non-Standard', gotime: \'7483\', location: \'PLEASANT ST NS AUTO PORT &lt;NB&gt;\' }, </v>
      </c>
    </row>
    <row r="395" spans="1:12" x14ac:dyDescent="0.25">
      <c r="A395">
        <v>-63.526670501558002</v>
      </c>
      <c r="B395">
        <v>44.635707069042702</v>
      </c>
      <c r="C395">
        <v>2394</v>
      </c>
      <c r="D395" t="s">
        <v>22</v>
      </c>
      <c r="E395" t="s">
        <v>12</v>
      </c>
      <c r="F395" t="s">
        <v>25</v>
      </c>
      <c r="G395" t="s">
        <v>26</v>
      </c>
      <c r="H395">
        <v>7484</v>
      </c>
      <c r="I395" t="s">
        <v>822</v>
      </c>
      <c r="J395" t="s">
        <v>823</v>
      </c>
      <c r="K395" t="s">
        <v>17</v>
      </c>
      <c r="L395" t="str">
        <f t="shared" si="6"/>
        <v xml:space="preserve">{ longitude: -63.526670501558, latitude: 44.6357070690427, stopType: 'Bus Stop Shelter Accessible', gotime: \'7484\', location: \'PLEASANT ST FS BELMONT AVE\' }, </v>
      </c>
    </row>
    <row r="396" spans="1:12" x14ac:dyDescent="0.25">
      <c r="A396">
        <v>-63.552838200269598</v>
      </c>
      <c r="B396">
        <v>44.661216446728197</v>
      </c>
      <c r="C396">
        <v>2395</v>
      </c>
      <c r="D396" t="s">
        <v>22</v>
      </c>
      <c r="E396" t="s">
        <v>12</v>
      </c>
      <c r="F396" t="s">
        <v>25</v>
      </c>
      <c r="G396" t="s">
        <v>19</v>
      </c>
      <c r="H396">
        <v>7485</v>
      </c>
      <c r="I396" t="s">
        <v>824</v>
      </c>
      <c r="J396" t="s">
        <v>825</v>
      </c>
      <c r="K396" t="s">
        <v>17</v>
      </c>
      <c r="L396" t="str">
        <f t="shared" si="6"/>
        <v xml:space="preserve">{ longitude: -63.5528382002696, latitude: 44.6612164467282, stopType: 'Bus Stop Shelter Accessible', gotime: \'7485\', location: \'PLEASANT ST NS CAMERON ST &lt;NB&gt;\' }, </v>
      </c>
    </row>
    <row r="397" spans="1:12" x14ac:dyDescent="0.25">
      <c r="A397">
        <v>-63.514844443502298</v>
      </c>
      <c r="B397">
        <v>44.6265102914168</v>
      </c>
      <c r="C397">
        <v>2396</v>
      </c>
      <c r="D397" t="s">
        <v>18</v>
      </c>
      <c r="E397" t="s">
        <v>12</v>
      </c>
      <c r="F397" t="s">
        <v>13</v>
      </c>
      <c r="G397" t="s">
        <v>14</v>
      </c>
      <c r="H397">
        <v>7486</v>
      </c>
      <c r="I397" t="s">
        <v>826</v>
      </c>
      <c r="J397" t="s">
        <v>827</v>
      </c>
      <c r="K397" t="s">
        <v>17</v>
      </c>
      <c r="L397" t="str">
        <f t="shared" si="6"/>
        <v xml:space="preserve">{ longitude: -63.5148444435023, latitude: 44.6265102914168, stopType: 'Bus Stop Shelter Non-Standard', gotime: \'7486\', location: \'PLEASANT ST NS CFB SHEARWATER &lt;NB&gt;\' }, </v>
      </c>
    </row>
    <row r="398" spans="1:12" x14ac:dyDescent="0.25">
      <c r="A398">
        <v>-63.504630637303201</v>
      </c>
      <c r="B398">
        <v>44.619911445262801</v>
      </c>
      <c r="C398">
        <v>2397</v>
      </c>
      <c r="D398" t="s">
        <v>29</v>
      </c>
      <c r="E398" t="s">
        <v>12</v>
      </c>
      <c r="F398" t="s">
        <v>25</v>
      </c>
      <c r="G398" t="s">
        <v>199</v>
      </c>
      <c r="H398">
        <v>7487</v>
      </c>
      <c r="I398" t="s">
        <v>828</v>
      </c>
      <c r="J398" t="s">
        <v>829</v>
      </c>
      <c r="K398" t="s">
        <v>17</v>
      </c>
      <c r="L398" t="str">
        <f t="shared" si="6"/>
        <v xml:space="preserve">{ longitude: -63.5046306373032, latitude: 44.6199114452628, stopType: 'Bus Stop Accessible', gotime: \'7487\', location: \'PLEASANT ST NS CIVIC 1244 &lt;SB&gt;\' }, </v>
      </c>
    </row>
    <row r="399" spans="1:12" x14ac:dyDescent="0.25">
      <c r="A399">
        <v>-63.540651213652097</v>
      </c>
      <c r="B399">
        <v>44.644496659641398</v>
      </c>
      <c r="C399">
        <v>2398</v>
      </c>
      <c r="D399" t="s">
        <v>22</v>
      </c>
      <c r="E399" t="s">
        <v>12</v>
      </c>
      <c r="F399" t="s">
        <v>13</v>
      </c>
      <c r="G399" t="s">
        <v>14</v>
      </c>
      <c r="H399">
        <v>7488</v>
      </c>
      <c r="I399" t="s">
        <v>830</v>
      </c>
      <c r="J399" t="s">
        <v>831</v>
      </c>
      <c r="K399" t="s">
        <v>17</v>
      </c>
      <c r="L399" t="str">
        <f t="shared" si="6"/>
        <v xml:space="preserve">{ longitude: -63.5406512136521, latitude: 44.6444966596414, stopType: 'Bus Stop Shelter Accessible', gotime: \'7488\', location: \'PLEASANT ST NS EVERETTE ST &lt;NB&gt;\' }, </v>
      </c>
    </row>
    <row r="400" spans="1:12" x14ac:dyDescent="0.25">
      <c r="A400">
        <v>-63.513246123734703</v>
      </c>
      <c r="B400">
        <v>44.625332097897299</v>
      </c>
      <c r="C400">
        <v>2399</v>
      </c>
      <c r="D400" t="s">
        <v>11</v>
      </c>
      <c r="E400" t="s">
        <v>12</v>
      </c>
      <c r="F400" t="s">
        <v>25</v>
      </c>
      <c r="G400" t="s">
        <v>26</v>
      </c>
      <c r="H400">
        <v>7490</v>
      </c>
      <c r="I400" t="s">
        <v>832</v>
      </c>
      <c r="J400" t="s">
        <v>833</v>
      </c>
      <c r="K400" t="s">
        <v>17</v>
      </c>
      <c r="L400" t="str">
        <f t="shared" si="6"/>
        <v xml:space="preserve">{ longitude: -63.5132461237347, latitude: 44.6253320978973, stopType: 'Bus Stop Non-Standard', gotime: \'7490\', location: \'PLEASANT ST NS HINES RD&lt;NB&gt;\' }, </v>
      </c>
    </row>
    <row r="401" spans="1:12" x14ac:dyDescent="0.25">
      <c r="A401">
        <v>-63.5099409889364</v>
      </c>
      <c r="B401">
        <v>44.623305535378101</v>
      </c>
      <c r="C401">
        <v>2400</v>
      </c>
      <c r="D401" t="s">
        <v>11</v>
      </c>
      <c r="E401" t="s">
        <v>12</v>
      </c>
      <c r="F401" t="s">
        <v>25</v>
      </c>
      <c r="G401" t="s">
        <v>26</v>
      </c>
      <c r="H401">
        <v>7491</v>
      </c>
      <c r="I401" t="s">
        <v>834</v>
      </c>
      <c r="J401" t="s">
        <v>835</v>
      </c>
      <c r="K401" t="s">
        <v>17</v>
      </c>
      <c r="L401" t="str">
        <f t="shared" si="6"/>
        <v xml:space="preserve">{ longitude: -63.5099409889364, latitude: 44.6233055353781, stopType: 'Bus Stop Non-Standard', gotime: \'7491\', location: \'PLEASANT ST NS HOWARD &lt;NB&gt;\' }, </v>
      </c>
    </row>
    <row r="402" spans="1:12" x14ac:dyDescent="0.25">
      <c r="A402">
        <v>-63.543615704019203</v>
      </c>
      <c r="B402">
        <v>44.646154983410099</v>
      </c>
      <c r="C402">
        <v>2401</v>
      </c>
      <c r="D402" t="s">
        <v>22</v>
      </c>
      <c r="E402" t="s">
        <v>12</v>
      </c>
      <c r="F402" t="s">
        <v>25</v>
      </c>
      <c r="G402" t="s">
        <v>26</v>
      </c>
      <c r="H402">
        <v>7492</v>
      </c>
      <c r="I402" t="s">
        <v>836</v>
      </c>
      <c r="J402" t="s">
        <v>837</v>
      </c>
      <c r="K402" t="s">
        <v>17</v>
      </c>
      <c r="L402" t="str">
        <f t="shared" si="6"/>
        <v xml:space="preserve">{ longitude: -63.5436157040192, latitude: 44.6461549834101, stopType: 'Bus Stop Shelter Accessible', gotime: \'7492\', location: \'PLEASANT ST NS IRVING CIVIC 513\' }, </v>
      </c>
    </row>
    <row r="403" spans="1:12" x14ac:dyDescent="0.25">
      <c r="A403">
        <v>-63.557159063153001</v>
      </c>
      <c r="B403">
        <v>44.666931040497403</v>
      </c>
      <c r="C403">
        <v>2402</v>
      </c>
      <c r="D403" t="s">
        <v>29</v>
      </c>
      <c r="E403" t="s">
        <v>12</v>
      </c>
      <c r="F403" t="s">
        <v>25</v>
      </c>
      <c r="G403" t="s">
        <v>26</v>
      </c>
      <c r="H403">
        <v>7493</v>
      </c>
      <c r="I403" t="s">
        <v>838</v>
      </c>
      <c r="J403" t="s">
        <v>839</v>
      </c>
      <c r="K403" t="s">
        <v>17</v>
      </c>
      <c r="L403" t="str">
        <f t="shared" si="6"/>
        <v xml:space="preserve">{ longitude: -63.557159063153, latitude: 44.6669310404974, stopType: 'Bus Stop Accessible', gotime: \'7493\', location: \'PLEASANT ST NS LINDEN LEA &lt;NB&gt;\' }, </v>
      </c>
    </row>
    <row r="404" spans="1:12" x14ac:dyDescent="0.25">
      <c r="A404">
        <v>-63.507391592048599</v>
      </c>
      <c r="B404">
        <v>44.621312447215402</v>
      </c>
      <c r="C404">
        <v>2403</v>
      </c>
      <c r="D404" t="s">
        <v>11</v>
      </c>
      <c r="E404" t="s">
        <v>12</v>
      </c>
      <c r="F404" t="s">
        <v>25</v>
      </c>
      <c r="G404" t="s">
        <v>26</v>
      </c>
      <c r="H404">
        <v>7494</v>
      </c>
      <c r="I404" t="s">
        <v>840</v>
      </c>
      <c r="J404" t="s">
        <v>841</v>
      </c>
      <c r="K404" t="s">
        <v>17</v>
      </c>
      <c r="L404" t="str">
        <f t="shared" si="6"/>
        <v xml:space="preserve">{ longitude: -63.5073915920486, latitude: 44.6213124472154, stopType: 'Bus Stop Non-Standard', gotime: \'7494\', location: \'PLEASANT ST NS MORRIS &lt;NB&gt;\' }, </v>
      </c>
    </row>
    <row r="405" spans="1:12" x14ac:dyDescent="0.25">
      <c r="A405">
        <v>-63.497292556799103</v>
      </c>
      <c r="B405">
        <v>44.614303365031901</v>
      </c>
      <c r="C405">
        <v>2404</v>
      </c>
      <c r="D405" t="s">
        <v>22</v>
      </c>
      <c r="E405" t="s">
        <v>12</v>
      </c>
      <c r="F405" t="s">
        <v>25</v>
      </c>
      <c r="G405" t="s">
        <v>19</v>
      </c>
      <c r="H405">
        <v>7495</v>
      </c>
      <c r="I405" t="s">
        <v>842</v>
      </c>
      <c r="J405" t="s">
        <v>843</v>
      </c>
      <c r="K405" t="s">
        <v>17</v>
      </c>
      <c r="L405" t="str">
        <f t="shared" si="6"/>
        <v xml:space="preserve">{ longitude: -63.4972925567991, latitude: 44.6143033650319, stopType: 'Bus Stop Shelter Accessible', gotime: \'7495\', location: \'PLEASANT ST NS MYERS LANE &lt;NB&gt;\' }, </v>
      </c>
    </row>
    <row r="406" spans="1:12" x14ac:dyDescent="0.25">
      <c r="A406">
        <v>-63.5538231505057</v>
      </c>
      <c r="B406">
        <v>44.662682570666398</v>
      </c>
      <c r="C406">
        <v>2405</v>
      </c>
      <c r="D406" t="s">
        <v>29</v>
      </c>
      <c r="E406" t="s">
        <v>12</v>
      </c>
      <c r="F406" t="s">
        <v>25</v>
      </c>
      <c r="G406" t="s">
        <v>199</v>
      </c>
      <c r="H406">
        <v>7496</v>
      </c>
      <c r="I406" t="s">
        <v>844</v>
      </c>
      <c r="J406" t="s">
        <v>845</v>
      </c>
      <c r="K406" t="s">
        <v>17</v>
      </c>
      <c r="L406" t="str">
        <f t="shared" si="6"/>
        <v xml:space="preserve">{ longitude: -63.5538231505057, latitude: 44.6626825706664, stopType: 'Bus Stop Accessible', gotime: \'7496\', location: \'PLEASANT ST NS NEWCASTLE &lt;SB&gt;\' }, </v>
      </c>
    </row>
    <row r="407" spans="1:12" x14ac:dyDescent="0.25">
      <c r="A407">
        <v>-63.494703687309404</v>
      </c>
      <c r="B407">
        <v>44.611724655708002</v>
      </c>
      <c r="C407">
        <v>2406</v>
      </c>
      <c r="D407" t="s">
        <v>29</v>
      </c>
      <c r="E407" t="s">
        <v>12</v>
      </c>
      <c r="F407" t="s">
        <v>25</v>
      </c>
      <c r="G407" t="s">
        <v>199</v>
      </c>
      <c r="H407">
        <v>7497</v>
      </c>
      <c r="I407" t="s">
        <v>846</v>
      </c>
      <c r="J407" t="s">
        <v>847</v>
      </c>
      <c r="K407" t="s">
        <v>17</v>
      </c>
      <c r="L407" t="str">
        <f t="shared" si="6"/>
        <v xml:space="preserve">{ longitude: -63.4947036873094, latitude: 44.611724655708, stopType: 'Bus Stop Accessible', gotime: \'7497\', location: \'PLEASANT ST NS QUIGLEYS CORNER\' }, </v>
      </c>
    </row>
    <row r="408" spans="1:12" x14ac:dyDescent="0.25">
      <c r="A408">
        <v>-63.543333628903603</v>
      </c>
      <c r="B408">
        <v>44.645675632875999</v>
      </c>
      <c r="C408">
        <v>2407</v>
      </c>
      <c r="D408" t="s">
        <v>22</v>
      </c>
      <c r="E408" t="s">
        <v>12</v>
      </c>
      <c r="F408" t="s">
        <v>25</v>
      </c>
      <c r="G408" t="s">
        <v>19</v>
      </c>
      <c r="H408">
        <v>7498</v>
      </c>
      <c r="I408" t="s">
        <v>848</v>
      </c>
      <c r="J408" t="s">
        <v>849</v>
      </c>
      <c r="K408" t="s">
        <v>17</v>
      </c>
      <c r="L408" t="str">
        <f t="shared" si="6"/>
        <v xml:space="preserve">{ longitude: -63.5433336289036, latitude: 44.645675632876, stopType: 'Bus Stop Shelter Accessible', gotime: \'7498\', location: \'PLEASANT ST NS SHIRLEY\' }, </v>
      </c>
    </row>
    <row r="409" spans="1:12" x14ac:dyDescent="0.25">
      <c r="A409">
        <v>-63.545350438062798</v>
      </c>
      <c r="B409">
        <v>44.647996451342102</v>
      </c>
      <c r="C409">
        <v>2408</v>
      </c>
      <c r="D409" t="s">
        <v>22</v>
      </c>
      <c r="E409" t="s">
        <v>12</v>
      </c>
      <c r="F409" t="s">
        <v>25</v>
      </c>
      <c r="G409" t="s">
        <v>19</v>
      </c>
      <c r="H409">
        <v>7499</v>
      </c>
      <c r="I409" t="s">
        <v>850</v>
      </c>
      <c r="J409" t="s">
        <v>851</v>
      </c>
      <c r="K409" t="s">
        <v>17</v>
      </c>
      <c r="L409" t="str">
        <f t="shared" si="6"/>
        <v xml:space="preserve">{ longitude: -63.5453504380628, latitude: 44.6479964513421, stopType: 'Bus Stop Shelter Accessible', gotime: \'7499\', location: \'PLEASANT ST NS TRUNK 111\' }, </v>
      </c>
    </row>
    <row r="410" spans="1:12" x14ac:dyDescent="0.25">
      <c r="A410">
        <v>-63.646404560565401</v>
      </c>
      <c r="B410">
        <v>44.7496380497359</v>
      </c>
      <c r="C410">
        <v>2409</v>
      </c>
      <c r="D410" t="s">
        <v>29</v>
      </c>
      <c r="E410" t="s">
        <v>12</v>
      </c>
      <c r="F410" t="s">
        <v>25</v>
      </c>
      <c r="G410" t="s">
        <v>19</v>
      </c>
      <c r="H410">
        <v>9041</v>
      </c>
      <c r="I410" t="s">
        <v>852</v>
      </c>
      <c r="J410" t="s">
        <v>853</v>
      </c>
      <c r="K410" t="s">
        <v>17</v>
      </c>
      <c r="L410" t="str">
        <f t="shared" si="6"/>
        <v xml:space="preserve">{ longitude: -63.6464045605654, latitude: 44.7496380497359, stopType: 'Bus Stop Accessible', gotime: \'9041\', location: \'DAMASCUS OPP WALMART\' }, </v>
      </c>
    </row>
    <row r="411" spans="1:12" x14ac:dyDescent="0.25">
      <c r="A411">
        <v>-63.592665378849901</v>
      </c>
      <c r="B411">
        <v>44.691616908855103</v>
      </c>
      <c r="C411">
        <v>2410</v>
      </c>
      <c r="D411" t="s">
        <v>11</v>
      </c>
      <c r="E411" t="s">
        <v>12</v>
      </c>
      <c r="F411" t="s">
        <v>25</v>
      </c>
      <c r="G411" t="s">
        <v>26</v>
      </c>
      <c r="H411">
        <v>9998</v>
      </c>
      <c r="I411" t="s">
        <v>742</v>
      </c>
      <c r="J411" t="s">
        <v>854</v>
      </c>
      <c r="K411" t="s">
        <v>17</v>
      </c>
      <c r="L411" t="str">
        <f t="shared" si="6"/>
        <v xml:space="preserve">{ longitude: -63.5926653788499, latitude: 44.6916169088551, stopType: 'Bus Stop Non-Standard', gotime: \'9998\', location: \' \' }, </v>
      </c>
    </row>
    <row r="412" spans="1:12" x14ac:dyDescent="0.25">
      <c r="A412">
        <v>-63.663063333700798</v>
      </c>
      <c r="B412">
        <v>44.754513507277302</v>
      </c>
      <c r="C412">
        <v>2411</v>
      </c>
      <c r="D412" t="s">
        <v>740</v>
      </c>
      <c r="E412" t="s">
        <v>741</v>
      </c>
      <c r="F412" t="s">
        <v>13</v>
      </c>
      <c r="G412" t="s">
        <v>14</v>
      </c>
      <c r="H412" t="s">
        <v>742</v>
      </c>
      <c r="I412" t="s">
        <v>855</v>
      </c>
      <c r="J412" t="s">
        <v>856</v>
      </c>
      <c r="K412" t="s">
        <v>17</v>
      </c>
      <c r="L412" t="str">
        <f t="shared" si="6"/>
        <v xml:space="preserve">{ longitude: -63.6630633337008, latitude: 44.7545135072773, stopType: 'Bus Terminal Non-Standard', gotime: \' \', location: \'COBEQUID TERMINAL (OUTSIDE)\' }, </v>
      </c>
    </row>
    <row r="413" spans="1:12" x14ac:dyDescent="0.25">
      <c r="A413">
        <v>-63.663107386060403</v>
      </c>
      <c r="B413">
        <v>44.754462892336399</v>
      </c>
      <c r="C413">
        <v>2412</v>
      </c>
      <c r="D413" t="s">
        <v>740</v>
      </c>
      <c r="E413" t="s">
        <v>741</v>
      </c>
      <c r="F413" t="s">
        <v>13</v>
      </c>
      <c r="G413" t="s">
        <v>14</v>
      </c>
      <c r="H413" t="s">
        <v>742</v>
      </c>
      <c r="I413" t="s">
        <v>857</v>
      </c>
      <c r="J413" t="s">
        <v>858</v>
      </c>
      <c r="K413" t="s">
        <v>17</v>
      </c>
      <c r="L413" t="str">
        <f t="shared" si="6"/>
        <v xml:space="preserve">{ longitude: -63.6631073860604, latitude: 44.7544628923364, stopType: 'Bus Terminal Non-Standard', gotime: \' \', location: \'COBEQUID TERMINAL (INSIDE,LA)\' }, </v>
      </c>
    </row>
    <row r="414" spans="1:12" x14ac:dyDescent="0.25">
      <c r="A414">
        <v>-63.541215153097802</v>
      </c>
      <c r="B414">
        <v>44.701546184675202</v>
      </c>
      <c r="C414">
        <v>2413</v>
      </c>
      <c r="D414" t="s">
        <v>103</v>
      </c>
      <c r="E414" t="s">
        <v>12</v>
      </c>
      <c r="F414" t="s">
        <v>25</v>
      </c>
      <c r="G414" t="s">
        <v>65</v>
      </c>
      <c r="H414">
        <v>6485</v>
      </c>
      <c r="I414" t="s">
        <v>859</v>
      </c>
      <c r="J414" t="s">
        <v>860</v>
      </c>
      <c r="K414" t="s">
        <v>17</v>
      </c>
      <c r="L414" t="str">
        <f t="shared" si="6"/>
        <v xml:space="preserve">{ longitude: -63.5412151530978, latitude: 44.7015461846752, stopType: 'Bus Stop Inaccessible', gotime: \'6485\', location: \'COLONNA PLACE AT CIVIC 57\' }, </v>
      </c>
    </row>
    <row r="415" spans="1:12" x14ac:dyDescent="0.25">
      <c r="A415">
        <v>-63.580303161188702</v>
      </c>
      <c r="B415">
        <v>44.700256724710997</v>
      </c>
      <c r="C415">
        <v>2414</v>
      </c>
      <c r="D415" t="s">
        <v>103</v>
      </c>
      <c r="E415" t="s">
        <v>12</v>
      </c>
      <c r="F415" t="s">
        <v>25</v>
      </c>
      <c r="G415" t="s">
        <v>65</v>
      </c>
      <c r="H415">
        <v>6486</v>
      </c>
      <c r="I415" t="s">
        <v>861</v>
      </c>
      <c r="J415" t="s">
        <v>862</v>
      </c>
      <c r="K415" t="s">
        <v>17</v>
      </c>
      <c r="L415" t="str">
        <f t="shared" si="6"/>
        <v xml:space="preserve">{ longitude: -63.5803031611887, latitude: 44.700256724711, stopType: 'Bus Stop Inaccessible', gotime: \'6486\', location: \'COMMODORE DR FS EILEEN STUBBS AVE [OB]\' }, </v>
      </c>
    </row>
    <row r="416" spans="1:12" x14ac:dyDescent="0.25">
      <c r="A416">
        <v>-63.5804043808389</v>
      </c>
      <c r="B416">
        <v>44.700239540454902</v>
      </c>
      <c r="C416">
        <v>2415</v>
      </c>
      <c r="D416" t="s">
        <v>103</v>
      </c>
      <c r="E416" t="s">
        <v>12</v>
      </c>
      <c r="F416" t="s">
        <v>25</v>
      </c>
      <c r="G416" t="s">
        <v>65</v>
      </c>
      <c r="H416">
        <v>6487</v>
      </c>
      <c r="I416" t="s">
        <v>863</v>
      </c>
      <c r="J416" t="s">
        <v>864</v>
      </c>
      <c r="K416" t="s">
        <v>17</v>
      </c>
      <c r="L416" t="str">
        <f t="shared" si="6"/>
        <v xml:space="preserve">{ longitude: -63.5804043808389, latitude: 44.7002395404549, stopType: 'Bus Stop Inaccessible', gotime: \'6487\', location: \'COMMODORE DR FS EILEEN STUBBS AVE TO SACKVILLE\' }, </v>
      </c>
    </row>
    <row r="417" spans="1:12" x14ac:dyDescent="0.25">
      <c r="A417">
        <v>-63.659138728252103</v>
      </c>
      <c r="B417">
        <v>44.681327035959001</v>
      </c>
      <c r="C417">
        <v>2416</v>
      </c>
      <c r="D417" t="s">
        <v>22</v>
      </c>
      <c r="E417" t="s">
        <v>12</v>
      </c>
      <c r="F417" t="s">
        <v>13</v>
      </c>
      <c r="G417" t="s">
        <v>19</v>
      </c>
      <c r="H417">
        <v>6246</v>
      </c>
      <c r="I417" t="s">
        <v>865</v>
      </c>
      <c r="J417" t="s">
        <v>866</v>
      </c>
      <c r="K417" t="s">
        <v>17</v>
      </c>
      <c r="L417" t="str">
        <f t="shared" si="6"/>
        <v xml:space="preserve">{ longitude: -63.6591387282521, latitude: 44.681327035959, stopType: 'Bus Stop Shelter Accessible', gotime: \'6246\', location: \'BEDFORD HWY AT CIVIC 364\' }, </v>
      </c>
    </row>
    <row r="418" spans="1:12" x14ac:dyDescent="0.25">
      <c r="A418">
        <v>-63.659059169490497</v>
      </c>
      <c r="B418">
        <v>44.686887285083301</v>
      </c>
      <c r="C418">
        <v>2417</v>
      </c>
      <c r="D418" t="s">
        <v>18</v>
      </c>
      <c r="E418" t="s">
        <v>12</v>
      </c>
      <c r="F418" t="s">
        <v>25</v>
      </c>
      <c r="G418" t="s">
        <v>19</v>
      </c>
      <c r="H418">
        <v>6247</v>
      </c>
      <c r="I418" t="s">
        <v>867</v>
      </c>
      <c r="J418" t="s">
        <v>868</v>
      </c>
      <c r="K418" t="s">
        <v>17</v>
      </c>
      <c r="L418" t="str">
        <f t="shared" si="6"/>
        <v xml:space="preserve">{ longitude: -63.6590591694905, latitude: 44.6868872850833, stopType: 'Bus Stop Shelter Non-Standard', gotime: \'6247\', location: \'BEDFORD HWY FS CRESTHAVEN EST.\' }, </v>
      </c>
    </row>
    <row r="419" spans="1:12" x14ac:dyDescent="0.25">
      <c r="A419">
        <v>-63.659615243017399</v>
      </c>
      <c r="B419">
        <v>44.685946408601701</v>
      </c>
      <c r="C419">
        <v>2418</v>
      </c>
      <c r="D419" t="s">
        <v>103</v>
      </c>
      <c r="E419" t="s">
        <v>12</v>
      </c>
      <c r="F419" t="s">
        <v>25</v>
      </c>
      <c r="G419" t="s">
        <v>65</v>
      </c>
      <c r="H419">
        <v>6248</v>
      </c>
      <c r="I419" t="s">
        <v>869</v>
      </c>
      <c r="J419" t="s">
        <v>870</v>
      </c>
      <c r="K419" t="s">
        <v>17</v>
      </c>
      <c r="L419" t="str">
        <f t="shared" si="6"/>
        <v xml:space="preserve">{ longitude: -63.6596152430174, latitude: 44.6859464086017, stopType: 'Bus Stop Inaccessible', gotime: \'6248\', location: \'BEDFORD HWY FS DAKIN DR\' }, </v>
      </c>
    </row>
    <row r="420" spans="1:12" x14ac:dyDescent="0.25">
      <c r="A420">
        <v>-63.6655792533194</v>
      </c>
      <c r="B420">
        <v>44.727442675483601</v>
      </c>
      <c r="C420">
        <v>2419</v>
      </c>
      <c r="D420" t="s">
        <v>22</v>
      </c>
      <c r="E420" t="s">
        <v>12</v>
      </c>
      <c r="F420" t="s">
        <v>25</v>
      </c>
      <c r="G420" t="s">
        <v>19</v>
      </c>
      <c r="H420">
        <v>6249</v>
      </c>
      <c r="I420" t="s">
        <v>871</v>
      </c>
      <c r="J420" t="s">
        <v>872</v>
      </c>
      <c r="K420" t="s">
        <v>17</v>
      </c>
      <c r="L420" t="str">
        <f t="shared" si="6"/>
        <v xml:space="preserve">{ longitude: -63.6655792533194, latitude: 44.7274426754836, stopType: 'Bus Stop Shelter Accessible', gotime: \'6249\', location: \'BEDFORD HWY FS DIVISION ST\' }, </v>
      </c>
    </row>
    <row r="421" spans="1:12" x14ac:dyDescent="0.25">
      <c r="A421">
        <v>-63.647521714076802</v>
      </c>
      <c r="B421">
        <v>44.6752254027273</v>
      </c>
      <c r="C421">
        <v>2420</v>
      </c>
      <c r="D421" t="s">
        <v>11</v>
      </c>
      <c r="E421" t="s">
        <v>12</v>
      </c>
      <c r="F421" t="s">
        <v>13</v>
      </c>
      <c r="G421" t="s">
        <v>19</v>
      </c>
      <c r="H421">
        <v>6250</v>
      </c>
      <c r="I421" t="s">
        <v>873</v>
      </c>
      <c r="J421" t="s">
        <v>874</v>
      </c>
      <c r="K421" t="s">
        <v>17</v>
      </c>
      <c r="L421" t="str">
        <f t="shared" si="6"/>
        <v xml:space="preserve">{ longitude: -63.6475217140768, latitude: 44.6752254027273, stopType: 'Bus Stop Non-Standard', gotime: \'6250\', location: \'BEDFORD HWY NS FLAMINGO DR\' }, </v>
      </c>
    </row>
    <row r="422" spans="1:12" x14ac:dyDescent="0.25">
      <c r="A422">
        <v>-63.647443090400998</v>
      </c>
      <c r="B422">
        <v>44.674867166513202</v>
      </c>
      <c r="C422">
        <v>2421</v>
      </c>
      <c r="D422" t="s">
        <v>22</v>
      </c>
      <c r="E422" t="s">
        <v>12</v>
      </c>
      <c r="F422" t="s">
        <v>13</v>
      </c>
      <c r="G422" t="s">
        <v>19</v>
      </c>
      <c r="H422">
        <v>6251</v>
      </c>
      <c r="I422" t="s">
        <v>875</v>
      </c>
      <c r="J422" t="s">
        <v>876</v>
      </c>
      <c r="K422" t="s">
        <v>17</v>
      </c>
      <c r="L422" t="str">
        <f t="shared" si="6"/>
        <v xml:space="preserve">{ longitude: -63.647443090401, latitude: 44.6748671665132, stopType: 'Bus Stop Shelter Accessible', gotime: \'6251\', location: \'BEDFORD HWY IB AT FLAMINGO DR\' }, </v>
      </c>
    </row>
    <row r="423" spans="1:12" x14ac:dyDescent="0.25">
      <c r="A423">
        <v>-63.649358651319503</v>
      </c>
      <c r="B423">
        <v>44.677347736528198</v>
      </c>
      <c r="C423">
        <v>2422</v>
      </c>
      <c r="D423" t="s">
        <v>29</v>
      </c>
      <c r="E423" t="s">
        <v>12</v>
      </c>
      <c r="F423" t="s">
        <v>25</v>
      </c>
      <c r="G423" t="s">
        <v>19</v>
      </c>
      <c r="H423">
        <v>6252</v>
      </c>
      <c r="I423" t="s">
        <v>877</v>
      </c>
      <c r="J423" t="s">
        <v>878</v>
      </c>
      <c r="K423" t="s">
        <v>17</v>
      </c>
      <c r="L423" t="str">
        <f t="shared" si="6"/>
        <v xml:space="preserve">{ longitude: -63.6493586513195, latitude: 44.6773477365282, stopType: 'Bus Stop Accessible', gotime: \'6252\', location: \'BEDFORD HWY NS FOREST HILL DR\' }, </v>
      </c>
    </row>
    <row r="424" spans="1:12" x14ac:dyDescent="0.25">
      <c r="A424">
        <v>-63.677987889334901</v>
      </c>
      <c r="B424">
        <v>44.714150172008402</v>
      </c>
      <c r="C424">
        <v>2423</v>
      </c>
      <c r="D424" t="s">
        <v>18</v>
      </c>
      <c r="E424" t="s">
        <v>12</v>
      </c>
      <c r="F424" t="s">
        <v>25</v>
      </c>
      <c r="G424" t="s">
        <v>19</v>
      </c>
      <c r="H424">
        <v>6253</v>
      </c>
      <c r="I424" t="s">
        <v>879</v>
      </c>
      <c r="J424" t="s">
        <v>880</v>
      </c>
      <c r="K424" t="s">
        <v>17</v>
      </c>
      <c r="L424" t="str">
        <f t="shared" si="6"/>
        <v xml:space="preserve">{ longitude: -63.6779878893349, latitude: 44.7141501720084, stopType: 'Bus Stop Shelter Non-Standard', gotime: \'6253\', location: \'BEDFORD HWY IB AT MOIRS MILL RD\' }, </v>
      </c>
    </row>
    <row r="425" spans="1:12" x14ac:dyDescent="0.25">
      <c r="A425">
        <v>-63.678042221409598</v>
      </c>
      <c r="B425">
        <v>44.715634878568203</v>
      </c>
      <c r="C425">
        <v>2424</v>
      </c>
      <c r="D425" t="s">
        <v>22</v>
      </c>
      <c r="E425" t="s">
        <v>12</v>
      </c>
      <c r="F425" t="s">
        <v>13</v>
      </c>
      <c r="G425" t="s">
        <v>19</v>
      </c>
      <c r="H425">
        <v>6254</v>
      </c>
      <c r="I425" t="s">
        <v>881</v>
      </c>
      <c r="J425" t="s">
        <v>882</v>
      </c>
      <c r="K425" t="s">
        <v>17</v>
      </c>
      <c r="L425" t="str">
        <f t="shared" si="6"/>
        <v xml:space="preserve">{ longitude: -63.6780422214096, latitude: 44.7156348785682, stopType: 'Bus Stop Shelter Accessible', gotime: \'6254\', location: \'BEDFORD HWY OB AT HAMMONDS PLAINS RD\' }, </v>
      </c>
    </row>
    <row r="426" spans="1:12" x14ac:dyDescent="0.25">
      <c r="A426">
        <v>-63.6783931461135</v>
      </c>
      <c r="B426">
        <v>44.715917563474598</v>
      </c>
      <c r="C426">
        <v>2425</v>
      </c>
      <c r="D426" t="s">
        <v>22</v>
      </c>
      <c r="E426" t="s">
        <v>12</v>
      </c>
      <c r="F426" t="s">
        <v>13</v>
      </c>
      <c r="G426" t="s">
        <v>19</v>
      </c>
      <c r="H426">
        <v>6255</v>
      </c>
      <c r="I426" t="s">
        <v>883</v>
      </c>
      <c r="J426" t="s">
        <v>884</v>
      </c>
      <c r="K426" t="s">
        <v>17</v>
      </c>
      <c r="L426" t="str">
        <f t="shared" si="6"/>
        <v xml:space="preserve">{ longitude: -63.6783931461135, latitude: 44.7159175634746, stopType: 'Bus Stop Shelter Accessible', gotime: \'6255\', location: \'BEDFORD HWY IB AT HAMMONDS PLAINS RD\' }, </v>
      </c>
    </row>
    <row r="427" spans="1:12" x14ac:dyDescent="0.25">
      <c r="A427">
        <v>-63.660821335753504</v>
      </c>
      <c r="B427">
        <v>44.6827963772148</v>
      </c>
      <c r="C427">
        <v>2426</v>
      </c>
      <c r="D427" t="s">
        <v>11</v>
      </c>
      <c r="E427" t="s">
        <v>12</v>
      </c>
      <c r="F427" t="s">
        <v>25</v>
      </c>
      <c r="G427" t="s">
        <v>26</v>
      </c>
      <c r="H427">
        <v>6256</v>
      </c>
      <c r="I427" t="s">
        <v>885</v>
      </c>
      <c r="J427" t="s">
        <v>886</v>
      </c>
      <c r="K427" t="s">
        <v>17</v>
      </c>
      <c r="L427" t="str">
        <f t="shared" si="6"/>
        <v xml:space="preserve">{ longitude: -63.6608213357535, latitude: 44.6827963772148, stopType: 'Bus Stop Non-Standard', gotime: \'6256\', location: \'BEDFORD HWY FS KEARNEY LAKE RD\' }, </v>
      </c>
    </row>
    <row r="428" spans="1:12" x14ac:dyDescent="0.25">
      <c r="A428">
        <v>-63.669291072079801</v>
      </c>
      <c r="B428">
        <v>44.724778840216402</v>
      </c>
      <c r="C428">
        <v>2427</v>
      </c>
      <c r="D428" t="s">
        <v>22</v>
      </c>
      <c r="E428" t="s">
        <v>12</v>
      </c>
      <c r="F428" t="s">
        <v>25</v>
      </c>
      <c r="G428" t="s">
        <v>19</v>
      </c>
      <c r="H428">
        <v>6257</v>
      </c>
      <c r="I428" t="s">
        <v>887</v>
      </c>
      <c r="J428" t="s">
        <v>888</v>
      </c>
      <c r="K428" t="s">
        <v>17</v>
      </c>
      <c r="L428" t="str">
        <f t="shared" si="6"/>
        <v xml:space="preserve">{ longitude: -63.6692910720798, latitude: 44.7247788402164, stopType: 'Bus Stop Shelter Accessible', gotime: \'6257\', location: \'BEDFORD HWY IB AT MEADOWBROOK DR\' }, </v>
      </c>
    </row>
    <row r="429" spans="1:12" x14ac:dyDescent="0.25">
      <c r="A429">
        <v>-63.666726430187801</v>
      </c>
      <c r="B429">
        <v>44.708209768692797</v>
      </c>
      <c r="C429">
        <v>2428</v>
      </c>
      <c r="D429" t="s">
        <v>18</v>
      </c>
      <c r="E429" t="s">
        <v>12</v>
      </c>
      <c r="F429" t="s">
        <v>25</v>
      </c>
      <c r="G429" t="s">
        <v>26</v>
      </c>
      <c r="H429">
        <v>6258</v>
      </c>
      <c r="I429" t="s">
        <v>889</v>
      </c>
      <c r="J429" t="s">
        <v>890</v>
      </c>
      <c r="K429" t="s">
        <v>17</v>
      </c>
      <c r="L429" t="str">
        <f t="shared" si="6"/>
        <v xml:space="preserve">{ longitude: -63.6667264301878, latitude: 44.7082097686928, stopType: 'Bus Stop Shelter Non-Standard', gotime: \'6258\', location: \'BEDFORD HWY IB FS MILLVIEW AVE\' }, </v>
      </c>
    </row>
    <row r="430" spans="1:12" x14ac:dyDescent="0.25">
      <c r="A430">
        <v>-63.675165733482402</v>
      </c>
      <c r="B430">
        <v>44.712905868032202</v>
      </c>
      <c r="C430">
        <v>2429</v>
      </c>
      <c r="D430" t="s">
        <v>29</v>
      </c>
      <c r="E430" t="s">
        <v>12</v>
      </c>
      <c r="F430" t="s">
        <v>25</v>
      </c>
      <c r="G430" t="s">
        <v>26</v>
      </c>
      <c r="H430">
        <v>6259</v>
      </c>
      <c r="I430" t="s">
        <v>891</v>
      </c>
      <c r="J430" t="s">
        <v>892</v>
      </c>
      <c r="K430" t="s">
        <v>17</v>
      </c>
      <c r="L430" t="str">
        <f t="shared" si="6"/>
        <v xml:space="preserve">{ longitude: -63.6751657334824, latitude: 44.7129058680322, stopType: 'Bus Stop Accessible', gotime: \'6259\', location: \'BEDFORD HWY FS NELSONS LANDING BLVD\' }, </v>
      </c>
    </row>
    <row r="431" spans="1:12" x14ac:dyDescent="0.25">
      <c r="A431">
        <v>-63.654317596707102</v>
      </c>
      <c r="B431">
        <v>44.738961721783902</v>
      </c>
      <c r="C431">
        <v>2430</v>
      </c>
      <c r="D431" t="s">
        <v>103</v>
      </c>
      <c r="E431" t="s">
        <v>12</v>
      </c>
      <c r="F431" t="s">
        <v>13</v>
      </c>
      <c r="G431" t="s">
        <v>65</v>
      </c>
      <c r="H431">
        <v>6260</v>
      </c>
      <c r="I431" t="s">
        <v>893</v>
      </c>
      <c r="J431" t="s">
        <v>894</v>
      </c>
      <c r="K431" t="s">
        <v>17</v>
      </c>
      <c r="L431" t="str">
        <f t="shared" si="6"/>
        <v xml:space="preserve">{ longitude: -63.6543175967071, latitude: 44.7389617217839, stopType: 'Bus Stop Inaccessible', gotime: \'6260\', location: \'BEDFORD HWY FS OAKMONT DR\' }, </v>
      </c>
    </row>
    <row r="432" spans="1:12" x14ac:dyDescent="0.25">
      <c r="A432">
        <v>-63.668184405548402</v>
      </c>
      <c r="B432">
        <v>44.725364761933598</v>
      </c>
      <c r="C432">
        <v>2431</v>
      </c>
      <c r="D432" t="s">
        <v>29</v>
      </c>
      <c r="E432" t="s">
        <v>12</v>
      </c>
      <c r="F432" t="s">
        <v>25</v>
      </c>
      <c r="G432" t="s">
        <v>26</v>
      </c>
      <c r="H432">
        <v>6261</v>
      </c>
      <c r="I432" t="s">
        <v>895</v>
      </c>
      <c r="J432" t="s">
        <v>896</v>
      </c>
      <c r="K432" t="s">
        <v>17</v>
      </c>
      <c r="L432" t="str">
        <f t="shared" si="6"/>
        <v xml:space="preserve">{ longitude: -63.6681844055484, latitude: 44.7253647619336, stopType: 'Bus Stop Accessible', gotime: \'6261\', location: \'BEDFORD HWY FS RUTLEDGE ST\' }, </v>
      </c>
    </row>
    <row r="433" spans="1:12" x14ac:dyDescent="0.25">
      <c r="A433">
        <v>-63.654970895917501</v>
      </c>
      <c r="B433">
        <v>44.680211265787698</v>
      </c>
      <c r="C433">
        <v>2432</v>
      </c>
      <c r="D433" t="s">
        <v>29</v>
      </c>
      <c r="E433" t="s">
        <v>12</v>
      </c>
      <c r="F433" t="s">
        <v>13</v>
      </c>
      <c r="G433" t="s">
        <v>14</v>
      </c>
      <c r="H433">
        <v>6262</v>
      </c>
      <c r="I433" t="s">
        <v>897</v>
      </c>
      <c r="J433" t="s">
        <v>898</v>
      </c>
      <c r="K433" t="s">
        <v>17</v>
      </c>
      <c r="L433" t="str">
        <f t="shared" si="6"/>
        <v xml:space="preserve">{ longitude: -63.6549708959175, latitude: 44.6802112657877, stopType: 'Bus Stop Accessible', gotime: \'6262\', location: \'BEDFORD HWY OB FS TORRINGTON\' }, </v>
      </c>
    </row>
    <row r="434" spans="1:12" x14ac:dyDescent="0.25">
      <c r="A434">
        <v>-63.654328064534198</v>
      </c>
      <c r="B434">
        <v>44.737169522386601</v>
      </c>
      <c r="C434">
        <v>2433</v>
      </c>
      <c r="D434" t="s">
        <v>11</v>
      </c>
      <c r="E434" t="s">
        <v>12</v>
      </c>
      <c r="F434" t="s">
        <v>25</v>
      </c>
      <c r="G434" t="s">
        <v>19</v>
      </c>
      <c r="H434">
        <v>6263</v>
      </c>
      <c r="I434" t="s">
        <v>899</v>
      </c>
      <c r="J434" t="s">
        <v>900</v>
      </c>
      <c r="K434" t="s">
        <v>17</v>
      </c>
      <c r="L434" t="str">
        <f t="shared" si="6"/>
        <v xml:space="preserve">{ longitude: -63.6543280645342, latitude: 44.7371695223866, stopType: 'Bus Stop Non-Standard', gotime: \'6263\', location: \'BEDFORD HWY AT CIVIC 1683\' }, </v>
      </c>
    </row>
    <row r="435" spans="1:12" x14ac:dyDescent="0.25">
      <c r="A435">
        <v>-63.650109235033597</v>
      </c>
      <c r="B435">
        <v>44.678153220543699</v>
      </c>
      <c r="C435">
        <v>2434</v>
      </c>
      <c r="D435" t="s">
        <v>29</v>
      </c>
      <c r="E435" t="s">
        <v>12</v>
      </c>
      <c r="F435" t="s">
        <v>13</v>
      </c>
      <c r="G435" t="s">
        <v>14</v>
      </c>
      <c r="H435">
        <v>6264</v>
      </c>
      <c r="I435" t="s">
        <v>901</v>
      </c>
      <c r="J435" t="s">
        <v>902</v>
      </c>
      <c r="K435" t="s">
        <v>17</v>
      </c>
      <c r="L435" t="str">
        <f t="shared" si="6"/>
        <v xml:space="preserve">{ longitude: -63.6501092350336, latitude: 44.6781532205437, stopType: 'Bus Stop Accessible', gotime: \'6264\', location: \'BEDFORD HWY IB FS TREMONT DR\' }, </v>
      </c>
    </row>
    <row r="436" spans="1:12" x14ac:dyDescent="0.25">
      <c r="A436">
        <v>-63.677201598556003</v>
      </c>
      <c r="B436">
        <v>44.717087401167703</v>
      </c>
      <c r="C436">
        <v>2435</v>
      </c>
      <c r="D436" t="s">
        <v>29</v>
      </c>
      <c r="E436" t="s">
        <v>12</v>
      </c>
      <c r="F436" t="s">
        <v>25</v>
      </c>
      <c r="G436" t="s">
        <v>26</v>
      </c>
      <c r="H436">
        <v>6265</v>
      </c>
      <c r="I436" t="s">
        <v>903</v>
      </c>
      <c r="J436" t="s">
        <v>904</v>
      </c>
      <c r="K436" t="s">
        <v>17</v>
      </c>
      <c r="L436" t="str">
        <f t="shared" si="6"/>
        <v xml:space="preserve">{ longitude: -63.677201598556, latitude: 44.7170874011677, stopType: 'Bus Stop Accessible', gotime: \'6265\', location: \'BEDFORD HWY FS OPP VALLEY RD\' }, </v>
      </c>
    </row>
    <row r="437" spans="1:12" x14ac:dyDescent="0.25">
      <c r="A437">
        <v>-63.654556044641403</v>
      </c>
      <c r="B437">
        <v>44.738854141788003</v>
      </c>
      <c r="C437">
        <v>2436</v>
      </c>
      <c r="D437" t="s">
        <v>11</v>
      </c>
      <c r="E437" t="s">
        <v>12</v>
      </c>
      <c r="F437" t="s">
        <v>25</v>
      </c>
      <c r="G437" t="s">
        <v>26</v>
      </c>
      <c r="H437">
        <v>6266</v>
      </c>
      <c r="I437" t="s">
        <v>905</v>
      </c>
      <c r="J437" t="s">
        <v>906</v>
      </c>
      <c r="K437" t="s">
        <v>17</v>
      </c>
      <c r="L437" t="str">
        <f t="shared" si="6"/>
        <v xml:space="preserve">{ longitude: -63.6545560446414, latitude: 44.738854141788, stopType: 'Bus Stop Non-Standard', gotime: \'6266\', location: \'BEDFORD HWY AT ARBYS\' }, </v>
      </c>
    </row>
    <row r="438" spans="1:12" x14ac:dyDescent="0.25">
      <c r="A438">
        <v>-63.6568017038447</v>
      </c>
      <c r="B438">
        <v>44.760700480748703</v>
      </c>
      <c r="C438">
        <v>2437</v>
      </c>
      <c r="D438" t="s">
        <v>103</v>
      </c>
      <c r="E438" t="s">
        <v>12</v>
      </c>
      <c r="F438" t="s">
        <v>13</v>
      </c>
      <c r="G438" t="s">
        <v>65</v>
      </c>
      <c r="H438">
        <v>6267</v>
      </c>
      <c r="I438" t="s">
        <v>907</v>
      </c>
      <c r="J438" t="s">
        <v>908</v>
      </c>
      <c r="K438" t="s">
        <v>17</v>
      </c>
      <c r="L438" t="str">
        <f t="shared" si="6"/>
        <v xml:space="preserve">{ longitude: -63.6568017038447, latitude: 44.7607004807487, stopType: 'Bus Stop Inaccessible', gotime: \'6267\', location: \'COBEQUID RD RD  FS TIM HORTONS\' }, </v>
      </c>
    </row>
    <row r="439" spans="1:12" x14ac:dyDescent="0.25">
      <c r="A439">
        <v>-63.659451177026</v>
      </c>
      <c r="B439">
        <v>44.681589338018298</v>
      </c>
      <c r="C439">
        <v>2438</v>
      </c>
      <c r="D439" t="s">
        <v>22</v>
      </c>
      <c r="E439" t="s">
        <v>12</v>
      </c>
      <c r="F439" t="s">
        <v>25</v>
      </c>
      <c r="G439" t="s">
        <v>26</v>
      </c>
      <c r="H439">
        <v>6268</v>
      </c>
      <c r="I439" t="s">
        <v>909</v>
      </c>
      <c r="J439" t="s">
        <v>910</v>
      </c>
      <c r="K439" t="s">
        <v>17</v>
      </c>
      <c r="L439" t="str">
        <f t="shared" si="6"/>
        <v xml:space="preserve">{ longitude: -63.659451177026, latitude: 44.6815893380183, stopType: 'Bus Stop Shelter Accessible', gotime: \'6268\', location: \'BEDFORD HWY AT CHINA TOWN\' }, </v>
      </c>
    </row>
    <row r="440" spans="1:12" x14ac:dyDescent="0.25">
      <c r="A440">
        <v>-63.636140871920603</v>
      </c>
      <c r="B440">
        <v>44.665571540275401</v>
      </c>
      <c r="C440">
        <v>2439</v>
      </c>
      <c r="D440" t="s">
        <v>29</v>
      </c>
      <c r="E440" t="s">
        <v>12</v>
      </c>
      <c r="F440" t="s">
        <v>13</v>
      </c>
      <c r="G440" t="s">
        <v>14</v>
      </c>
      <c r="H440">
        <v>6269</v>
      </c>
      <c r="I440" t="s">
        <v>911</v>
      </c>
      <c r="J440" t="s">
        <v>912</v>
      </c>
      <c r="K440" t="s">
        <v>17</v>
      </c>
      <c r="L440" t="str">
        <f t="shared" si="6"/>
        <v xml:space="preserve">{ longitude: -63.6361408719206, latitude: 44.6655715402754, stopType: 'Bus Stop Accessible', gotime: \'6269\', location: \'BEDFORD HWY AT CIVIC 64\' }, </v>
      </c>
    </row>
    <row r="441" spans="1:12" x14ac:dyDescent="0.25">
      <c r="A441">
        <v>-63.656295830983296</v>
      </c>
      <c r="B441">
        <v>44.732963247067502</v>
      </c>
      <c r="C441">
        <v>2440</v>
      </c>
      <c r="D441" t="s">
        <v>29</v>
      </c>
      <c r="E441" t="s">
        <v>12</v>
      </c>
      <c r="F441" t="s">
        <v>25</v>
      </c>
      <c r="G441" t="s">
        <v>19</v>
      </c>
      <c r="H441">
        <v>6270</v>
      </c>
      <c r="I441" t="s">
        <v>913</v>
      </c>
      <c r="J441" t="s">
        <v>914</v>
      </c>
      <c r="K441" t="s">
        <v>17</v>
      </c>
      <c r="L441" t="str">
        <f t="shared" si="6"/>
        <v xml:space="preserve">{ longitude: -63.6562958309833, latitude: 44.7329632470675, stopType: 'Bus Stop Accessible', gotime: \'6270\', location: \'BEDFORD HWY IB AT DART. RD\' }, </v>
      </c>
    </row>
    <row r="442" spans="1:12" x14ac:dyDescent="0.25">
      <c r="A442">
        <v>-63.664389621095602</v>
      </c>
      <c r="B442">
        <v>44.706599750581503</v>
      </c>
      <c r="C442">
        <v>2441</v>
      </c>
      <c r="D442" t="s">
        <v>103</v>
      </c>
      <c r="E442" t="s">
        <v>12</v>
      </c>
      <c r="F442" t="s">
        <v>25</v>
      </c>
      <c r="G442" t="s">
        <v>65</v>
      </c>
      <c r="H442">
        <v>6271</v>
      </c>
      <c r="I442" t="s">
        <v>915</v>
      </c>
      <c r="J442" t="s">
        <v>916</v>
      </c>
      <c r="K442" t="s">
        <v>17</v>
      </c>
      <c r="L442" t="str">
        <f t="shared" si="6"/>
        <v xml:space="preserve">{ longitude: -63.6643896210956, latitude: 44.7065997505815, stopType: 'Bus Stop Inaccessible', gotime: \'6271\', location: \'BEDFORD HWY AT CIVIC 741\' }, </v>
      </c>
    </row>
    <row r="443" spans="1:12" x14ac:dyDescent="0.25">
      <c r="A443">
        <v>-63.661108306352702</v>
      </c>
      <c r="B443">
        <v>44.697872994970503</v>
      </c>
      <c r="C443">
        <v>2442</v>
      </c>
      <c r="D443" t="s">
        <v>11</v>
      </c>
      <c r="E443" t="s">
        <v>12</v>
      </c>
      <c r="F443" t="s">
        <v>25</v>
      </c>
      <c r="G443" t="s">
        <v>26</v>
      </c>
      <c r="H443">
        <v>6272</v>
      </c>
      <c r="I443" t="s">
        <v>917</v>
      </c>
      <c r="J443" t="s">
        <v>918</v>
      </c>
      <c r="K443" t="s">
        <v>17</v>
      </c>
      <c r="L443" t="str">
        <f t="shared" si="6"/>
        <v xml:space="preserve">{ longitude: -63.6611083063527, latitude: 44.6978729949705, stopType: 'Bus Stop Non-Standard', gotime: \'6272\', location: \'BEDFORD HWY AT CIVIC 612\' }, </v>
      </c>
    </row>
    <row r="444" spans="1:12" x14ac:dyDescent="0.25">
      <c r="A444">
        <v>-63.663073026216502</v>
      </c>
      <c r="B444">
        <v>44.704845970787197</v>
      </c>
      <c r="C444">
        <v>2443</v>
      </c>
      <c r="D444" t="s">
        <v>103</v>
      </c>
      <c r="E444" t="s">
        <v>12</v>
      </c>
      <c r="F444" t="s">
        <v>13</v>
      </c>
      <c r="G444" t="s">
        <v>65</v>
      </c>
      <c r="H444">
        <v>6273</v>
      </c>
      <c r="I444" t="s">
        <v>919</v>
      </c>
      <c r="J444" t="s">
        <v>920</v>
      </c>
      <c r="K444" t="s">
        <v>17</v>
      </c>
      <c r="L444" t="str">
        <f t="shared" si="6"/>
        <v xml:space="preserve">{ longitude: -63.6630730262165, latitude: 44.7048459707872, stopType: 'Bus Stop Inaccessible', gotime: \'6273\', location: \'BEDFORD HWY NS FERN AVE\' }, </v>
      </c>
    </row>
    <row r="445" spans="1:12" x14ac:dyDescent="0.25">
      <c r="A445">
        <v>-63.543958551138999</v>
      </c>
      <c r="B445">
        <v>44.670266482299702</v>
      </c>
      <c r="C445">
        <v>2444</v>
      </c>
      <c r="D445" t="s">
        <v>29</v>
      </c>
      <c r="E445" t="s">
        <v>12</v>
      </c>
      <c r="F445" t="s">
        <v>13</v>
      </c>
      <c r="G445" t="s">
        <v>14</v>
      </c>
      <c r="H445">
        <v>7442</v>
      </c>
      <c r="I445" t="s">
        <v>921</v>
      </c>
      <c r="J445" t="s">
        <v>922</v>
      </c>
      <c r="K445" t="s">
        <v>17</v>
      </c>
      <c r="L445" t="str">
        <f t="shared" si="6"/>
        <v xml:space="preserve">{ longitude: -63.543958551139, latitude: 44.6702664822997, stopType: 'Bus Stop Accessible', gotime: \'7442\', location: \'PEDDARS WAY OPP BOW\' }, </v>
      </c>
    </row>
    <row r="446" spans="1:12" x14ac:dyDescent="0.25">
      <c r="A446">
        <v>-63.544905480530197</v>
      </c>
      <c r="B446">
        <v>44.672031063678702</v>
      </c>
      <c r="C446">
        <v>2445</v>
      </c>
      <c r="D446" t="s">
        <v>11</v>
      </c>
      <c r="E446" t="s">
        <v>12</v>
      </c>
      <c r="F446" t="s">
        <v>25</v>
      </c>
      <c r="G446" t="s">
        <v>26</v>
      </c>
      <c r="H446">
        <v>7443</v>
      </c>
      <c r="I446" t="s">
        <v>923</v>
      </c>
      <c r="J446" t="s">
        <v>924</v>
      </c>
      <c r="K446" t="s">
        <v>17</v>
      </c>
      <c r="L446" t="str">
        <f t="shared" si="6"/>
        <v xml:space="preserve">{ longitude: -63.5449054805302, latitude: 44.6720310636787, stopType: 'Bus Stop Non-Standard', gotime: \'7443\', location: \'PEDDARS WAY NS CIVIC 47\' }, </v>
      </c>
    </row>
    <row r="447" spans="1:12" x14ac:dyDescent="0.25">
      <c r="A447">
        <v>-63.544753118661703</v>
      </c>
      <c r="B447">
        <v>44.672092787433897</v>
      </c>
      <c r="C447">
        <v>2446</v>
      </c>
      <c r="D447" t="s">
        <v>29</v>
      </c>
      <c r="E447" t="s">
        <v>12</v>
      </c>
      <c r="F447" t="s">
        <v>25</v>
      </c>
      <c r="G447" t="s">
        <v>26</v>
      </c>
      <c r="H447">
        <v>7444</v>
      </c>
      <c r="I447" t="s">
        <v>925</v>
      </c>
      <c r="J447" t="s">
        <v>926</v>
      </c>
      <c r="K447" t="s">
        <v>17</v>
      </c>
      <c r="L447" t="str">
        <f t="shared" si="6"/>
        <v xml:space="preserve">{ longitude: -63.5447531186617, latitude: 44.6720927874339, stopType: 'Bus Stop Accessible', gotime: \'7444\', location: \'PEDDARS WAY OPP CIVIC 47\' }, </v>
      </c>
    </row>
    <row r="448" spans="1:12" x14ac:dyDescent="0.25">
      <c r="A448">
        <v>-63.538090348599098</v>
      </c>
      <c r="B448">
        <v>44.670776898120003</v>
      </c>
      <c r="C448">
        <v>2447</v>
      </c>
      <c r="D448" t="s">
        <v>22</v>
      </c>
      <c r="E448" t="s">
        <v>12</v>
      </c>
      <c r="F448" t="s">
        <v>25</v>
      </c>
      <c r="G448" t="s">
        <v>19</v>
      </c>
      <c r="H448">
        <v>7445</v>
      </c>
      <c r="I448" t="s">
        <v>927</v>
      </c>
      <c r="J448" t="s">
        <v>928</v>
      </c>
      <c r="K448" t="s">
        <v>17</v>
      </c>
      <c r="L448" t="str">
        <f t="shared" si="6"/>
        <v xml:space="preserve">{ longitude: -63.5380903485991, latitude: 44.67077689812, stopType: 'Bus Stop Shelter Accessible', gotime: \'7445\', location: \'PENHORN TERMINAL METROLINK [OB]\' }, </v>
      </c>
    </row>
    <row r="449" spans="1:12" x14ac:dyDescent="0.25">
      <c r="A449">
        <v>-63.538811664002601</v>
      </c>
      <c r="B449">
        <v>44.6706299760802</v>
      </c>
      <c r="C449">
        <v>2448</v>
      </c>
      <c r="D449" t="s">
        <v>22</v>
      </c>
      <c r="E449" t="s">
        <v>12</v>
      </c>
      <c r="F449" t="s">
        <v>25</v>
      </c>
      <c r="G449" t="s">
        <v>19</v>
      </c>
      <c r="H449">
        <v>7446</v>
      </c>
      <c r="I449" t="s">
        <v>929</v>
      </c>
      <c r="J449" t="s">
        <v>930</v>
      </c>
      <c r="K449" t="s">
        <v>17</v>
      </c>
      <c r="L449" t="str">
        <f t="shared" si="6"/>
        <v xml:space="preserve">{ longitude: -63.5388116640026, latitude: 44.6706299760802, stopType: 'Bus Stop Shelter Accessible', gotime: \'7446\', location: \'PENHORN TERMINAL &lt;WB&gt; Downtown\' }, </v>
      </c>
    </row>
    <row r="450" spans="1:12" x14ac:dyDescent="0.25">
      <c r="A450">
        <v>-63.610306825774501</v>
      </c>
      <c r="B450">
        <v>44.711987008355401</v>
      </c>
      <c r="C450">
        <v>2449</v>
      </c>
      <c r="D450" t="s">
        <v>11</v>
      </c>
      <c r="E450" t="s">
        <v>12</v>
      </c>
      <c r="F450" t="s">
        <v>25</v>
      </c>
      <c r="G450" t="s">
        <v>26</v>
      </c>
      <c r="H450">
        <v>7447</v>
      </c>
      <c r="I450" t="s">
        <v>931</v>
      </c>
      <c r="J450" t="s">
        <v>932</v>
      </c>
      <c r="K450" t="s">
        <v>17</v>
      </c>
      <c r="L450" t="str">
        <f t="shared" si="6"/>
        <v xml:space="preserve">{ longitude: -63.6103068257745, latitude: 44.7119870083554, stopType: 'Bus Stop Non-Standard', gotime: \'7447\', location: \'PETTIPAS DR FS VIDITO DR\' }, </v>
      </c>
    </row>
    <row r="451" spans="1:12" x14ac:dyDescent="0.25">
      <c r="A451">
        <v>-63.612441653433997</v>
      </c>
      <c r="B451">
        <v>44.710212685155703</v>
      </c>
      <c r="C451">
        <v>2450</v>
      </c>
      <c r="D451" t="s">
        <v>11</v>
      </c>
      <c r="E451" t="s">
        <v>12</v>
      </c>
      <c r="F451" t="s">
        <v>25</v>
      </c>
      <c r="G451" t="s">
        <v>26</v>
      </c>
      <c r="H451">
        <v>7448</v>
      </c>
      <c r="I451" t="s">
        <v>933</v>
      </c>
      <c r="J451" t="s">
        <v>934</v>
      </c>
      <c r="K451" t="s">
        <v>17</v>
      </c>
      <c r="L451" t="str">
        <f t="shared" ref="L451:L514" si="7">CONCATENATE( "{ longitude: ", A451, ", latitude: ", B451, ", stopType: '", D451, "', gotime: \'", H451, "\', location: \'", I451, "\' }, ")</f>
        <v xml:space="preserve">{ longitude: -63.612441653434, latitude: 44.7102126851557, stopType: 'Bus Stop Non-Standard', gotime: \'7448\', location: \'PETTIPAS DR AT CIVIC 19\' }, </v>
      </c>
    </row>
    <row r="452" spans="1:12" x14ac:dyDescent="0.25">
      <c r="A452">
        <v>-63.580101771075398</v>
      </c>
      <c r="B452">
        <v>44.683488657255502</v>
      </c>
      <c r="C452">
        <v>2451</v>
      </c>
      <c r="D452" t="s">
        <v>29</v>
      </c>
      <c r="E452" t="s">
        <v>12</v>
      </c>
      <c r="F452" t="s">
        <v>25</v>
      </c>
      <c r="G452" t="s">
        <v>26</v>
      </c>
      <c r="H452">
        <v>7449</v>
      </c>
      <c r="I452" t="s">
        <v>935</v>
      </c>
      <c r="J452" t="s">
        <v>936</v>
      </c>
      <c r="K452" t="s">
        <v>17</v>
      </c>
      <c r="L452" t="str">
        <f t="shared" si="7"/>
        <v xml:space="preserve">{ longitude: -63.5801017710754, latitude: 44.6834886572555, stopType: 'Bus Stop Accessible', gotime: \'7449\', location: \'PINECREST DR FS ALBRO LAKE RD\' }, </v>
      </c>
    </row>
    <row r="453" spans="1:12" x14ac:dyDescent="0.25">
      <c r="A453">
        <v>-63.5800918637634</v>
      </c>
      <c r="B453">
        <v>44.683317582858002</v>
      </c>
      <c r="C453">
        <v>2452</v>
      </c>
      <c r="D453" t="s">
        <v>29</v>
      </c>
      <c r="E453" t="s">
        <v>12</v>
      </c>
      <c r="F453" t="s">
        <v>25</v>
      </c>
      <c r="G453" t="s">
        <v>26</v>
      </c>
      <c r="H453">
        <v>7450</v>
      </c>
      <c r="I453" t="s">
        <v>937</v>
      </c>
      <c r="J453" t="s">
        <v>938</v>
      </c>
      <c r="K453" t="s">
        <v>17</v>
      </c>
      <c r="L453" t="str">
        <f t="shared" si="7"/>
        <v xml:space="preserve">{ longitude: -63.5800918637634, latitude: 44.683317582858, stopType: 'Bus Stop Accessible', gotime: \'7450\', location: \'PINECREST DR NS ALBRO LAKE RD\' }, </v>
      </c>
    </row>
    <row r="454" spans="1:12" x14ac:dyDescent="0.25">
      <c r="A454">
        <v>-63.587265091815098</v>
      </c>
      <c r="B454">
        <v>44.683609132401898</v>
      </c>
      <c r="C454">
        <v>2453</v>
      </c>
      <c r="D454" t="s">
        <v>29</v>
      </c>
      <c r="E454" t="s">
        <v>12</v>
      </c>
      <c r="F454" t="s">
        <v>25</v>
      </c>
      <c r="G454" t="s">
        <v>19</v>
      </c>
      <c r="H454">
        <v>7451</v>
      </c>
      <c r="I454" t="s">
        <v>939</v>
      </c>
      <c r="J454" t="s">
        <v>940</v>
      </c>
      <c r="K454" t="s">
        <v>17</v>
      </c>
      <c r="L454" t="str">
        <f t="shared" si="7"/>
        <v xml:space="preserve">{ longitude: -63.5872650918151, latitude: 44.6836091324019, stopType: 'Bus Stop Accessible', gotime: \'7451\', location: \'PINECREST DR FS BRULE ST&lt;EB&gt;\' }, </v>
      </c>
    </row>
    <row r="455" spans="1:12" x14ac:dyDescent="0.25">
      <c r="A455">
        <v>-63.585745047971699</v>
      </c>
      <c r="B455">
        <v>44.686044355468702</v>
      </c>
      <c r="C455">
        <v>2454</v>
      </c>
      <c r="D455" t="s">
        <v>29</v>
      </c>
      <c r="E455" t="s">
        <v>12</v>
      </c>
      <c r="F455" t="s">
        <v>13</v>
      </c>
      <c r="G455" t="s">
        <v>14</v>
      </c>
      <c r="H455">
        <v>7452</v>
      </c>
      <c r="I455" t="s">
        <v>941</v>
      </c>
      <c r="J455" t="s">
        <v>942</v>
      </c>
      <c r="K455" t="s">
        <v>17</v>
      </c>
      <c r="L455" t="str">
        <f t="shared" si="7"/>
        <v xml:space="preserve">{ longitude: -63.5857450479717, latitude: 44.6860443554687, stopType: 'Bus Stop Accessible', gotime: \'7452\', location: \'PINECREST DR AT CIVIC 103\' }, </v>
      </c>
    </row>
    <row r="456" spans="1:12" x14ac:dyDescent="0.25">
      <c r="A456">
        <v>-63.586156180596703</v>
      </c>
      <c r="B456">
        <v>44.685940189602299</v>
      </c>
      <c r="C456">
        <v>2455</v>
      </c>
      <c r="D456" t="s">
        <v>29</v>
      </c>
      <c r="E456" t="s">
        <v>12</v>
      </c>
      <c r="F456" t="s">
        <v>25</v>
      </c>
      <c r="G456" t="s">
        <v>19</v>
      </c>
      <c r="H456">
        <v>7453</v>
      </c>
      <c r="I456" t="s">
        <v>943</v>
      </c>
      <c r="J456" t="s">
        <v>944</v>
      </c>
      <c r="K456" t="s">
        <v>17</v>
      </c>
      <c r="L456" t="str">
        <f t="shared" si="7"/>
        <v xml:space="preserve">{ longitude: -63.5861561805967, latitude: 44.6859401896023, stopType: 'Bus Stop Accessible', gotime: \'7453\', location: \'PINECREST DR AT CIVIC 106\' }, </v>
      </c>
    </row>
    <row r="457" spans="1:12" x14ac:dyDescent="0.25">
      <c r="A457">
        <v>-63.587383774590201</v>
      </c>
      <c r="B457">
        <v>44.684888040334499</v>
      </c>
      <c r="C457">
        <v>2456</v>
      </c>
      <c r="D457" t="s">
        <v>29</v>
      </c>
      <c r="E457" t="s">
        <v>12</v>
      </c>
      <c r="F457" t="s">
        <v>25</v>
      </c>
      <c r="G457" t="s">
        <v>26</v>
      </c>
      <c r="H457">
        <v>7454</v>
      </c>
      <c r="I457" t="s">
        <v>945</v>
      </c>
      <c r="J457" t="s">
        <v>946</v>
      </c>
      <c r="K457" t="s">
        <v>17</v>
      </c>
      <c r="L457" t="str">
        <f t="shared" si="7"/>
        <v xml:space="preserve">{ longitude: -63.5873837745902, latitude: 44.6848880403345, stopType: 'Bus Stop Accessible', gotime: \'7454\', location: \'PINECREST DR AT CIVIC 122\' }, </v>
      </c>
    </row>
    <row r="458" spans="1:12" x14ac:dyDescent="0.25">
      <c r="A458">
        <v>-63.587425124605701</v>
      </c>
      <c r="B458">
        <v>44.684632688911201</v>
      </c>
      <c r="C458">
        <v>2457</v>
      </c>
      <c r="D458" t="s">
        <v>29</v>
      </c>
      <c r="E458" t="s">
        <v>12</v>
      </c>
      <c r="F458" t="s">
        <v>13</v>
      </c>
      <c r="G458" t="s">
        <v>19</v>
      </c>
      <c r="H458">
        <v>7455</v>
      </c>
      <c r="I458" t="s">
        <v>947</v>
      </c>
      <c r="J458" t="s">
        <v>948</v>
      </c>
      <c r="K458" t="s">
        <v>17</v>
      </c>
      <c r="L458" t="str">
        <f t="shared" si="7"/>
        <v xml:space="preserve">{ longitude: -63.5874251246057, latitude: 44.6846326889112, stopType: 'Bus Stop Accessible', gotime: \'7455\', location: \'PINECREST DR AT CIVIC 123\' }, </v>
      </c>
    </row>
    <row r="459" spans="1:12" x14ac:dyDescent="0.25">
      <c r="A459">
        <v>-63.581667332475703</v>
      </c>
      <c r="B459">
        <v>44.6842032351502</v>
      </c>
      <c r="C459">
        <v>2458</v>
      </c>
      <c r="D459" t="s">
        <v>29</v>
      </c>
      <c r="E459" t="s">
        <v>12</v>
      </c>
      <c r="F459" t="s">
        <v>25</v>
      </c>
      <c r="G459" t="s">
        <v>26</v>
      </c>
      <c r="H459">
        <v>7456</v>
      </c>
      <c r="I459" t="s">
        <v>949</v>
      </c>
      <c r="J459" t="s">
        <v>950</v>
      </c>
      <c r="K459" t="s">
        <v>17</v>
      </c>
      <c r="L459" t="str">
        <f t="shared" si="7"/>
        <v xml:space="preserve">{ longitude: -63.5816673324757, latitude: 44.6842032351502, stopType: 'Bus Stop Accessible', gotime: \'7456\', location: \'PINECREST DR AT CIVIC 63\' }, </v>
      </c>
    </row>
    <row r="460" spans="1:12" x14ac:dyDescent="0.25">
      <c r="A460">
        <v>-63.584090219853103</v>
      </c>
      <c r="B460">
        <v>44.685752644239003</v>
      </c>
      <c r="C460">
        <v>2459</v>
      </c>
      <c r="D460" t="s">
        <v>29</v>
      </c>
      <c r="E460" t="s">
        <v>12</v>
      </c>
      <c r="F460" t="s">
        <v>25</v>
      </c>
      <c r="G460" t="s">
        <v>26</v>
      </c>
      <c r="H460">
        <v>7457</v>
      </c>
      <c r="I460" t="s">
        <v>951</v>
      </c>
      <c r="J460" t="s">
        <v>952</v>
      </c>
      <c r="K460" t="s">
        <v>17</v>
      </c>
      <c r="L460" t="str">
        <f t="shared" si="7"/>
        <v xml:space="preserve">{ longitude: -63.5840902198531, latitude: 44.685752644239, stopType: 'Bus Stop Accessible', gotime: \'7457\', location: \'PINECREST DR NS CRYSTAL DR\' }, </v>
      </c>
    </row>
    <row r="461" spans="1:12" x14ac:dyDescent="0.25">
      <c r="A461">
        <v>-63.5845012934412</v>
      </c>
      <c r="B461">
        <v>44.685812458603898</v>
      </c>
      <c r="C461">
        <v>2460</v>
      </c>
      <c r="D461" t="s">
        <v>103</v>
      </c>
      <c r="E461" t="s">
        <v>12</v>
      </c>
      <c r="F461" t="s">
        <v>13</v>
      </c>
      <c r="G461" t="s">
        <v>65</v>
      </c>
      <c r="H461">
        <v>7458</v>
      </c>
      <c r="I461" t="s">
        <v>953</v>
      </c>
      <c r="J461" t="s">
        <v>954</v>
      </c>
      <c r="K461" t="s">
        <v>17</v>
      </c>
      <c r="L461" t="str">
        <f t="shared" si="7"/>
        <v xml:space="preserve">{ longitude: -63.5845012934412, latitude: 44.6858124586039, stopType: 'Bus Stop Inaccessible', gotime: \'7458\', location: \'PINECREST DR NS CRYSTAL DR &lt;SB&gt;\' }, </v>
      </c>
    </row>
    <row r="462" spans="1:12" x14ac:dyDescent="0.25">
      <c r="A462">
        <v>-63.582639954999699</v>
      </c>
      <c r="B462">
        <v>44.684922029701397</v>
      </c>
      <c r="C462">
        <v>2461</v>
      </c>
      <c r="D462" t="s">
        <v>29</v>
      </c>
      <c r="E462" t="s">
        <v>12</v>
      </c>
      <c r="F462" t="s">
        <v>25</v>
      </c>
      <c r="G462" t="s">
        <v>26</v>
      </c>
      <c r="H462">
        <v>7459</v>
      </c>
      <c r="I462" t="s">
        <v>955</v>
      </c>
      <c r="J462" t="s">
        <v>956</v>
      </c>
      <c r="K462" t="s">
        <v>17</v>
      </c>
      <c r="L462" t="str">
        <f t="shared" si="7"/>
        <v xml:space="preserve">{ longitude: -63.5826399549997, latitude: 44.6849220297014, stopType: 'Bus Stop Accessible', gotime: \'7459\', location: \'PINECREST DR NS PRIMROSE ST\' }, </v>
      </c>
    </row>
    <row r="463" spans="1:12" x14ac:dyDescent="0.25">
      <c r="A463">
        <v>-63.515688951668899</v>
      </c>
      <c r="B463">
        <v>44.682093508642801</v>
      </c>
      <c r="C463">
        <v>2462</v>
      </c>
      <c r="D463" t="s">
        <v>11</v>
      </c>
      <c r="E463" t="s">
        <v>12</v>
      </c>
      <c r="F463" t="s">
        <v>13</v>
      </c>
      <c r="G463" t="s">
        <v>14</v>
      </c>
      <c r="H463">
        <v>7460</v>
      </c>
      <c r="I463" t="s">
        <v>957</v>
      </c>
      <c r="J463" t="s">
        <v>958</v>
      </c>
      <c r="K463" t="s">
        <v>17</v>
      </c>
      <c r="L463" t="str">
        <f t="shared" si="7"/>
        <v xml:space="preserve">{ longitude: -63.5156889516689, latitude: 44.6820935086428, stopType: 'Bus Stop Non-Standard', gotime: \'7460\', location: \'PLAZA FS ELJAY CIVIC 15\' }, </v>
      </c>
    </row>
    <row r="464" spans="1:12" x14ac:dyDescent="0.25">
      <c r="A464">
        <v>-63.507805381914899</v>
      </c>
      <c r="B464">
        <v>44.621433040564199</v>
      </c>
      <c r="C464">
        <v>2463</v>
      </c>
      <c r="D464" t="s">
        <v>29</v>
      </c>
      <c r="E464" t="s">
        <v>12</v>
      </c>
      <c r="F464" t="s">
        <v>25</v>
      </c>
      <c r="G464" t="s">
        <v>199</v>
      </c>
      <c r="H464">
        <v>7461</v>
      </c>
      <c r="I464" t="s">
        <v>959</v>
      </c>
      <c r="J464" t="s">
        <v>960</v>
      </c>
      <c r="K464" t="s">
        <v>17</v>
      </c>
      <c r="L464" t="str">
        <f t="shared" si="7"/>
        <v xml:space="preserve">{ longitude: -63.5078053819149, latitude: 44.6214330405642, stopType: 'Bus Stop Accessible', gotime: \'7461\', location: \'PLEASANT ST AT AUTOPORT &lt;SB&gt;\' }, </v>
      </c>
    </row>
    <row r="465" spans="1:12" x14ac:dyDescent="0.25">
      <c r="A465">
        <v>-63.515490308129699</v>
      </c>
      <c r="B465">
        <v>44.626764435676002</v>
      </c>
      <c r="C465">
        <v>2464</v>
      </c>
      <c r="D465" t="s">
        <v>29</v>
      </c>
      <c r="E465" t="s">
        <v>12</v>
      </c>
      <c r="F465" t="s">
        <v>25</v>
      </c>
      <c r="G465" t="s">
        <v>199</v>
      </c>
      <c r="H465">
        <v>7462</v>
      </c>
      <c r="I465" t="s">
        <v>961</v>
      </c>
      <c r="J465" t="s">
        <v>962</v>
      </c>
      <c r="K465" t="s">
        <v>17</v>
      </c>
      <c r="L465" t="str">
        <f t="shared" si="7"/>
        <v xml:space="preserve">{ longitude: -63.5154903081297, latitude: 44.626764435676, stopType: 'Bus Stop Accessible', gotime: \'7462\', location: \'PLEASANT ST AT CFB SHEARWATER &lt;SB&gt;\' }, </v>
      </c>
    </row>
    <row r="466" spans="1:12" x14ac:dyDescent="0.25">
      <c r="A466">
        <v>-63.494912099285898</v>
      </c>
      <c r="B466">
        <v>44.612059483575202</v>
      </c>
      <c r="C466">
        <v>2465</v>
      </c>
      <c r="D466" t="s">
        <v>29</v>
      </c>
      <c r="E466" t="s">
        <v>12</v>
      </c>
      <c r="F466" t="s">
        <v>25</v>
      </c>
      <c r="G466" t="s">
        <v>26</v>
      </c>
      <c r="H466">
        <v>7463</v>
      </c>
      <c r="I466" t="s">
        <v>963</v>
      </c>
      <c r="J466" t="s">
        <v>964</v>
      </c>
      <c r="K466" t="s">
        <v>17</v>
      </c>
      <c r="L466" t="str">
        <f t="shared" si="7"/>
        <v xml:space="preserve">{ longitude: -63.4949120992859, latitude: 44.6120594835752, stopType: 'Bus Stop Accessible', gotime: \'7463\', location: \'PLEASANT ST AT CIVIC 1494 &lt;NB&gt;\' }, </v>
      </c>
    </row>
    <row r="467" spans="1:12" x14ac:dyDescent="0.25">
      <c r="A467">
        <v>-63.549740326145297</v>
      </c>
      <c r="B467">
        <v>44.655556865906</v>
      </c>
      <c r="C467">
        <v>2466</v>
      </c>
      <c r="D467" t="s">
        <v>22</v>
      </c>
      <c r="E467" t="s">
        <v>12</v>
      </c>
      <c r="F467" t="s">
        <v>25</v>
      </c>
      <c r="G467" t="s">
        <v>19</v>
      </c>
      <c r="H467">
        <v>7464</v>
      </c>
      <c r="I467" t="s">
        <v>965</v>
      </c>
      <c r="J467" t="s">
        <v>966</v>
      </c>
      <c r="K467" t="s">
        <v>17</v>
      </c>
      <c r="L467" t="str">
        <f t="shared" si="7"/>
        <v xml:space="preserve">{ longitude: -63.5497403261453, latitude: 44.655556865906, stopType: 'Bus Stop Shelter Accessible', gotime: \'7464\', location: \'PLEASANT ST FS ACADIA ST\' }, </v>
      </c>
    </row>
    <row r="468" spans="1:12" x14ac:dyDescent="0.25">
      <c r="A468">
        <v>-63.5517454015353</v>
      </c>
      <c r="B468">
        <v>44.659407427928201</v>
      </c>
      <c r="C468">
        <v>2467</v>
      </c>
      <c r="D468" t="s">
        <v>29</v>
      </c>
      <c r="E468" t="s">
        <v>12</v>
      </c>
      <c r="F468" t="s">
        <v>25</v>
      </c>
      <c r="G468" t="s">
        <v>19</v>
      </c>
      <c r="H468">
        <v>7465</v>
      </c>
      <c r="I468" t="s">
        <v>967</v>
      </c>
      <c r="J468" t="s">
        <v>968</v>
      </c>
      <c r="K468" t="s">
        <v>17</v>
      </c>
      <c r="L468" t="str">
        <f t="shared" si="7"/>
        <v xml:space="preserve">{ longitude: -63.5517454015353, latitude: 44.6594074279282, stopType: 'Bus Stop Accessible', gotime: \'7465\', location: \'PLEASANT ST FS ARTHUR ST&lt;SB&gt;\' }, </v>
      </c>
    </row>
    <row r="469" spans="1:12" x14ac:dyDescent="0.25">
      <c r="A469">
        <v>-63.546290158666402</v>
      </c>
      <c r="B469">
        <v>44.6499589624704</v>
      </c>
      <c r="C469">
        <v>2468</v>
      </c>
      <c r="D469" t="s">
        <v>29</v>
      </c>
      <c r="E469" t="s">
        <v>12</v>
      </c>
      <c r="F469" t="s">
        <v>13</v>
      </c>
      <c r="G469" t="s">
        <v>19</v>
      </c>
      <c r="H469">
        <v>7466</v>
      </c>
      <c r="I469" t="s">
        <v>969</v>
      </c>
      <c r="J469" t="s">
        <v>970</v>
      </c>
      <c r="K469" t="s">
        <v>17</v>
      </c>
      <c r="L469" t="str">
        <f t="shared" si="7"/>
        <v xml:space="preserve">{ longitude: -63.5462901586664, latitude: 44.6499589624704, stopType: 'Bus Stop Accessible', gotime: \'7466\', location: \'PLEASANT ST FS ATLANTIC ST [IB]\' }, </v>
      </c>
    </row>
    <row r="470" spans="1:12" x14ac:dyDescent="0.25">
      <c r="A470">
        <v>-63.545939136409999</v>
      </c>
      <c r="B470">
        <v>44.648930237077302</v>
      </c>
      <c r="C470">
        <v>2469</v>
      </c>
      <c r="D470" t="s">
        <v>29</v>
      </c>
      <c r="E470" t="s">
        <v>12</v>
      </c>
      <c r="F470" t="s">
        <v>13</v>
      </c>
      <c r="G470" t="s">
        <v>19</v>
      </c>
      <c r="H470">
        <v>7467</v>
      </c>
      <c r="I470" t="s">
        <v>971</v>
      </c>
      <c r="J470" t="s">
        <v>972</v>
      </c>
      <c r="K470" t="s">
        <v>17</v>
      </c>
      <c r="L470" t="str">
        <f t="shared" si="7"/>
        <v xml:space="preserve">{ longitude: -63.54593913641, latitude: 44.6489302370773, stopType: 'Bus Stop Accessible', gotime: \'7467\', location: \'PLEASANT ST FS ATLANTIC ST [OB]\' }, </v>
      </c>
    </row>
    <row r="471" spans="1:12" x14ac:dyDescent="0.25">
      <c r="A471">
        <v>-63.558997522487999</v>
      </c>
      <c r="B471">
        <v>44.667882177048497</v>
      </c>
      <c r="C471">
        <v>2470</v>
      </c>
      <c r="D471" t="s">
        <v>29</v>
      </c>
      <c r="E471" t="s">
        <v>12</v>
      </c>
      <c r="F471" t="s">
        <v>25</v>
      </c>
      <c r="G471" t="s">
        <v>199</v>
      </c>
      <c r="H471">
        <v>7468</v>
      </c>
      <c r="I471" t="s">
        <v>973</v>
      </c>
      <c r="J471" t="s">
        <v>974</v>
      </c>
      <c r="K471" t="s">
        <v>17</v>
      </c>
      <c r="L471" t="str">
        <f t="shared" si="7"/>
        <v xml:space="preserve">{ longitude: -63.558997522488, latitude: 44.6678821770485, stopType: 'Bus Stop Accessible', gotime: \'7468\', location: \'PLEASANT ST FS CIVIC 54\' }, </v>
      </c>
    </row>
    <row r="472" spans="1:12" x14ac:dyDescent="0.25">
      <c r="A472">
        <v>-63.533982416958303</v>
      </c>
      <c r="B472">
        <v>44.640944029837797</v>
      </c>
      <c r="C472">
        <v>2471</v>
      </c>
      <c r="D472" t="s">
        <v>11</v>
      </c>
      <c r="E472" t="s">
        <v>12</v>
      </c>
      <c r="F472" t="s">
        <v>25</v>
      </c>
      <c r="G472" t="s">
        <v>199</v>
      </c>
      <c r="H472">
        <v>7469</v>
      </c>
      <c r="I472" t="s">
        <v>975</v>
      </c>
      <c r="J472" t="s">
        <v>976</v>
      </c>
      <c r="K472" t="s">
        <v>17</v>
      </c>
      <c r="L472" t="str">
        <f t="shared" si="7"/>
        <v xml:space="preserve">{ longitude: -63.5339824169583, latitude: 44.6409440298378, stopType: 'Bus Stop Non-Standard', gotime: \'7469\', location: \'PLEASANT ST FS IMPERIAL ENTRANCE  &lt;SB&gt;\' }, </v>
      </c>
    </row>
    <row r="473" spans="1:12" x14ac:dyDescent="0.25">
      <c r="A473">
        <v>-63.550256454586197</v>
      </c>
      <c r="B473">
        <v>44.656380137309398</v>
      </c>
      <c r="C473">
        <v>2472</v>
      </c>
      <c r="D473" t="s">
        <v>11</v>
      </c>
      <c r="E473" t="s">
        <v>12</v>
      </c>
      <c r="F473" t="s">
        <v>25</v>
      </c>
      <c r="G473" t="s">
        <v>199</v>
      </c>
      <c r="H473">
        <v>7470</v>
      </c>
      <c r="I473" t="s">
        <v>977</v>
      </c>
      <c r="J473" t="s">
        <v>978</v>
      </c>
      <c r="K473" t="s">
        <v>17</v>
      </c>
      <c r="L473" t="str">
        <f t="shared" si="7"/>
        <v xml:space="preserve">{ longitude: -63.5502564545862, latitude: 44.6563801373094, stopType: 'Bus Stop Non-Standard', gotime: \'7470\', location: \'PLEASANT ST FS RENFREW ST &lt;SB&gt;\' }, </v>
      </c>
    </row>
    <row r="474" spans="1:12" x14ac:dyDescent="0.25">
      <c r="A474">
        <v>-63.489797557614096</v>
      </c>
      <c r="B474">
        <v>44.6759307418844</v>
      </c>
      <c r="C474">
        <v>2473</v>
      </c>
      <c r="D474" t="s">
        <v>29</v>
      </c>
      <c r="E474" t="s">
        <v>12</v>
      </c>
      <c r="F474" t="s">
        <v>25</v>
      </c>
      <c r="G474" t="s">
        <v>26</v>
      </c>
      <c r="H474">
        <v>7199</v>
      </c>
      <c r="I474" t="s">
        <v>979</v>
      </c>
      <c r="J474" t="s">
        <v>980</v>
      </c>
      <c r="K474" t="s">
        <v>17</v>
      </c>
      <c r="L474" t="str">
        <f t="shared" si="7"/>
        <v xml:space="preserve">{ longitude: -63.4897975576141, latitude: 44.6759307418844, stopType: 'Bus Stop Accessible', gotime: \'7199\', location: \'MERRIMAC DR FS SILISTRIA DR\' }, </v>
      </c>
    </row>
    <row r="475" spans="1:12" x14ac:dyDescent="0.25">
      <c r="A475">
        <v>-63.491546897627899</v>
      </c>
      <c r="B475">
        <v>44.676882174485101</v>
      </c>
      <c r="C475">
        <v>2474</v>
      </c>
      <c r="D475" t="s">
        <v>11</v>
      </c>
      <c r="E475" t="s">
        <v>12</v>
      </c>
      <c r="F475" t="s">
        <v>25</v>
      </c>
      <c r="G475" t="s">
        <v>26</v>
      </c>
      <c r="H475">
        <v>7200</v>
      </c>
      <c r="I475" t="s">
        <v>981</v>
      </c>
      <c r="J475" t="s">
        <v>982</v>
      </c>
      <c r="K475" t="s">
        <v>17</v>
      </c>
      <c r="L475" t="str">
        <f t="shared" si="7"/>
        <v xml:space="preserve">{ longitude: -63.4915468976279, latitude: 44.6768821744851, stopType: 'Bus Stop Non-Standard', gotime: \'7200\', location: \'MERRIMAC AT CIVIC 145\' }, </v>
      </c>
    </row>
    <row r="476" spans="1:12" x14ac:dyDescent="0.25">
      <c r="A476">
        <v>-63.486476353038299</v>
      </c>
      <c r="B476">
        <v>44.6754333282936</v>
      </c>
      <c r="C476">
        <v>2475</v>
      </c>
      <c r="D476" t="s">
        <v>29</v>
      </c>
      <c r="E476" t="s">
        <v>12</v>
      </c>
      <c r="F476" t="s">
        <v>25</v>
      </c>
      <c r="G476" t="s">
        <v>19</v>
      </c>
      <c r="H476">
        <v>7201</v>
      </c>
      <c r="I476" t="s">
        <v>983</v>
      </c>
      <c r="J476" t="s">
        <v>984</v>
      </c>
      <c r="K476" t="s">
        <v>17</v>
      </c>
      <c r="L476" t="str">
        <f t="shared" si="7"/>
        <v xml:space="preserve">{ longitude: -63.4864763530383, latitude: 44.6754333282936, stopType: 'Bus Stop Accessible', gotime: \'7201\', location: \'MERRIMAC DR NS ARKLOW DR\' }, </v>
      </c>
    </row>
    <row r="477" spans="1:12" x14ac:dyDescent="0.25">
      <c r="A477">
        <v>-63.489596090746304</v>
      </c>
      <c r="B477">
        <v>44.675910960067398</v>
      </c>
      <c r="C477">
        <v>2476</v>
      </c>
      <c r="D477" t="s">
        <v>103</v>
      </c>
      <c r="E477" t="s">
        <v>12</v>
      </c>
      <c r="F477" t="s">
        <v>25</v>
      </c>
      <c r="G477" t="s">
        <v>65</v>
      </c>
      <c r="H477">
        <v>7202</v>
      </c>
      <c r="I477" t="s">
        <v>985</v>
      </c>
      <c r="J477" t="s">
        <v>986</v>
      </c>
      <c r="K477" t="s">
        <v>17</v>
      </c>
      <c r="L477" t="str">
        <f t="shared" si="7"/>
        <v xml:space="preserve">{ longitude: -63.4895960907463, latitude: 44.6759109600674, stopType: 'Bus Stop Inaccessible', gotime: \'7202\', location: \'MERRIMAC DR NS CIVIC 87\' }, </v>
      </c>
    </row>
    <row r="478" spans="1:12" x14ac:dyDescent="0.25">
      <c r="A478">
        <v>-63.486677660261698</v>
      </c>
      <c r="B478">
        <v>44.675462113924297</v>
      </c>
      <c r="C478">
        <v>2477</v>
      </c>
      <c r="D478" t="s">
        <v>22</v>
      </c>
      <c r="E478" t="s">
        <v>12</v>
      </c>
      <c r="F478" t="s">
        <v>25</v>
      </c>
      <c r="G478" t="s">
        <v>19</v>
      </c>
      <c r="H478">
        <v>7203</v>
      </c>
      <c r="I478" t="s">
        <v>987</v>
      </c>
      <c r="J478" t="s">
        <v>988</v>
      </c>
      <c r="K478" t="s">
        <v>17</v>
      </c>
      <c r="L478" t="str">
        <f t="shared" si="7"/>
        <v xml:space="preserve">{ longitude: -63.4866776602617, latitude: 44.6754621139243, stopType: 'Bus Stop Shelter Accessible', gotime: \'7203\', location: \'MERRIMAC DR OPP CIVIC 8\' }, </v>
      </c>
    </row>
    <row r="479" spans="1:12" x14ac:dyDescent="0.25">
      <c r="A479">
        <v>-63.673283568355899</v>
      </c>
      <c r="B479">
        <v>44.781235368998203</v>
      </c>
      <c r="C479">
        <v>2478</v>
      </c>
      <c r="D479" t="s">
        <v>11</v>
      </c>
      <c r="E479" t="s">
        <v>12</v>
      </c>
      <c r="F479" t="s">
        <v>25</v>
      </c>
      <c r="G479" t="s">
        <v>26</v>
      </c>
      <c r="H479">
        <v>7204</v>
      </c>
      <c r="I479" t="s">
        <v>989</v>
      </c>
      <c r="J479" t="s">
        <v>990</v>
      </c>
      <c r="K479" t="s">
        <v>17</v>
      </c>
      <c r="L479" t="str">
        <f t="shared" si="7"/>
        <v xml:space="preserve">{ longitude: -63.6732835683559, latitude: 44.7812353689982, stopType: 'Bus Stop Non-Standard', gotime: \'7204\', location: \'METROPOLITAN AVE NS POLARA DR\' }, </v>
      </c>
    </row>
    <row r="480" spans="1:12" x14ac:dyDescent="0.25">
      <c r="A480">
        <v>-63.582995861880498</v>
      </c>
      <c r="B480">
        <v>44.693546606917998</v>
      </c>
      <c r="C480">
        <v>2479</v>
      </c>
      <c r="D480" t="s">
        <v>22</v>
      </c>
      <c r="E480" t="s">
        <v>12</v>
      </c>
      <c r="F480" t="s">
        <v>25</v>
      </c>
      <c r="G480" t="s">
        <v>19</v>
      </c>
      <c r="H480">
        <v>7205</v>
      </c>
      <c r="I480" t="s">
        <v>991</v>
      </c>
      <c r="J480" t="s">
        <v>992</v>
      </c>
      <c r="K480" t="s">
        <v>17</v>
      </c>
      <c r="L480" t="str">
        <f t="shared" si="7"/>
        <v xml:space="preserve">{ longitude: -63.5829958618805, latitude: 44.693546606918, stopType: 'Bus Stop Shelter Accessible', gotime: \'7205\', location: \'METRO TRANSIT GARAGE\' }, </v>
      </c>
    </row>
    <row r="481" spans="1:12" x14ac:dyDescent="0.25">
      <c r="A481">
        <v>-63.673040809804398</v>
      </c>
      <c r="B481">
        <v>44.781422602244803</v>
      </c>
      <c r="C481">
        <v>2480</v>
      </c>
      <c r="D481" t="s">
        <v>11</v>
      </c>
      <c r="E481" t="s">
        <v>12</v>
      </c>
      <c r="F481" t="s">
        <v>25</v>
      </c>
      <c r="G481" t="s">
        <v>26</v>
      </c>
      <c r="H481">
        <v>7206</v>
      </c>
      <c r="I481" t="s">
        <v>993</v>
      </c>
      <c r="J481" t="s">
        <v>994</v>
      </c>
      <c r="K481" t="s">
        <v>17</v>
      </c>
      <c r="L481" t="str">
        <f t="shared" si="7"/>
        <v xml:space="preserve">{ longitude: -63.6730408098044, latitude: 44.7814226022448, stopType: 'Bus Stop Non-Standard', gotime: \'7206\', location: \'METROPOLITAN AVE FS POLARA DR\' }, </v>
      </c>
    </row>
    <row r="482" spans="1:12" x14ac:dyDescent="0.25">
      <c r="A482">
        <v>-63.674192056937102</v>
      </c>
      <c r="B482">
        <v>44.778668065547102</v>
      </c>
      <c r="C482">
        <v>2481</v>
      </c>
      <c r="D482" t="s">
        <v>11</v>
      </c>
      <c r="E482" t="s">
        <v>12</v>
      </c>
      <c r="F482" t="s">
        <v>25</v>
      </c>
      <c r="G482" t="s">
        <v>26</v>
      </c>
      <c r="H482">
        <v>7207</v>
      </c>
      <c r="I482" t="s">
        <v>995</v>
      </c>
      <c r="J482" t="s">
        <v>996</v>
      </c>
      <c r="K482" t="s">
        <v>17</v>
      </c>
      <c r="L482" t="str">
        <f t="shared" si="7"/>
        <v xml:space="preserve">{ longitude: -63.6741920569371, latitude: 44.7786680655471, stopType: 'Bus Stop Non-Standard', gotime: \'7207\', location: \'METROPOLITAN AVE AT MET BALL FIELD\' }, </v>
      </c>
    </row>
    <row r="483" spans="1:12" x14ac:dyDescent="0.25">
      <c r="A483">
        <v>-63.673881425100397</v>
      </c>
      <c r="B483">
        <v>44.778547564496101</v>
      </c>
      <c r="C483">
        <v>2482</v>
      </c>
      <c r="D483" t="s">
        <v>103</v>
      </c>
      <c r="E483" t="s">
        <v>12</v>
      </c>
      <c r="F483" t="s">
        <v>13</v>
      </c>
      <c r="G483" t="s">
        <v>65</v>
      </c>
      <c r="H483">
        <v>7208</v>
      </c>
      <c r="I483" t="s">
        <v>997</v>
      </c>
      <c r="J483" t="s">
        <v>998</v>
      </c>
      <c r="K483" t="s">
        <v>17</v>
      </c>
      <c r="L483" t="str">
        <f t="shared" si="7"/>
        <v xml:space="preserve">{ longitude: -63.6738814251004, latitude: 44.7785475644961, stopType: 'Bus Stop Inaccessible', gotime: \'7208\', location: \'METROPOLITAN OPP MET BALL FIELD\' }, </v>
      </c>
    </row>
    <row r="484" spans="1:12" x14ac:dyDescent="0.25">
      <c r="A484">
        <v>-63.557029019048798</v>
      </c>
      <c r="B484">
        <v>44.684694616518101</v>
      </c>
      <c r="C484">
        <v>2483</v>
      </c>
      <c r="D484" t="s">
        <v>22</v>
      </c>
      <c r="E484" t="s">
        <v>12</v>
      </c>
      <c r="F484" t="s">
        <v>13</v>
      </c>
      <c r="G484" t="s">
        <v>19</v>
      </c>
      <c r="H484">
        <v>7209</v>
      </c>
      <c r="I484" t="s">
        <v>999</v>
      </c>
      <c r="J484" t="s">
        <v>1000</v>
      </c>
      <c r="K484" t="s">
        <v>17</v>
      </c>
      <c r="L484" t="str">
        <f t="shared" si="7"/>
        <v xml:space="preserve">{ longitude: -63.5570290190488, latitude: 44.6846946165181, stopType: 'Bus Stop Shelter Accessible', gotime: \'7209\', location: \'MIC MAC BLVD OPP MANOR APTS\' }, </v>
      </c>
    </row>
    <row r="485" spans="1:12" x14ac:dyDescent="0.25">
      <c r="A485">
        <v>-63.556662054627502</v>
      </c>
      <c r="B485">
        <v>44.684561989945202</v>
      </c>
      <c r="C485">
        <v>2484</v>
      </c>
      <c r="D485" t="s">
        <v>22</v>
      </c>
      <c r="E485" t="s">
        <v>12</v>
      </c>
      <c r="F485" t="s">
        <v>13</v>
      </c>
      <c r="G485" t="s">
        <v>14</v>
      </c>
      <c r="H485">
        <v>7210</v>
      </c>
      <c r="I485" t="s">
        <v>1001</v>
      </c>
      <c r="J485" t="s">
        <v>1002</v>
      </c>
      <c r="K485" t="s">
        <v>17</v>
      </c>
      <c r="L485" t="str">
        <f t="shared" si="7"/>
        <v xml:space="preserve">{ longitude: -63.5566620546275, latitude: 44.6845619899452, stopType: 'Bus Stop Shelter Accessible', gotime: \'7210\', location: \'MIC MAC BLVD AT MANOR APTS\' }, </v>
      </c>
    </row>
    <row r="486" spans="1:12" x14ac:dyDescent="0.25">
      <c r="A486">
        <v>-63.709362485259597</v>
      </c>
      <c r="B486">
        <v>44.788429515369003</v>
      </c>
      <c r="C486">
        <v>2485</v>
      </c>
      <c r="D486" t="s">
        <v>103</v>
      </c>
      <c r="E486" t="s">
        <v>12</v>
      </c>
      <c r="F486" t="s">
        <v>25</v>
      </c>
      <c r="G486" t="s">
        <v>65</v>
      </c>
      <c r="H486">
        <v>7220</v>
      </c>
      <c r="I486" t="s">
        <v>1003</v>
      </c>
      <c r="J486" s="1" t="s">
        <v>1004</v>
      </c>
      <c r="K486" t="s">
        <v>17</v>
      </c>
      <c r="L486" t="str">
        <f t="shared" si="7"/>
        <v xml:space="preserve">{ longitude: -63.7093624852596, latitude: 44.788429515369, stopType: 'Bus Stop Inaccessible', gotime: \'7220\', location: \'MILLWOOD DR NS LUMBERMAN\' }, </v>
      </c>
    </row>
    <row r="487" spans="1:12" x14ac:dyDescent="0.25">
      <c r="A487">
        <v>-63.708503787326698</v>
      </c>
      <c r="B487">
        <v>44.781907884816597</v>
      </c>
      <c r="C487">
        <v>2486</v>
      </c>
      <c r="D487" t="s">
        <v>11</v>
      </c>
      <c r="E487" t="s">
        <v>12</v>
      </c>
      <c r="F487" t="s">
        <v>25</v>
      </c>
      <c r="G487" t="s">
        <v>26</v>
      </c>
      <c r="H487">
        <v>7221</v>
      </c>
      <c r="I487" t="s">
        <v>1005</v>
      </c>
      <c r="J487" t="s">
        <v>1006</v>
      </c>
      <c r="K487" t="s">
        <v>17</v>
      </c>
      <c r="L487" t="str">
        <f t="shared" si="7"/>
        <v xml:space="preserve">{ longitude: -63.7085037873267, latitude: 44.7819078848166, stopType: 'Bus Stop Non-Standard', gotime: \'7221\', location: \'MILLWOOD DR FS BARQUE CRT\' }, </v>
      </c>
    </row>
    <row r="488" spans="1:12" x14ac:dyDescent="0.25">
      <c r="A488">
        <v>-63.693223087640902</v>
      </c>
      <c r="B488">
        <v>44.790323537699301</v>
      </c>
      <c r="C488">
        <v>2487</v>
      </c>
      <c r="D488" t="s">
        <v>29</v>
      </c>
      <c r="E488" t="s">
        <v>12</v>
      </c>
      <c r="F488" t="s">
        <v>25</v>
      </c>
      <c r="G488" t="s">
        <v>26</v>
      </c>
      <c r="H488">
        <v>7222</v>
      </c>
      <c r="I488" t="s">
        <v>1007</v>
      </c>
      <c r="J488" t="s">
        <v>1008</v>
      </c>
      <c r="K488" t="s">
        <v>17</v>
      </c>
      <c r="L488" t="str">
        <f t="shared" si="7"/>
        <v xml:space="preserve">{ longitude: -63.6932230876409, latitude: 44.7903235376993, stopType: 'Bus Stop Accessible', gotime: \'7222\', location: \'MILLWOOD DR FS BEAVERBANK RD\' }, </v>
      </c>
    </row>
    <row r="489" spans="1:12" x14ac:dyDescent="0.25">
      <c r="A489">
        <v>-63.708931911521397</v>
      </c>
      <c r="B489">
        <v>44.791270392616298</v>
      </c>
      <c r="C489">
        <v>2488</v>
      </c>
      <c r="D489" t="s">
        <v>103</v>
      </c>
      <c r="E489" t="s">
        <v>12</v>
      </c>
      <c r="F489" t="s">
        <v>25</v>
      </c>
      <c r="G489" t="s">
        <v>65</v>
      </c>
      <c r="H489">
        <v>7223</v>
      </c>
      <c r="I489" t="s">
        <v>1009</v>
      </c>
      <c r="J489" t="s">
        <v>1010</v>
      </c>
      <c r="K489" t="s">
        <v>17</v>
      </c>
      <c r="L489" t="str">
        <f t="shared" si="7"/>
        <v xml:space="preserve">{ longitude: -63.7089319115214, latitude: 44.7912703926163, stopType: 'Bus Stop Inaccessible', gotime: \'7223\', location: \'MILLWOOD DR AT CIVIC 132\' }, </v>
      </c>
    </row>
    <row r="490" spans="1:12" x14ac:dyDescent="0.25">
      <c r="A490">
        <v>-63.699785835871197</v>
      </c>
      <c r="B490">
        <v>44.790063727715001</v>
      </c>
      <c r="C490">
        <v>2489</v>
      </c>
      <c r="D490" t="s">
        <v>11</v>
      </c>
      <c r="E490" t="s">
        <v>12</v>
      </c>
      <c r="F490" t="s">
        <v>25</v>
      </c>
      <c r="G490" t="s">
        <v>26</v>
      </c>
      <c r="H490">
        <v>7224</v>
      </c>
      <c r="I490" t="s">
        <v>1011</v>
      </c>
      <c r="J490" t="s">
        <v>1012</v>
      </c>
      <c r="K490" t="s">
        <v>17</v>
      </c>
      <c r="L490" t="str">
        <f t="shared" si="7"/>
        <v xml:space="preserve">{ longitude: -63.6997858358712, latitude: 44.790063727715, stopType: 'Bus Stop Non-Standard', gotime: \'7224\', location: \'MILLWOOD DR FS CROSSROADS CT\' }, </v>
      </c>
    </row>
    <row r="491" spans="1:12" x14ac:dyDescent="0.25">
      <c r="A491">
        <v>-63.6777316481909</v>
      </c>
      <c r="B491">
        <v>44.682325404654897</v>
      </c>
      <c r="C491">
        <v>2490</v>
      </c>
      <c r="D491" t="s">
        <v>29</v>
      </c>
      <c r="E491" t="s">
        <v>12</v>
      </c>
      <c r="F491" t="s">
        <v>25</v>
      </c>
      <c r="G491" t="s">
        <v>19</v>
      </c>
      <c r="H491">
        <v>9035</v>
      </c>
      <c r="I491" t="s">
        <v>1013</v>
      </c>
      <c r="J491" t="s">
        <v>1014</v>
      </c>
      <c r="K491" t="s">
        <v>17</v>
      </c>
      <c r="L491" t="str">
        <f t="shared" si="7"/>
        <v xml:space="preserve">{ longitude: -63.6777316481909, latitude: 44.6823254046549, stopType: 'Bus Stop Accessible', gotime: \'9035\', location: \'PARKLAND DR NS OPP THE WEDGEWOOD\' }, </v>
      </c>
    </row>
    <row r="492" spans="1:12" x14ac:dyDescent="0.25">
      <c r="A492">
        <v>-63.6784304815816</v>
      </c>
      <c r="B492">
        <v>44.677506582299003</v>
      </c>
      <c r="C492">
        <v>2491</v>
      </c>
      <c r="D492" t="s">
        <v>29</v>
      </c>
      <c r="E492" t="s">
        <v>12</v>
      </c>
      <c r="F492" t="s">
        <v>25</v>
      </c>
      <c r="G492" t="s">
        <v>19</v>
      </c>
      <c r="H492">
        <v>9036</v>
      </c>
      <c r="I492" t="s">
        <v>1015</v>
      </c>
      <c r="J492" s="1" t="s">
        <v>1016</v>
      </c>
      <c r="K492" t="s">
        <v>17</v>
      </c>
      <c r="L492" t="str">
        <f t="shared" si="7"/>
        <v xml:space="preserve">{ longitude: -63.6784304815816, latitude: 44.677506582299, stopType: 'Bus Stop Accessible', gotime: \'9036\', location: \'PARKLAND DR NS CIVIC 680\' }, </v>
      </c>
    </row>
    <row r="493" spans="1:12" x14ac:dyDescent="0.25">
      <c r="A493">
        <v>-63.695611853713899</v>
      </c>
      <c r="B493">
        <v>44.775752094851399</v>
      </c>
      <c r="C493">
        <v>2492</v>
      </c>
      <c r="D493" t="s">
        <v>29</v>
      </c>
      <c r="E493" t="s">
        <v>12</v>
      </c>
      <c r="F493" t="s">
        <v>25</v>
      </c>
      <c r="G493" t="s">
        <v>19</v>
      </c>
      <c r="H493">
        <v>9037</v>
      </c>
      <c r="I493" t="s">
        <v>1017</v>
      </c>
      <c r="J493" t="s">
        <v>1018</v>
      </c>
      <c r="K493" t="s">
        <v>17</v>
      </c>
      <c r="L493" t="str">
        <f t="shared" si="7"/>
        <v xml:space="preserve">{ longitude: -63.6956118537139, latitude: 44.7757520948514, stopType: 'Bus Stop Accessible', gotime: \'9037\', location: \'SACKVILLE DR FS BEAVERBANK RD\' }, </v>
      </c>
    </row>
    <row r="494" spans="1:12" x14ac:dyDescent="0.25">
      <c r="A494">
        <v>-63.664183765575501</v>
      </c>
      <c r="B494">
        <v>44.7526383648975</v>
      </c>
      <c r="C494">
        <v>2493</v>
      </c>
      <c r="D494" t="s">
        <v>11</v>
      </c>
      <c r="E494" t="s">
        <v>12</v>
      </c>
      <c r="F494" t="s">
        <v>13</v>
      </c>
      <c r="G494" t="s">
        <v>19</v>
      </c>
      <c r="H494">
        <v>9038</v>
      </c>
      <c r="I494" t="s">
        <v>1019</v>
      </c>
      <c r="J494" t="s">
        <v>1020</v>
      </c>
      <c r="K494" t="s">
        <v>17</v>
      </c>
      <c r="L494" t="str">
        <f t="shared" si="7"/>
        <v xml:space="preserve">{ longitude: -63.6641837655755, latitude: 44.7526383648975, stopType: 'Bus Stop Non-Standard', gotime: \'9038\', location: \'COBEQUID RD FS HWY #1\' }, </v>
      </c>
    </row>
    <row r="495" spans="1:12" x14ac:dyDescent="0.25">
      <c r="A495">
        <v>-63.748944284923297</v>
      </c>
      <c r="B495">
        <v>44.662530533275898</v>
      </c>
      <c r="C495">
        <v>2494</v>
      </c>
      <c r="D495" t="s">
        <v>103</v>
      </c>
      <c r="E495" t="s">
        <v>12</v>
      </c>
      <c r="F495" t="s">
        <v>25</v>
      </c>
      <c r="G495" t="s">
        <v>19</v>
      </c>
      <c r="H495">
        <v>9039</v>
      </c>
      <c r="I495" t="s">
        <v>1021</v>
      </c>
      <c r="J495" t="s">
        <v>1022</v>
      </c>
      <c r="K495" t="s">
        <v>17</v>
      </c>
      <c r="L495" t="str">
        <f t="shared" si="7"/>
        <v xml:space="preserve">{ longitude: -63.7489442849233, latitude: 44.6625305332759, stopType: 'Bus Stop Inaccessible', gotime: \'9039\', location: \'CHARLES ST. NS CIVIC 15\' }, </v>
      </c>
    </row>
    <row r="496" spans="1:12" x14ac:dyDescent="0.25">
      <c r="A496">
        <v>-63.646731691940602</v>
      </c>
      <c r="B496">
        <v>44.749721490982502</v>
      </c>
      <c r="C496">
        <v>2495</v>
      </c>
      <c r="D496" t="s">
        <v>29</v>
      </c>
      <c r="E496" t="s">
        <v>12</v>
      </c>
      <c r="F496" t="s">
        <v>25</v>
      </c>
      <c r="G496" t="s">
        <v>19</v>
      </c>
      <c r="H496">
        <v>9040</v>
      </c>
      <c r="I496" t="s">
        <v>1023</v>
      </c>
      <c r="J496" t="s">
        <v>1024</v>
      </c>
      <c r="K496" t="s">
        <v>17</v>
      </c>
      <c r="L496" t="str">
        <f t="shared" si="7"/>
        <v xml:space="preserve">{ longitude: -63.6467316919406, latitude: 44.7497214909825, stopType: 'Bus Stop Accessible', gotime: \'9040\', location: \'DAMASCUS AT WALMART\' }, </v>
      </c>
    </row>
    <row r="497" spans="1:12" x14ac:dyDescent="0.25">
      <c r="A497">
        <v>-63.581986890148798</v>
      </c>
      <c r="B497">
        <v>44.699910284538603</v>
      </c>
      <c r="C497">
        <v>2496</v>
      </c>
      <c r="D497" t="s">
        <v>11</v>
      </c>
      <c r="E497" t="s">
        <v>12</v>
      </c>
      <c r="F497" t="s">
        <v>25</v>
      </c>
      <c r="G497" t="s">
        <v>26</v>
      </c>
      <c r="H497">
        <v>6488</v>
      </c>
      <c r="I497" t="s">
        <v>1025</v>
      </c>
      <c r="J497" t="s">
        <v>1026</v>
      </c>
      <c r="K497" t="s">
        <v>17</v>
      </c>
      <c r="L497" t="str">
        <f t="shared" si="7"/>
        <v xml:space="preserve">{ longitude: -63.5819868901488, latitude: 44.6999102845386, stopType: 'Bus Stop Non-Standard', gotime: \'6488\', location: \'COMMODORE DR FS OPP BROWNLOW AVE TO SACKVILLE\' }, </v>
      </c>
    </row>
    <row r="498" spans="1:12" x14ac:dyDescent="0.25">
      <c r="A498">
        <v>-63.582088108719802</v>
      </c>
      <c r="B498">
        <v>44.699893098780002</v>
      </c>
      <c r="C498">
        <v>2497</v>
      </c>
      <c r="D498" t="s">
        <v>11</v>
      </c>
      <c r="E498" t="s">
        <v>12</v>
      </c>
      <c r="F498" t="s">
        <v>25</v>
      </c>
      <c r="G498" t="s">
        <v>26</v>
      </c>
      <c r="H498">
        <v>6489</v>
      </c>
      <c r="I498" t="s">
        <v>1027</v>
      </c>
      <c r="J498" t="s">
        <v>1028</v>
      </c>
      <c r="K498" t="s">
        <v>17</v>
      </c>
      <c r="L498" t="str">
        <f t="shared" si="7"/>
        <v xml:space="preserve">{ longitude: -63.5820881087198, latitude: 44.69989309878, stopType: 'Bus Stop Non-Standard', gotime: \'6489\', location: \'COMMODORE DR FS OPP BROWNLOW AVE [OB]\' }, </v>
      </c>
    </row>
    <row r="499" spans="1:12" x14ac:dyDescent="0.25">
      <c r="A499">
        <v>-63.581673177839498</v>
      </c>
      <c r="B499">
        <v>44.699799765986498</v>
      </c>
      <c r="C499">
        <v>2498</v>
      </c>
      <c r="D499" t="s">
        <v>29</v>
      </c>
      <c r="E499" t="s">
        <v>12</v>
      </c>
      <c r="F499" t="s">
        <v>25</v>
      </c>
      <c r="G499" t="s">
        <v>26</v>
      </c>
      <c r="H499">
        <v>6490</v>
      </c>
      <c r="I499" t="s">
        <v>1029</v>
      </c>
      <c r="J499" t="s">
        <v>1030</v>
      </c>
      <c r="K499" t="s">
        <v>17</v>
      </c>
      <c r="L499" t="str">
        <f t="shared" si="7"/>
        <v xml:space="preserve">{ longitude: -63.5816731778395, latitude: 44.6997997659865, stopType: 'Bus Stop Accessible', gotime: \'6490\', location: \'COMMODORE DR NS BROWNLOW AVE\' }, </v>
      </c>
    </row>
    <row r="500" spans="1:12" x14ac:dyDescent="0.25">
      <c r="A500">
        <v>-63.5817619217977</v>
      </c>
      <c r="B500">
        <v>44.699773480511901</v>
      </c>
      <c r="C500">
        <v>2499</v>
      </c>
      <c r="D500" t="s">
        <v>29</v>
      </c>
      <c r="E500" t="s">
        <v>12</v>
      </c>
      <c r="F500" t="s">
        <v>25</v>
      </c>
      <c r="G500" t="s">
        <v>26</v>
      </c>
      <c r="H500">
        <v>6491</v>
      </c>
      <c r="I500" t="s">
        <v>1031</v>
      </c>
      <c r="J500" t="s">
        <v>1032</v>
      </c>
      <c r="K500" t="s">
        <v>17</v>
      </c>
      <c r="L500" t="str">
        <f t="shared" si="7"/>
        <v xml:space="preserve">{ longitude: -63.5817619217977, latitude: 44.6997734805119, stopType: 'Bus Stop Accessible', gotime: \'6491\', location: \'COMMODORE DR NS BROWNLOW AVE TO SACKVILLE\' }, </v>
      </c>
    </row>
    <row r="501" spans="1:12" x14ac:dyDescent="0.25">
      <c r="A501">
        <v>-63.618838462399196</v>
      </c>
      <c r="B501">
        <v>44.657910876815698</v>
      </c>
      <c r="C501">
        <v>2500</v>
      </c>
      <c r="D501" t="s">
        <v>22</v>
      </c>
      <c r="E501" t="s">
        <v>12</v>
      </c>
      <c r="F501" t="s">
        <v>25</v>
      </c>
      <c r="G501" t="s">
        <v>19</v>
      </c>
      <c r="H501">
        <v>6492</v>
      </c>
      <c r="I501" t="s">
        <v>1033</v>
      </c>
      <c r="J501" t="s">
        <v>1034</v>
      </c>
      <c r="K501" t="s">
        <v>17</v>
      </c>
      <c r="L501" t="str">
        <f t="shared" si="7"/>
        <v xml:space="preserve">{ longitude: -63.6188384623992, latitude: 44.6579108768157, stopType: 'Bus Stop Shelter Accessible', gotime: \'6492\', location: \'CONNAUGHT AVE FS CHISHOLM AVE\' }, </v>
      </c>
    </row>
    <row r="502" spans="1:12" x14ac:dyDescent="0.25">
      <c r="A502">
        <v>-63.617621545717597</v>
      </c>
      <c r="B502">
        <v>44.655840536289197</v>
      </c>
      <c r="C502">
        <v>2501</v>
      </c>
      <c r="D502" t="s">
        <v>22</v>
      </c>
      <c r="E502" t="s">
        <v>12</v>
      </c>
      <c r="F502" t="s">
        <v>25</v>
      </c>
      <c r="G502" t="s">
        <v>19</v>
      </c>
      <c r="H502">
        <v>6493</v>
      </c>
      <c r="I502" t="s">
        <v>1035</v>
      </c>
      <c r="J502" t="s">
        <v>1036</v>
      </c>
      <c r="K502" t="s">
        <v>17</v>
      </c>
      <c r="L502" t="str">
        <f t="shared" si="7"/>
        <v xml:space="preserve">{ longitude: -63.6176215457176, latitude: 44.6558405362892, stopType: 'Bus Stop Shelter Accessible', gotime: \'6493\', location: \'CONNAUGHT AVE FS REGENT RD\' }, </v>
      </c>
    </row>
    <row r="503" spans="1:12" x14ac:dyDescent="0.25">
      <c r="A503">
        <v>-63.606065411295098</v>
      </c>
      <c r="B503">
        <v>44.644770946629599</v>
      </c>
      <c r="C503">
        <v>2502</v>
      </c>
      <c r="D503" t="s">
        <v>29</v>
      </c>
      <c r="E503" t="s">
        <v>12</v>
      </c>
      <c r="F503" t="s">
        <v>25</v>
      </c>
      <c r="G503" t="s">
        <v>19</v>
      </c>
      <c r="H503">
        <v>6494</v>
      </c>
      <c r="I503" t="s">
        <v>1037</v>
      </c>
      <c r="J503" t="s">
        <v>1038</v>
      </c>
      <c r="K503" t="s">
        <v>17</v>
      </c>
      <c r="L503" t="str">
        <f t="shared" si="7"/>
        <v xml:space="preserve">{ longitude: -63.6060654112951, latitude: 44.6447709466296, stopType: 'Bus Stop Accessible', gotime: \'6494\', location: \'CONNAUGHT AVE AT CIVIC 2248\' }, </v>
      </c>
    </row>
    <row r="504" spans="1:12" x14ac:dyDescent="0.25">
      <c r="A504">
        <v>-63.606264158593603</v>
      </c>
      <c r="B504">
        <v>44.645694079163398</v>
      </c>
      <c r="C504">
        <v>2503</v>
      </c>
      <c r="D504" t="s">
        <v>29</v>
      </c>
      <c r="E504" t="s">
        <v>12</v>
      </c>
      <c r="F504" t="s">
        <v>13</v>
      </c>
      <c r="G504" t="s">
        <v>19</v>
      </c>
      <c r="H504">
        <v>6495</v>
      </c>
      <c r="I504" t="s">
        <v>1039</v>
      </c>
      <c r="J504" t="s">
        <v>1040</v>
      </c>
      <c r="K504" t="s">
        <v>17</v>
      </c>
      <c r="L504" t="str">
        <f t="shared" si="7"/>
        <v xml:space="preserve">{ longitude: -63.6062641585936, latitude: 44.6456940791634, stopType: 'Bus Stop Accessible', gotime: \'6495\', location: \'CONNAUGHT AVE AT CIVIC 2405\' }, </v>
      </c>
    </row>
    <row r="505" spans="1:12" x14ac:dyDescent="0.25">
      <c r="A505">
        <v>-63.617234412463503</v>
      </c>
      <c r="B505">
        <v>44.6547297639856</v>
      </c>
      <c r="C505">
        <v>2504</v>
      </c>
      <c r="D505" t="s">
        <v>29</v>
      </c>
      <c r="E505" t="s">
        <v>12</v>
      </c>
      <c r="F505" t="s">
        <v>13</v>
      </c>
      <c r="G505" t="s">
        <v>14</v>
      </c>
      <c r="H505">
        <v>6496</v>
      </c>
      <c r="I505" t="s">
        <v>1041</v>
      </c>
      <c r="J505" t="s">
        <v>1042</v>
      </c>
      <c r="K505" t="s">
        <v>17</v>
      </c>
      <c r="L505" t="str">
        <f t="shared" si="7"/>
        <v xml:space="preserve">{ longitude: -63.6172344124635, latitude: 44.6547297639856, stopType: 'Bus Stop Accessible', gotime: \'6496\', location: \'CONNAUGHT AVE AT CIVIC 3284\' }, </v>
      </c>
    </row>
    <row r="506" spans="1:12" x14ac:dyDescent="0.25">
      <c r="A506">
        <v>-63.616905797359003</v>
      </c>
      <c r="B506">
        <v>44.654831800567798</v>
      </c>
      <c r="C506">
        <v>2505</v>
      </c>
      <c r="D506" t="s">
        <v>29</v>
      </c>
      <c r="E506" t="s">
        <v>12</v>
      </c>
      <c r="F506" t="s">
        <v>13</v>
      </c>
      <c r="G506" t="s">
        <v>14</v>
      </c>
      <c r="H506">
        <v>6497</v>
      </c>
      <c r="I506" t="s">
        <v>1043</v>
      </c>
      <c r="J506" t="s">
        <v>1044</v>
      </c>
      <c r="K506" t="s">
        <v>17</v>
      </c>
      <c r="L506" t="str">
        <f t="shared" si="7"/>
        <v xml:space="preserve">{ longitude: -63.616905797359, latitude: 44.6548318005678, stopType: 'Bus Stop Accessible', gotime: \'6497\', location: \'CONNAUGHT AVE NS CHESTER AVE\' }, </v>
      </c>
    </row>
    <row r="507" spans="1:12" x14ac:dyDescent="0.25">
      <c r="A507">
        <v>-63.6154028468424</v>
      </c>
      <c r="B507">
        <v>44.652493460102498</v>
      </c>
      <c r="C507">
        <v>2506</v>
      </c>
      <c r="D507" t="s">
        <v>22</v>
      </c>
      <c r="E507" t="s">
        <v>12</v>
      </c>
      <c r="F507" t="s">
        <v>25</v>
      </c>
      <c r="G507" t="s">
        <v>19</v>
      </c>
      <c r="H507">
        <v>6498</v>
      </c>
      <c r="I507" t="s">
        <v>1045</v>
      </c>
      <c r="J507" t="s">
        <v>1046</v>
      </c>
      <c r="K507" t="s">
        <v>17</v>
      </c>
      <c r="L507" t="str">
        <f t="shared" si="7"/>
        <v xml:space="preserve">{ longitude: -63.6154028468424, latitude: 44.6524934601025, stopType: 'Bus Stop Shelter Accessible', gotime: \'6498\', location: \'CONNAUGHT AVE NS ROSLYN RD\' }, </v>
      </c>
    </row>
    <row r="508" spans="1:12" x14ac:dyDescent="0.25">
      <c r="A508">
        <v>-63.619020629584099</v>
      </c>
      <c r="B508">
        <v>44.658371269784404</v>
      </c>
      <c r="C508">
        <v>2507</v>
      </c>
      <c r="D508" t="s">
        <v>22</v>
      </c>
      <c r="E508" t="s">
        <v>12</v>
      </c>
      <c r="F508" t="s">
        <v>25</v>
      </c>
      <c r="G508" t="s">
        <v>19</v>
      </c>
      <c r="H508">
        <v>6499</v>
      </c>
      <c r="I508" t="s">
        <v>1047</v>
      </c>
      <c r="J508" t="s">
        <v>1048</v>
      </c>
      <c r="K508" t="s">
        <v>17</v>
      </c>
      <c r="L508" t="str">
        <f t="shared" si="7"/>
        <v xml:space="preserve">{ longitude: -63.6190206295841, latitude: 44.6583712697844, stopType: 'Bus Stop Shelter Accessible', gotime: \'6499\', location: \'CONNAUGHT AVE OPP CHISHOLM AVE\' }, </v>
      </c>
    </row>
    <row r="509" spans="1:12" x14ac:dyDescent="0.25">
      <c r="A509">
        <v>-63.615852445972003</v>
      </c>
      <c r="B509">
        <v>44.6527759344713</v>
      </c>
      <c r="C509">
        <v>2508</v>
      </c>
      <c r="D509" t="s">
        <v>29</v>
      </c>
      <c r="E509" t="s">
        <v>12</v>
      </c>
      <c r="F509" t="s">
        <v>25</v>
      </c>
      <c r="G509" t="s">
        <v>19</v>
      </c>
      <c r="H509">
        <v>6500</v>
      </c>
      <c r="I509" t="s">
        <v>1049</v>
      </c>
      <c r="J509" t="s">
        <v>1050</v>
      </c>
      <c r="K509" t="s">
        <v>17</v>
      </c>
      <c r="L509" t="str">
        <f t="shared" si="7"/>
        <v xml:space="preserve">{ longitude: -63.615852445972, latitude: 44.6527759344713, stopType: 'Bus Stop Accessible', gotime: \'6500\', location: \'CONNAUGHT AVE OPP ROSLYN RD\' }, </v>
      </c>
    </row>
    <row r="510" spans="1:12" x14ac:dyDescent="0.25">
      <c r="A510">
        <v>-63.582794353678104</v>
      </c>
      <c r="B510">
        <v>44.653217554481699</v>
      </c>
      <c r="C510">
        <v>2509</v>
      </c>
      <c r="D510" t="s">
        <v>29</v>
      </c>
      <c r="E510" t="s">
        <v>12</v>
      </c>
      <c r="F510" t="s">
        <v>13</v>
      </c>
      <c r="G510" t="s">
        <v>14</v>
      </c>
      <c r="H510">
        <v>6501</v>
      </c>
      <c r="I510" t="s">
        <v>1051</v>
      </c>
      <c r="J510" t="s">
        <v>1052</v>
      </c>
      <c r="K510" t="s">
        <v>17</v>
      </c>
      <c r="L510" t="str">
        <f t="shared" si="7"/>
        <v xml:space="preserve">{ longitude: -63.5827943536781, latitude: 44.6532175544817, stopType: 'Bus Stop Accessible', gotime: \'6501\', location: \'CORNWALLIS ST FS BRUNSWICK ST\' }, </v>
      </c>
    </row>
    <row r="511" spans="1:12" x14ac:dyDescent="0.25">
      <c r="A511">
        <v>-63.5843084880389</v>
      </c>
      <c r="B511">
        <v>44.652223441777203</v>
      </c>
      <c r="C511">
        <v>2510</v>
      </c>
      <c r="D511" t="s">
        <v>29</v>
      </c>
      <c r="E511" t="s">
        <v>12</v>
      </c>
      <c r="F511" t="s">
        <v>13</v>
      </c>
      <c r="G511" t="s">
        <v>19</v>
      </c>
      <c r="H511">
        <v>6502</v>
      </c>
      <c r="I511" t="s">
        <v>610</v>
      </c>
      <c r="J511" t="s">
        <v>1053</v>
      </c>
      <c r="K511" t="s">
        <v>17</v>
      </c>
      <c r="L511" t="str">
        <f t="shared" si="7"/>
        <v xml:space="preserve">{ longitude: -63.5843084880389, latitude: 44.6522234417772, stopType: 'Bus Stop Accessible', gotime: \'6502\', location: \'CORNWALLIS ST FS GOTTINGEN ST\' }, </v>
      </c>
    </row>
    <row r="512" spans="1:12" x14ac:dyDescent="0.25">
      <c r="A512">
        <v>-63.589735317964802</v>
      </c>
      <c r="B512">
        <v>44.683754844837601</v>
      </c>
      <c r="C512">
        <v>1001</v>
      </c>
      <c r="D512" t="s">
        <v>29</v>
      </c>
      <c r="E512" t="s">
        <v>12</v>
      </c>
      <c r="F512" t="s">
        <v>25</v>
      </c>
      <c r="G512" t="s">
        <v>26</v>
      </c>
      <c r="H512">
        <v>6923</v>
      </c>
      <c r="I512" t="s">
        <v>1054</v>
      </c>
      <c r="J512" t="s">
        <v>1055</v>
      </c>
      <c r="K512" t="s">
        <v>17</v>
      </c>
      <c r="L512" t="str">
        <f t="shared" si="7"/>
        <v xml:space="preserve">{ longitude: -63.5897353179648, latitude: 44.6837548448376, stopType: 'Bus Stop Accessible', gotime: \'6923\', location: \'HIGHFIELD PARK DR NS TERMINAL\' }, </v>
      </c>
    </row>
    <row r="513" spans="1:12" x14ac:dyDescent="0.25">
      <c r="A513">
        <v>-63.585770469288498</v>
      </c>
      <c r="B513">
        <v>44.689608983618001</v>
      </c>
      <c r="C513">
        <v>1002</v>
      </c>
      <c r="D513" t="s">
        <v>29</v>
      </c>
      <c r="E513" t="s">
        <v>12</v>
      </c>
      <c r="F513" t="s">
        <v>25</v>
      </c>
      <c r="G513" t="s">
        <v>19</v>
      </c>
      <c r="H513">
        <v>6924</v>
      </c>
      <c r="I513" t="s">
        <v>1056</v>
      </c>
      <c r="J513" t="s">
        <v>1057</v>
      </c>
      <c r="K513" t="s">
        <v>17</v>
      </c>
      <c r="L513" t="str">
        <f t="shared" si="7"/>
        <v xml:space="preserve">{ longitude: -63.5857704692885, latitude: 44.689608983618, stopType: 'Bus Stop Accessible', gotime: \'6924\', location: \'HIGHFIELD PARK DR NS TRUE NORTH CR\' }, </v>
      </c>
    </row>
    <row r="514" spans="1:12" x14ac:dyDescent="0.25">
      <c r="A514">
        <v>-63.5842088049354</v>
      </c>
      <c r="B514">
        <v>44.691036423734701</v>
      </c>
      <c r="C514">
        <v>1003</v>
      </c>
      <c r="D514" t="s">
        <v>11</v>
      </c>
      <c r="E514" t="s">
        <v>12</v>
      </c>
      <c r="F514" t="s">
        <v>25</v>
      </c>
      <c r="G514" t="s">
        <v>26</v>
      </c>
      <c r="H514">
        <v>6925</v>
      </c>
      <c r="I514" t="s">
        <v>1058</v>
      </c>
      <c r="J514" t="s">
        <v>1059</v>
      </c>
      <c r="K514" t="s">
        <v>17</v>
      </c>
      <c r="L514" t="str">
        <f t="shared" si="7"/>
        <v xml:space="preserve">{ longitude: -63.5842088049354, latitude: 44.6910364237347, stopType: 'Bus Stop Non-Standard', gotime: \'6925\', location: \'HIGHFIELD PARK DR NS ULTRAMAR\' }, </v>
      </c>
    </row>
    <row r="515" spans="1:12" x14ac:dyDescent="0.25">
      <c r="A515">
        <v>-63.713348984449702</v>
      </c>
      <c r="B515">
        <v>44.720986980025103</v>
      </c>
      <c r="C515">
        <v>1004</v>
      </c>
      <c r="D515" t="s">
        <v>103</v>
      </c>
      <c r="E515" t="s">
        <v>12</v>
      </c>
      <c r="F515" t="s">
        <v>1060</v>
      </c>
      <c r="G515" t="s">
        <v>19</v>
      </c>
      <c r="H515">
        <v>6218</v>
      </c>
      <c r="I515" t="s">
        <v>1061</v>
      </c>
      <c r="J515" t="s">
        <v>1062</v>
      </c>
      <c r="K515" t="s">
        <v>17</v>
      </c>
      <c r="L515" t="str">
        <f t="shared" ref="L515:L578" si="8">CONCATENATE( "{ longitude: ", A515, ", latitude: ", B515, ", stopType: '", D515, "', gotime: \'", H515, "\', location: \'", I515, "\' }, ")</f>
        <v xml:space="preserve">{ longitude: -63.7133489844497, latitude: 44.7209869800251, stopType: 'Bus Stop Inaccessible', gotime: \'6218\', location: \'BLUEWATER RD &lt;OP&gt; COMMAND CT\' }, </v>
      </c>
    </row>
    <row r="516" spans="1:12" x14ac:dyDescent="0.25">
      <c r="A516">
        <v>-63.7086589037877</v>
      </c>
      <c r="B516">
        <v>44.724275450977999</v>
      </c>
      <c r="C516">
        <v>1005</v>
      </c>
      <c r="D516" t="s">
        <v>11</v>
      </c>
      <c r="E516" t="s">
        <v>12</v>
      </c>
      <c r="F516" t="s">
        <v>1060</v>
      </c>
      <c r="G516" t="s">
        <v>1063</v>
      </c>
      <c r="H516">
        <v>6533</v>
      </c>
      <c r="I516" t="s">
        <v>1064</v>
      </c>
      <c r="J516" t="s">
        <v>1065</v>
      </c>
      <c r="K516" t="s">
        <v>17</v>
      </c>
      <c r="L516" t="str">
        <f t="shared" si="8"/>
        <v xml:space="preserve">{ longitude: -63.7086589037877, latitude: 44.724275450978, stopType: 'Bus Stop Non-Standard', gotime: \'6533\', location: \'BLUEWATER RD &lt;AT&gt; CIVIC 62\' }, </v>
      </c>
    </row>
    <row r="517" spans="1:12" x14ac:dyDescent="0.25">
      <c r="A517">
        <v>-63.707470480304799</v>
      </c>
      <c r="B517">
        <v>44.726256133338701</v>
      </c>
      <c r="C517">
        <v>1006</v>
      </c>
      <c r="D517" t="s">
        <v>11</v>
      </c>
      <c r="E517" t="s">
        <v>12</v>
      </c>
      <c r="F517" t="s">
        <v>1060</v>
      </c>
      <c r="G517" t="s">
        <v>19</v>
      </c>
      <c r="H517">
        <v>6622</v>
      </c>
      <c r="I517" t="s">
        <v>1066</v>
      </c>
      <c r="J517" t="s">
        <v>1067</v>
      </c>
      <c r="K517" t="s">
        <v>17</v>
      </c>
      <c r="L517" t="str">
        <f t="shared" si="8"/>
        <v xml:space="preserve">{ longitude: -63.7074704803048, latitude: 44.7262561333387, stopType: 'Bus Stop Non-Standard', gotime: \'6622\', location: \'BLUEWATER RD &lt;NS&gt; HAMMONDS PLAINS RD\' }, </v>
      </c>
    </row>
    <row r="518" spans="1:12" x14ac:dyDescent="0.25">
      <c r="A518">
        <v>-63.692962427077802</v>
      </c>
      <c r="B518">
        <v>44.725560551865101</v>
      </c>
      <c r="C518">
        <v>1007</v>
      </c>
      <c r="D518" t="s">
        <v>11</v>
      </c>
      <c r="E518" t="s">
        <v>12</v>
      </c>
      <c r="F518" t="s">
        <v>1060</v>
      </c>
      <c r="G518" t="s">
        <v>19</v>
      </c>
      <c r="H518">
        <v>9056</v>
      </c>
      <c r="I518" t="s">
        <v>1068</v>
      </c>
      <c r="J518" t="s">
        <v>1069</v>
      </c>
      <c r="K518" t="s">
        <v>17</v>
      </c>
      <c r="L518" t="str">
        <f t="shared" si="8"/>
        <v xml:space="preserve">{ longitude: -63.6929624270778, latitude: 44.7255605518651, stopType: 'Bus Stop Non-Standard', gotime: \'9056\', location: \'HAMMONDS PLAINS RD &lt;IB&gt; &lt;NS&gt; INNOVATION DR\' }, </v>
      </c>
    </row>
    <row r="519" spans="1:12" x14ac:dyDescent="0.25">
      <c r="A519">
        <v>-63.707871124722203</v>
      </c>
      <c r="B519">
        <v>44.725574939380003</v>
      </c>
      <c r="C519">
        <v>1008</v>
      </c>
      <c r="D519" t="s">
        <v>11</v>
      </c>
      <c r="E519" t="s">
        <v>12</v>
      </c>
      <c r="F519" t="s">
        <v>1060</v>
      </c>
      <c r="G519" t="s">
        <v>19</v>
      </c>
      <c r="H519">
        <v>6840</v>
      </c>
      <c r="I519" t="s">
        <v>1070</v>
      </c>
      <c r="J519" t="s">
        <v>1071</v>
      </c>
      <c r="K519" t="s">
        <v>17</v>
      </c>
      <c r="L519" t="str">
        <f t="shared" si="8"/>
        <v xml:space="preserve">{ longitude: -63.7078711247222, latitude: 44.72557493938, stopType: 'Bus Stop Non-Standard', gotime: \'6840\', location: \'BLUEWATER &lt;AT&gt; CIVIC 23\' }, </v>
      </c>
    </row>
    <row r="520" spans="1:12" x14ac:dyDescent="0.25">
      <c r="A520">
        <v>-63.710297844378204</v>
      </c>
      <c r="B520">
        <v>44.722576861197297</v>
      </c>
      <c r="C520">
        <v>1009</v>
      </c>
      <c r="D520" t="s">
        <v>11</v>
      </c>
      <c r="E520" t="s">
        <v>12</v>
      </c>
      <c r="F520" t="s">
        <v>1060</v>
      </c>
      <c r="G520" t="s">
        <v>19</v>
      </c>
      <c r="H520">
        <v>7212</v>
      </c>
      <c r="I520" t="s">
        <v>1072</v>
      </c>
      <c r="J520" t="s">
        <v>1073</v>
      </c>
      <c r="K520" t="s">
        <v>17</v>
      </c>
      <c r="L520" t="str">
        <f t="shared" si="8"/>
        <v xml:space="preserve">{ longitude: -63.7102978443782, latitude: 44.7225768611973, stopType: 'Bus Stop Non-Standard', gotime: \'7212\', location: \'BLUEWATER RD &lt;AT&gt; CIVIC 107\' }, </v>
      </c>
    </row>
    <row r="521" spans="1:12" x14ac:dyDescent="0.25">
      <c r="A521">
        <v>-63.713549713869803</v>
      </c>
      <c r="B521">
        <v>44.7210783591403</v>
      </c>
      <c r="C521">
        <v>1010</v>
      </c>
      <c r="D521" t="s">
        <v>11</v>
      </c>
      <c r="E521" t="s">
        <v>12</v>
      </c>
      <c r="F521" t="s">
        <v>1060</v>
      </c>
      <c r="G521" t="s">
        <v>19</v>
      </c>
      <c r="H521">
        <v>7216</v>
      </c>
      <c r="I521" t="s">
        <v>1074</v>
      </c>
      <c r="J521" t="s">
        <v>1075</v>
      </c>
      <c r="K521" t="s">
        <v>17</v>
      </c>
      <c r="L521" t="str">
        <f t="shared" si="8"/>
        <v xml:space="preserve">{ longitude: -63.7135497138698, latitude: 44.7210783591403, stopType: 'Bus Stop Non-Standard', gotime: \'7216\', location: \'BLUEWATER RD &lt;AT&gt; CIVIC 155\' }, </v>
      </c>
    </row>
    <row r="522" spans="1:12" x14ac:dyDescent="0.25">
      <c r="A522">
        <v>-63.716169791856501</v>
      </c>
      <c r="B522">
        <v>44.715876566692899</v>
      </c>
      <c r="C522">
        <v>1011</v>
      </c>
      <c r="D522" t="s">
        <v>11</v>
      </c>
      <c r="E522" t="s">
        <v>12</v>
      </c>
      <c r="F522" t="s">
        <v>1060</v>
      </c>
      <c r="G522" t="s">
        <v>19</v>
      </c>
      <c r="H522">
        <v>8056</v>
      </c>
      <c r="I522" t="s">
        <v>1076</v>
      </c>
      <c r="J522" t="s">
        <v>1077</v>
      </c>
      <c r="K522" t="s">
        <v>17</v>
      </c>
      <c r="L522" t="str">
        <f t="shared" si="8"/>
        <v xml:space="preserve">{ longitude: -63.7161697918565, latitude: 44.7158765666929, stopType: 'Bus Stop Non-Standard', gotime: \'8056\', location: \'BLUEWATER RD &lt;AT&gt; CIVIC 347\' }, </v>
      </c>
    </row>
    <row r="523" spans="1:12" x14ac:dyDescent="0.25">
      <c r="A523">
        <v>-63.692745588019598</v>
      </c>
      <c r="B523">
        <v>44.725721013051</v>
      </c>
      <c r="C523">
        <v>1012</v>
      </c>
      <c r="D523" t="s">
        <v>29</v>
      </c>
      <c r="E523" t="s">
        <v>12</v>
      </c>
      <c r="F523" t="s">
        <v>1060</v>
      </c>
      <c r="G523" t="s">
        <v>1063</v>
      </c>
      <c r="H523">
        <v>9057</v>
      </c>
      <c r="I523" t="s">
        <v>1078</v>
      </c>
      <c r="J523" t="s">
        <v>1079</v>
      </c>
      <c r="K523" t="s">
        <v>17</v>
      </c>
      <c r="L523" t="str">
        <f t="shared" si="8"/>
        <v xml:space="preserve">{ longitude: -63.6927455880196, latitude: 44.725721013051, stopType: 'Bus Stop Accessible', gotime: \'9057\', location: \'HAMMONDS PLAINS RD &lt;OB&gt; &lt;FS&gt; INNOVATION DR\' }, </v>
      </c>
    </row>
    <row r="524" spans="1:12" x14ac:dyDescent="0.25">
      <c r="A524">
        <v>-63.720795871875403</v>
      </c>
      <c r="B524">
        <v>44.715779169200502</v>
      </c>
      <c r="C524">
        <v>1013</v>
      </c>
      <c r="D524" t="s">
        <v>103</v>
      </c>
      <c r="E524" t="s">
        <v>12</v>
      </c>
      <c r="F524" t="s">
        <v>13</v>
      </c>
      <c r="G524" t="s">
        <v>65</v>
      </c>
      <c r="H524">
        <v>9055</v>
      </c>
      <c r="I524" t="s">
        <v>1080</v>
      </c>
      <c r="J524" t="s">
        <v>1081</v>
      </c>
      <c r="K524" t="s">
        <v>17</v>
      </c>
      <c r="L524" t="str">
        <f t="shared" si="8"/>
        <v xml:space="preserve">{ longitude: -63.7207958718754, latitude: 44.7157791692005, stopType: 'Bus Stop Inaccessible', gotime: \'9055\', location: \'KEARNEY LAKE RD &lt;OB&gt; &lt;FS&gt; BLUE MOUNTAIN RD\' }, </v>
      </c>
    </row>
    <row r="525" spans="1:12" x14ac:dyDescent="0.25">
      <c r="A525">
        <v>-63.720185659505198</v>
      </c>
      <c r="B525">
        <v>44.715455695777798</v>
      </c>
      <c r="C525">
        <v>1014</v>
      </c>
      <c r="D525" t="s">
        <v>103</v>
      </c>
      <c r="E525" t="s">
        <v>12</v>
      </c>
      <c r="F525" t="s">
        <v>13</v>
      </c>
      <c r="G525" t="s">
        <v>65</v>
      </c>
      <c r="H525">
        <v>9054</v>
      </c>
      <c r="I525" t="s">
        <v>1082</v>
      </c>
      <c r="J525" t="s">
        <v>1083</v>
      </c>
      <c r="K525" t="s">
        <v>17</v>
      </c>
      <c r="L525" t="str">
        <f t="shared" si="8"/>
        <v xml:space="preserve">{ longitude: -63.7201856595052, latitude: 44.7154556957778, stopType: 'Bus Stop Inaccessible', gotime: \'9054\', location: \'KEARNEY LAKE RD &lt;IB&gt; &lt;FS&gt; BLUE MOUNTAIN RD\' }, </v>
      </c>
    </row>
    <row r="526" spans="1:12" x14ac:dyDescent="0.25">
      <c r="A526">
        <v>-63.596613169455097</v>
      </c>
      <c r="B526">
        <v>44.681946608375398</v>
      </c>
      <c r="C526">
        <v>1015</v>
      </c>
      <c r="D526" t="s">
        <v>11</v>
      </c>
      <c r="E526" t="s">
        <v>12</v>
      </c>
      <c r="F526" t="s">
        <v>13</v>
      </c>
      <c r="G526" t="s">
        <v>19</v>
      </c>
      <c r="H526">
        <v>9053</v>
      </c>
      <c r="I526" t="s">
        <v>1084</v>
      </c>
      <c r="J526" t="s">
        <v>1085</v>
      </c>
      <c r="K526" t="s">
        <v>17</v>
      </c>
      <c r="L526" t="str">
        <f t="shared" si="8"/>
        <v xml:space="preserve">{ longitude: -63.5966131694551, latitude: 44.6819466083754, stopType: 'Bus Stop Non-Standard', gotime: \'9053\', location: \'WINDMILL RD &lt;NS&gt; FERNHILL\' }, </v>
      </c>
    </row>
    <row r="527" spans="1:12" x14ac:dyDescent="0.25">
      <c r="A527">
        <v>-63.716148576956599</v>
      </c>
      <c r="B527">
        <v>44.714026178844897</v>
      </c>
      <c r="C527">
        <v>1016</v>
      </c>
      <c r="D527" t="s">
        <v>11</v>
      </c>
      <c r="E527" t="s">
        <v>12</v>
      </c>
      <c r="F527" t="s">
        <v>1060</v>
      </c>
      <c r="G527" t="s">
        <v>1086</v>
      </c>
      <c r="H527">
        <v>7026</v>
      </c>
      <c r="I527" t="s">
        <v>1087</v>
      </c>
      <c r="J527" t="s">
        <v>1088</v>
      </c>
      <c r="K527" t="s">
        <v>17</v>
      </c>
      <c r="L527" t="str">
        <f t="shared" si="8"/>
        <v xml:space="preserve">{ longitude: -63.7161485769566, latitude: 44.7140261788449, stopType: 'Bus Stop Non-Standard', gotime: \'7026\', location: \'KEARNEY LAKE RD &lt;IB&gt; &lt;FS&gt; BLUEWATER \' }, </v>
      </c>
    </row>
    <row r="528" spans="1:12" x14ac:dyDescent="0.25">
      <c r="A528">
        <v>-63.715925689774302</v>
      </c>
      <c r="B528">
        <v>44.714137774656301</v>
      </c>
      <c r="C528">
        <v>1017</v>
      </c>
      <c r="D528" t="s">
        <v>103</v>
      </c>
      <c r="E528" t="s">
        <v>12</v>
      </c>
      <c r="F528" t="s">
        <v>1060</v>
      </c>
      <c r="G528" t="s">
        <v>65</v>
      </c>
      <c r="H528">
        <v>7014</v>
      </c>
      <c r="I528" t="s">
        <v>1089</v>
      </c>
      <c r="J528" t="s">
        <v>1090</v>
      </c>
      <c r="K528" t="s">
        <v>17</v>
      </c>
      <c r="L528" t="str">
        <f t="shared" si="8"/>
        <v xml:space="preserve">{ longitude: -63.7159256897743, latitude: 44.7141377746563, stopType: 'Bus Stop Inaccessible', gotime: \'7014\', location: \'KEARNEY LAKE RD &lt;NS&gt; BLUEWATER RD\' }, </v>
      </c>
    </row>
    <row r="529" spans="1:12" x14ac:dyDescent="0.25">
      <c r="A529">
        <v>-63.543303404965698</v>
      </c>
      <c r="B529">
        <v>44.497067543518497</v>
      </c>
      <c r="C529">
        <v>1018</v>
      </c>
      <c r="D529" t="s">
        <v>11</v>
      </c>
      <c r="E529" t="s">
        <v>12</v>
      </c>
      <c r="F529" t="s">
        <v>1091</v>
      </c>
      <c r="G529" t="s">
        <v>1092</v>
      </c>
      <c r="H529">
        <v>7633</v>
      </c>
      <c r="I529" t="s">
        <v>1093</v>
      </c>
      <c r="J529" t="s">
        <v>1094</v>
      </c>
      <c r="K529" t="s">
        <v>17</v>
      </c>
      <c r="L529" t="str">
        <f t="shared" si="8"/>
        <v xml:space="preserve">{ longitude: -63.5433034049657, latitude: 44.4970675435185, stopType: 'Bus Stop Non-Standard', gotime: \'7633\', location: \'KETCH HARBOUR RD @ PORK AVE\' }, </v>
      </c>
    </row>
    <row r="530" spans="1:12" x14ac:dyDescent="0.25">
      <c r="A530">
        <v>-63.5461600453175</v>
      </c>
      <c r="B530">
        <v>44.494401516597499</v>
      </c>
      <c r="C530">
        <v>1019</v>
      </c>
      <c r="D530" t="s">
        <v>11</v>
      </c>
      <c r="E530" t="s">
        <v>12</v>
      </c>
      <c r="F530" t="s">
        <v>1091</v>
      </c>
      <c r="G530" t="s">
        <v>1092</v>
      </c>
      <c r="H530">
        <v>7634</v>
      </c>
      <c r="I530" t="s">
        <v>1095</v>
      </c>
      <c r="J530" t="s">
        <v>1096</v>
      </c>
      <c r="K530" t="s">
        <v>17</v>
      </c>
      <c r="L530" t="str">
        <f t="shared" si="8"/>
        <v xml:space="preserve">{ longitude: -63.5461600453175, latitude: 44.4944015165975, stopType: 'Bus Stop Non-Standard', gotime: \'7634\', location: \'KETCH HARBOUR RD @ GRAVE AVE\' }, </v>
      </c>
    </row>
    <row r="531" spans="1:12" x14ac:dyDescent="0.25">
      <c r="A531">
        <v>-63.549083384512798</v>
      </c>
      <c r="B531">
        <v>44.4930000234517</v>
      </c>
      <c r="C531">
        <v>1020</v>
      </c>
      <c r="D531" t="s">
        <v>11</v>
      </c>
      <c r="E531" t="s">
        <v>12</v>
      </c>
      <c r="F531" t="s">
        <v>1091</v>
      </c>
      <c r="G531" t="s">
        <v>1092</v>
      </c>
      <c r="H531">
        <v>7635</v>
      </c>
      <c r="I531" t="s">
        <v>1097</v>
      </c>
      <c r="J531" t="s">
        <v>1098</v>
      </c>
      <c r="K531" t="s">
        <v>17</v>
      </c>
      <c r="L531" t="str">
        <f t="shared" si="8"/>
        <v xml:space="preserve">{ longitude: -63.5490833845128, latitude: 44.4930000234517, stopType: 'Bus Stop Non-Standard', gotime: \'7635\', location: \'KETCH HARBOUR RD @ ST PETERS PARISH HALL\' }, </v>
      </c>
    </row>
    <row r="532" spans="1:12" x14ac:dyDescent="0.25">
      <c r="A532">
        <v>-63.551356780425799</v>
      </c>
      <c r="B532">
        <v>44.4927315594053</v>
      </c>
      <c r="C532">
        <v>1021</v>
      </c>
      <c r="D532" t="s">
        <v>11</v>
      </c>
      <c r="E532" t="s">
        <v>12</v>
      </c>
      <c r="F532" t="s">
        <v>1091</v>
      </c>
      <c r="G532" t="s">
        <v>1092</v>
      </c>
      <c r="H532">
        <v>7636</v>
      </c>
      <c r="I532" t="s">
        <v>1099</v>
      </c>
      <c r="J532" t="s">
        <v>1100</v>
      </c>
      <c r="K532" t="s">
        <v>17</v>
      </c>
      <c r="L532" t="str">
        <f t="shared" si="8"/>
        <v xml:space="preserve">{ longitude: -63.5513567804258, latitude: 44.4927315594053, stopType: 'Bus Stop Non-Standard', gotime: \'7636\', location: \'KETCH HARBOUR RD @ FIRST POND DR\' }, </v>
      </c>
    </row>
    <row r="533" spans="1:12" x14ac:dyDescent="0.25">
      <c r="A533">
        <v>-63.556230903923499</v>
      </c>
      <c r="B533">
        <v>44.490878339423801</v>
      </c>
      <c r="C533">
        <v>1022</v>
      </c>
      <c r="D533" t="s">
        <v>11</v>
      </c>
      <c r="E533" t="s">
        <v>12</v>
      </c>
      <c r="F533" t="s">
        <v>1091</v>
      </c>
      <c r="G533" t="s">
        <v>1092</v>
      </c>
      <c r="H533">
        <v>7637</v>
      </c>
      <c r="I533" t="s">
        <v>1101</v>
      </c>
      <c r="J533" t="s">
        <v>1102</v>
      </c>
      <c r="K533" t="s">
        <v>17</v>
      </c>
      <c r="L533" t="str">
        <f t="shared" si="8"/>
        <v xml:space="preserve">{ longitude: -63.5562309039235, latitude: 44.4908783394238, stopType: 'Bus Stop Non-Standard', gotime: \'7637\', location: \'KETCH HARBOUR RD @ CIVIC 1173\' }, </v>
      </c>
    </row>
    <row r="534" spans="1:12" x14ac:dyDescent="0.25">
      <c r="A534">
        <v>-63.558299941273297</v>
      </c>
      <c r="B534">
        <v>44.487683313604897</v>
      </c>
      <c r="C534">
        <v>1023</v>
      </c>
      <c r="D534" t="s">
        <v>11</v>
      </c>
      <c r="E534" t="s">
        <v>12</v>
      </c>
      <c r="F534" t="s">
        <v>1091</v>
      </c>
      <c r="G534" t="s">
        <v>1092</v>
      </c>
      <c r="H534">
        <v>7638</v>
      </c>
      <c r="I534" t="s">
        <v>1103</v>
      </c>
      <c r="J534" t="s">
        <v>1104</v>
      </c>
      <c r="K534" t="s">
        <v>17</v>
      </c>
      <c r="L534" t="str">
        <f t="shared" si="8"/>
        <v xml:space="preserve">{ longitude: -63.5582999412733, latitude: 44.4876833136049, stopType: 'Bus Stop Non-Standard', gotime: \'7638\', location: \'KETCH HARBOUR RD @ SABLE RD\' }, </v>
      </c>
    </row>
    <row r="535" spans="1:12" x14ac:dyDescent="0.25">
      <c r="A535">
        <v>-63.576195875898001</v>
      </c>
      <c r="B535">
        <v>44.481011235525699</v>
      </c>
      <c r="C535">
        <v>1024</v>
      </c>
      <c r="D535" t="s">
        <v>11</v>
      </c>
      <c r="E535" t="s">
        <v>12</v>
      </c>
      <c r="F535" t="s">
        <v>1091</v>
      </c>
      <c r="G535" t="s">
        <v>1092</v>
      </c>
      <c r="H535">
        <v>7639</v>
      </c>
      <c r="I535" t="s">
        <v>1105</v>
      </c>
      <c r="J535" t="s">
        <v>1106</v>
      </c>
      <c r="K535" t="s">
        <v>17</v>
      </c>
      <c r="L535" t="str">
        <f t="shared" si="8"/>
        <v xml:space="preserve">{ longitude: -63.576195875898, latitude: 44.4810112355257, stopType: 'Bus Stop Non-Standard', gotime: \'7639\', location: \'KETCH HARBOUR RD @ CIVIC 1399\' }, </v>
      </c>
    </row>
    <row r="536" spans="1:12" x14ac:dyDescent="0.25">
      <c r="A536">
        <v>-63.579733390994001</v>
      </c>
      <c r="B536">
        <v>44.482250028345497</v>
      </c>
      <c r="C536">
        <v>1025</v>
      </c>
      <c r="D536" t="s">
        <v>11</v>
      </c>
      <c r="E536" t="s">
        <v>12</v>
      </c>
      <c r="F536" t="s">
        <v>1091</v>
      </c>
      <c r="G536" t="s">
        <v>1092</v>
      </c>
      <c r="H536">
        <v>7640</v>
      </c>
      <c r="I536" t="s">
        <v>1107</v>
      </c>
      <c r="J536" t="s">
        <v>1108</v>
      </c>
      <c r="K536" t="s">
        <v>17</v>
      </c>
      <c r="L536" t="str">
        <f t="shared" si="8"/>
        <v xml:space="preserve">{ longitude: -63.579733390994, latitude: 44.4822500283455, stopType: 'Bus Stop Non-Standard', gotime: \'7640\', location: \'KETCH HARBOUR RD @ CIVIC 1449\' }, </v>
      </c>
    </row>
    <row r="537" spans="1:12" x14ac:dyDescent="0.25">
      <c r="A537">
        <v>-63.583366694084901</v>
      </c>
      <c r="B537">
        <v>44.485000043978602</v>
      </c>
      <c r="C537">
        <v>1026</v>
      </c>
      <c r="D537" t="s">
        <v>11</v>
      </c>
      <c r="E537" t="s">
        <v>12</v>
      </c>
      <c r="F537" t="s">
        <v>1091</v>
      </c>
      <c r="G537" t="s">
        <v>1092</v>
      </c>
      <c r="H537">
        <v>7641</v>
      </c>
      <c r="I537" t="s">
        <v>1109</v>
      </c>
      <c r="J537" t="s">
        <v>1110</v>
      </c>
      <c r="K537" t="s">
        <v>17</v>
      </c>
      <c r="L537" t="str">
        <f t="shared" si="8"/>
        <v xml:space="preserve">{ longitude: -63.5833666940849, latitude: 44.4850000439786, stopType: 'Bus Stop Non-Standard', gotime: \'7641\', location: \'KETCH HARBOUR RD @ CIVIC 1491\' }, </v>
      </c>
    </row>
    <row r="538" spans="1:12" x14ac:dyDescent="0.25">
      <c r="A538">
        <v>-63.590633381895799</v>
      </c>
      <c r="B538">
        <v>44.486449988135497</v>
      </c>
      <c r="C538">
        <v>1027</v>
      </c>
      <c r="D538" t="s">
        <v>11</v>
      </c>
      <c r="E538" t="s">
        <v>12</v>
      </c>
      <c r="F538" t="s">
        <v>1091</v>
      </c>
      <c r="G538" t="s">
        <v>1092</v>
      </c>
      <c r="H538">
        <v>7642</v>
      </c>
      <c r="I538" t="s">
        <v>1111</v>
      </c>
      <c r="J538" t="s">
        <v>1112</v>
      </c>
      <c r="K538" t="s">
        <v>17</v>
      </c>
      <c r="L538" t="str">
        <f t="shared" si="8"/>
        <v xml:space="preserve">{ longitude: -63.5906333818958, latitude: 44.4864499881355, stopType: 'Bus Stop Non-Standard', gotime: \'7642\', location: \'KETCH HARBOUR RD @ CIVIC 1567\' }, </v>
      </c>
    </row>
    <row r="539" spans="1:12" x14ac:dyDescent="0.25">
      <c r="A539">
        <v>-63.595955910172698</v>
      </c>
      <c r="B539">
        <v>44.484215778407801</v>
      </c>
      <c r="C539">
        <v>1028</v>
      </c>
      <c r="D539" t="s">
        <v>11</v>
      </c>
      <c r="E539" t="s">
        <v>12</v>
      </c>
      <c r="F539" t="s">
        <v>1091</v>
      </c>
      <c r="G539" t="s">
        <v>1092</v>
      </c>
      <c r="H539">
        <v>7643</v>
      </c>
      <c r="I539" t="s">
        <v>1113</v>
      </c>
      <c r="J539" t="s">
        <v>1114</v>
      </c>
      <c r="K539" t="s">
        <v>17</v>
      </c>
      <c r="L539" t="str">
        <f t="shared" si="8"/>
        <v xml:space="preserve">{ longitude: -63.5959559101727, latitude: 44.4842157784078, stopType: 'Bus Stop Non-Standard', gotime: \'7643\', location: \'KETCH HARBOUR RD @ CIVIC 1613\' }, </v>
      </c>
    </row>
    <row r="540" spans="1:12" x14ac:dyDescent="0.25">
      <c r="A540">
        <v>-63.600163784476599</v>
      </c>
      <c r="B540">
        <v>44.480872739457297</v>
      </c>
      <c r="C540">
        <v>1029</v>
      </c>
      <c r="D540" t="s">
        <v>11</v>
      </c>
      <c r="E540" t="s">
        <v>12</v>
      </c>
      <c r="F540" t="s">
        <v>1091</v>
      </c>
      <c r="G540" t="s">
        <v>1092</v>
      </c>
      <c r="H540">
        <v>7644</v>
      </c>
      <c r="I540" t="s">
        <v>1115</v>
      </c>
      <c r="J540" t="s">
        <v>1116</v>
      </c>
      <c r="K540" t="s">
        <v>17</v>
      </c>
      <c r="L540" t="str">
        <f t="shared" si="8"/>
        <v xml:space="preserve">{ longitude: -63.6001637844766, latitude: 44.4808727394573, stopType: 'Bus Stop Non-Standard', gotime: \'7644\', location: \'KETCH HARBOUR RD @ CIVIC 1687\' }, </v>
      </c>
    </row>
    <row r="541" spans="1:12" x14ac:dyDescent="0.25">
      <c r="A541">
        <v>-63.603282809143501</v>
      </c>
      <c r="B541">
        <v>44.478787034076099</v>
      </c>
      <c r="C541">
        <v>1030</v>
      </c>
      <c r="D541" t="s">
        <v>11</v>
      </c>
      <c r="E541" t="s">
        <v>12</v>
      </c>
      <c r="F541" t="s">
        <v>1091</v>
      </c>
      <c r="G541" t="s">
        <v>1092</v>
      </c>
      <c r="H541">
        <v>7645</v>
      </c>
      <c r="I541" t="s">
        <v>1117</v>
      </c>
      <c r="J541" t="s">
        <v>1118</v>
      </c>
      <c r="K541" t="s">
        <v>17</v>
      </c>
      <c r="L541" t="str">
        <f t="shared" si="8"/>
        <v xml:space="preserve">{ longitude: -63.6032828091435, latitude: 44.4787870340761, stopType: 'Bus Stop Non-Standard', gotime: \'7645\', location: \'KETCH HARBOUR RD OPPOSITE CIVIC 1722\' }, </v>
      </c>
    </row>
    <row r="542" spans="1:12" x14ac:dyDescent="0.25">
      <c r="A542">
        <v>-63.606533333134998</v>
      </c>
      <c r="B542">
        <v>44.479733302601304</v>
      </c>
      <c r="C542">
        <v>1031</v>
      </c>
      <c r="D542" t="s">
        <v>11</v>
      </c>
      <c r="E542" t="s">
        <v>12</v>
      </c>
      <c r="F542" t="s">
        <v>1091</v>
      </c>
      <c r="G542" t="s">
        <v>1092</v>
      </c>
      <c r="H542">
        <v>7646</v>
      </c>
      <c r="I542" t="s">
        <v>1119</v>
      </c>
      <c r="J542" t="s">
        <v>1120</v>
      </c>
      <c r="K542" t="s">
        <v>17</v>
      </c>
      <c r="L542" t="str">
        <f t="shared" si="8"/>
        <v xml:space="preserve">{ longitude: -63.606533333135, latitude: 44.4797333026013, stopType: 'Bus Stop Non-Standard', gotime: \'7646\', location: \'OLD SAMBRO RD @ WEST PENNANT RD\' }, </v>
      </c>
    </row>
    <row r="543" spans="1:12" x14ac:dyDescent="0.25">
      <c r="A543">
        <v>-63.608483384917399</v>
      </c>
      <c r="B543">
        <v>44.481883348233502</v>
      </c>
      <c r="C543">
        <v>1032</v>
      </c>
      <c r="D543" t="s">
        <v>11</v>
      </c>
      <c r="E543" t="s">
        <v>12</v>
      </c>
      <c r="F543" t="s">
        <v>1091</v>
      </c>
      <c r="G543" t="s">
        <v>1092</v>
      </c>
      <c r="H543">
        <v>7647</v>
      </c>
      <c r="I543" t="s">
        <v>1121</v>
      </c>
      <c r="J543" t="s">
        <v>1122</v>
      </c>
      <c r="K543" t="s">
        <v>17</v>
      </c>
      <c r="L543" t="str">
        <f t="shared" si="8"/>
        <v xml:space="preserve">{ longitude: -63.6084833849174, latitude: 44.4818833482335, stopType: 'Bus Stop Non-Standard', gotime: \'7647\', location: \'OLD SAMBRO RD @ KELLY DR\' }, </v>
      </c>
    </row>
    <row r="544" spans="1:12" x14ac:dyDescent="0.25">
      <c r="A544">
        <v>-63.614049956653197</v>
      </c>
      <c r="B544">
        <v>44.4867499580143</v>
      </c>
      <c r="C544">
        <v>1033</v>
      </c>
      <c r="D544" t="s">
        <v>11</v>
      </c>
      <c r="E544" t="s">
        <v>12</v>
      </c>
      <c r="F544" t="s">
        <v>1091</v>
      </c>
      <c r="G544" t="s">
        <v>1092</v>
      </c>
      <c r="H544">
        <v>7648</v>
      </c>
      <c r="I544" t="s">
        <v>1123</v>
      </c>
      <c r="J544" t="s">
        <v>1124</v>
      </c>
      <c r="K544" t="s">
        <v>17</v>
      </c>
      <c r="L544" t="str">
        <f t="shared" si="8"/>
        <v xml:space="preserve">{ longitude: -63.6140499566532, latitude: 44.4867499580143, stopType: 'Bus Stop Non-Standard', gotime: \'7648\', location: \'OLD SAMBRO RD OPPOSITE CIVIC 3387\' }, </v>
      </c>
    </row>
    <row r="545" spans="1:12" x14ac:dyDescent="0.25">
      <c r="A545">
        <v>-63.619233350450997</v>
      </c>
      <c r="B545">
        <v>44.488783373520597</v>
      </c>
      <c r="C545">
        <v>1034</v>
      </c>
      <c r="D545" t="s">
        <v>11</v>
      </c>
      <c r="E545" t="s">
        <v>12</v>
      </c>
      <c r="F545" t="s">
        <v>1091</v>
      </c>
      <c r="G545" t="s">
        <v>1092</v>
      </c>
      <c r="H545">
        <v>7649</v>
      </c>
      <c r="I545" t="s">
        <v>1125</v>
      </c>
      <c r="J545" s="1" t="s">
        <v>1126</v>
      </c>
      <c r="K545" t="s">
        <v>17</v>
      </c>
      <c r="L545" t="str">
        <f t="shared" si="8"/>
        <v xml:space="preserve">{ longitude: -63.619233350451, latitude: 44.4887833735206, stopType: 'Bus Stop Non-Standard', gotime: \'7649\', location: \'OLD SAMBRO RD @ CIVIC 3318\' }, </v>
      </c>
    </row>
    <row r="546" spans="1:12" x14ac:dyDescent="0.25">
      <c r="A546">
        <v>-63.624949955042901</v>
      </c>
      <c r="B546">
        <v>44.492666632418697</v>
      </c>
      <c r="C546">
        <v>1035</v>
      </c>
      <c r="D546" t="s">
        <v>11</v>
      </c>
      <c r="E546" t="s">
        <v>12</v>
      </c>
      <c r="F546" t="s">
        <v>1091</v>
      </c>
      <c r="G546" t="s">
        <v>1092</v>
      </c>
      <c r="H546">
        <v>7650</v>
      </c>
      <c r="I546" t="s">
        <v>1127</v>
      </c>
      <c r="J546" t="s">
        <v>1128</v>
      </c>
      <c r="K546" t="s">
        <v>17</v>
      </c>
      <c r="L546" t="str">
        <f t="shared" si="8"/>
        <v xml:space="preserve">{ longitude: -63.6249499550429, latitude: 44.4926666324187, stopType: 'Bus Stop Non-Standard', gotime: \'7650\', location: \'OLD SAMBRO RD @ CIVIC 3172\' }, </v>
      </c>
    </row>
    <row r="547" spans="1:12" x14ac:dyDescent="0.25">
      <c r="A547">
        <v>-63.6303333377084</v>
      </c>
      <c r="B547">
        <v>44.497116676209799</v>
      </c>
      <c r="C547">
        <v>1036</v>
      </c>
      <c r="D547" t="s">
        <v>11</v>
      </c>
      <c r="E547" t="s">
        <v>12</v>
      </c>
      <c r="F547" t="s">
        <v>1091</v>
      </c>
      <c r="G547" t="s">
        <v>1092</v>
      </c>
      <c r="H547">
        <v>7651</v>
      </c>
      <c r="I547" t="s">
        <v>1129</v>
      </c>
      <c r="J547" t="s">
        <v>1130</v>
      </c>
      <c r="K547" t="s">
        <v>17</v>
      </c>
      <c r="L547" t="str">
        <f t="shared" si="8"/>
        <v xml:space="preserve">{ longitude: -63.6303333377084, latitude: 44.4971166762098, stopType: 'Bus Stop Non-Standard', gotime: \'7651\', location: \'OLD SAMBRO RD OPPOSITE CIVIC  3027\' }, </v>
      </c>
    </row>
    <row r="548" spans="1:12" x14ac:dyDescent="0.25">
      <c r="A548">
        <v>-63.570681126352397</v>
      </c>
      <c r="B548">
        <v>44.710317959747002</v>
      </c>
      <c r="C548">
        <v>1037</v>
      </c>
      <c r="D548" t="s">
        <v>29</v>
      </c>
      <c r="E548" t="s">
        <v>12</v>
      </c>
      <c r="F548" t="s">
        <v>1091</v>
      </c>
      <c r="G548" t="s">
        <v>1131</v>
      </c>
      <c r="H548">
        <v>8856</v>
      </c>
      <c r="I548" t="s">
        <v>1132</v>
      </c>
      <c r="J548" t="s">
        <v>1133</v>
      </c>
      <c r="K548" t="s">
        <v>17</v>
      </c>
      <c r="L548" t="str">
        <f t="shared" si="8"/>
        <v xml:space="preserve">{ longitude: -63.5706811263524, latitude: 44.710317959747, stopType: 'Bus Stop Accessible', gotime: \'8856\', location: \'WRIGHT AVE &lt;FS&gt; WILKINSON\' }, </v>
      </c>
    </row>
    <row r="549" spans="1:12" x14ac:dyDescent="0.25">
      <c r="A549">
        <v>-63.5746193199884</v>
      </c>
      <c r="B549">
        <v>44.7101485271372</v>
      </c>
      <c r="C549">
        <v>1038</v>
      </c>
      <c r="D549" t="s">
        <v>29</v>
      </c>
      <c r="E549" t="s">
        <v>12</v>
      </c>
      <c r="F549" t="s">
        <v>1091</v>
      </c>
      <c r="G549" t="s">
        <v>1131</v>
      </c>
      <c r="H549">
        <v>8857</v>
      </c>
      <c r="I549" t="s">
        <v>1134</v>
      </c>
      <c r="J549" t="s">
        <v>1135</v>
      </c>
      <c r="K549" t="s">
        <v>17</v>
      </c>
      <c r="L549" t="str">
        <f t="shared" si="8"/>
        <v xml:space="preserve">{ longitude: -63.5746193199884, latitude: 44.7101485271372, stopType: 'Bus Stop Accessible', gotime: \'8857\', location: \'WRIGHT AVE &lt;FS&gt; BURRIDGE\' }, </v>
      </c>
    </row>
    <row r="550" spans="1:12" x14ac:dyDescent="0.25">
      <c r="A550">
        <v>-63.578700231689503</v>
      </c>
      <c r="B550">
        <v>44.709024344658602</v>
      </c>
      <c r="C550">
        <v>1039</v>
      </c>
      <c r="D550" t="s">
        <v>29</v>
      </c>
      <c r="E550" t="s">
        <v>12</v>
      </c>
      <c r="F550" t="s">
        <v>1091</v>
      </c>
      <c r="G550" t="s">
        <v>1131</v>
      </c>
      <c r="H550">
        <v>8858</v>
      </c>
      <c r="I550" t="s">
        <v>1136</v>
      </c>
      <c r="J550" t="s">
        <v>1137</v>
      </c>
      <c r="K550" t="s">
        <v>17</v>
      </c>
      <c r="L550" t="str">
        <f t="shared" si="8"/>
        <v xml:space="preserve">{ longitude: -63.5787002316895, latitude: 44.7090243446586, stopType: 'Bus Stop Accessible', gotime: \'8858\', location: \'WRIGHT AVE &lt;FS&gt; JOHN SAVAGE AVE\' }, </v>
      </c>
    </row>
    <row r="551" spans="1:12" x14ac:dyDescent="0.25">
      <c r="A551">
        <v>-63.584285328415497</v>
      </c>
      <c r="B551">
        <v>44.708290703854999</v>
      </c>
      <c r="C551">
        <v>1040</v>
      </c>
      <c r="D551" t="s">
        <v>29</v>
      </c>
      <c r="E551" t="s">
        <v>12</v>
      </c>
      <c r="F551" t="s">
        <v>1091</v>
      </c>
      <c r="G551" t="s">
        <v>1131</v>
      </c>
      <c r="H551">
        <v>8859</v>
      </c>
      <c r="I551" t="s">
        <v>1138</v>
      </c>
      <c r="J551" t="s">
        <v>1139</v>
      </c>
      <c r="K551" t="s">
        <v>17</v>
      </c>
      <c r="L551" t="str">
        <f t="shared" si="8"/>
        <v xml:space="preserve">{ longitude: -63.5842853284155, latitude: 44.708290703855, stopType: 'Bus Stop Accessible', gotime: \'8859\', location: \'WRIGHT AVE &lt;FS&gt; WILLIAMS AVE\' }, </v>
      </c>
    </row>
    <row r="552" spans="1:12" x14ac:dyDescent="0.25">
      <c r="A552">
        <v>-63.593268602914399</v>
      </c>
      <c r="B552">
        <v>44.705940750009603</v>
      </c>
      <c r="C552">
        <v>1041</v>
      </c>
      <c r="D552" t="s">
        <v>103</v>
      </c>
      <c r="E552" t="s">
        <v>12</v>
      </c>
      <c r="F552" t="s">
        <v>1091</v>
      </c>
      <c r="G552" t="s">
        <v>65</v>
      </c>
      <c r="H552">
        <v>8867</v>
      </c>
      <c r="I552" t="s">
        <v>1140</v>
      </c>
      <c r="J552" t="s">
        <v>1141</v>
      </c>
      <c r="K552" t="s">
        <v>17</v>
      </c>
      <c r="L552" t="str">
        <f t="shared" si="8"/>
        <v xml:space="preserve">{ longitude: -63.5932686029144, latitude: 44.7059407500096, stopType: 'Bus Stop Inaccessible', gotime: \'8867\', location: \'WRIGHT AVE &lt;FS&gt; JOSEPH ZATZMAN\' }, </v>
      </c>
    </row>
    <row r="553" spans="1:12" x14ac:dyDescent="0.25">
      <c r="A553">
        <v>-63.593401968836602</v>
      </c>
      <c r="B553">
        <v>44.705724016560701</v>
      </c>
      <c r="C553">
        <v>1042</v>
      </c>
      <c r="D553" t="s">
        <v>103</v>
      </c>
      <c r="E553" t="s">
        <v>12</v>
      </c>
      <c r="F553" t="s">
        <v>1091</v>
      </c>
      <c r="G553" t="s">
        <v>65</v>
      </c>
      <c r="H553">
        <v>8860</v>
      </c>
      <c r="I553" t="s">
        <v>1142</v>
      </c>
      <c r="J553" t="s">
        <v>1143</v>
      </c>
      <c r="K553" t="s">
        <v>17</v>
      </c>
      <c r="L553" t="str">
        <f t="shared" si="8"/>
        <v xml:space="preserve">{ longitude: -63.5934019688366, latitude: 44.7057240165607, stopType: 'Bus Stop Inaccessible', gotime: \'8860\', location: \'WRIGHT AVE &lt;NS&gt; RADDALL AVE\' }, </v>
      </c>
    </row>
    <row r="554" spans="1:12" x14ac:dyDescent="0.25">
      <c r="A554">
        <v>-63.589602017114402</v>
      </c>
      <c r="B554">
        <v>44.7070073798264</v>
      </c>
      <c r="C554">
        <v>1043</v>
      </c>
      <c r="D554" t="s">
        <v>29</v>
      </c>
      <c r="E554" t="s">
        <v>12</v>
      </c>
      <c r="F554" t="s">
        <v>1091</v>
      </c>
      <c r="G554" t="s">
        <v>1131</v>
      </c>
      <c r="H554">
        <v>8861</v>
      </c>
      <c r="I554" t="s">
        <v>1144</v>
      </c>
      <c r="J554" t="s">
        <v>1145</v>
      </c>
      <c r="K554" t="s">
        <v>17</v>
      </c>
      <c r="L554" t="str">
        <f t="shared" si="8"/>
        <v xml:space="preserve">{ longitude: -63.5896020171144, latitude: 44.7070073798264, stopType: 'Bus Stop Accessible', gotime: \'8861\', location: \'WRIGHT AVE &lt;NS&gt; BURNSIDE DR\' }, </v>
      </c>
    </row>
    <row r="555" spans="1:12" x14ac:dyDescent="0.25">
      <c r="A555">
        <v>-63.585057938038403</v>
      </c>
      <c r="B555">
        <v>44.707890111061197</v>
      </c>
      <c r="C555">
        <v>1044</v>
      </c>
      <c r="D555" t="s">
        <v>29</v>
      </c>
      <c r="E555" t="s">
        <v>12</v>
      </c>
      <c r="F555" t="s">
        <v>1091</v>
      </c>
      <c r="G555" t="s">
        <v>1131</v>
      </c>
      <c r="H555">
        <v>8862</v>
      </c>
      <c r="I555" t="s">
        <v>1146</v>
      </c>
      <c r="J555" t="s">
        <v>1147</v>
      </c>
      <c r="K555" t="s">
        <v>17</v>
      </c>
      <c r="L555" t="str">
        <f t="shared" si="8"/>
        <v xml:space="preserve">{ longitude: -63.5850579380384, latitude: 44.7078901110612, stopType: 'Bus Stop Accessible', gotime: \'8862\', location: \'WRIGHT AVE &lt;NS&gt; GARLAND AVE\' }, </v>
      </c>
    </row>
    <row r="556" spans="1:12" x14ac:dyDescent="0.25">
      <c r="A556">
        <v>-63.579295717487099</v>
      </c>
      <c r="B556">
        <v>44.708694359241498</v>
      </c>
      <c r="C556">
        <v>1045</v>
      </c>
      <c r="D556" t="s">
        <v>29</v>
      </c>
      <c r="E556" t="s">
        <v>12</v>
      </c>
      <c r="F556" t="s">
        <v>1091</v>
      </c>
      <c r="G556" t="s">
        <v>1131</v>
      </c>
      <c r="H556">
        <v>8863</v>
      </c>
      <c r="I556" t="s">
        <v>1148</v>
      </c>
      <c r="J556" t="s">
        <v>1149</v>
      </c>
      <c r="K556" t="s">
        <v>17</v>
      </c>
      <c r="L556" t="str">
        <f t="shared" si="8"/>
        <v xml:space="preserve">{ longitude: -63.5792957174871, latitude: 44.7086943592415, stopType: 'Bus Stop Accessible', gotime: \'8863\', location: \'WRIGHT AVE &lt;FS&gt; MELNOR AVE\' }, </v>
      </c>
    </row>
    <row r="557" spans="1:12" x14ac:dyDescent="0.25">
      <c r="A557">
        <v>-63.574363218715099</v>
      </c>
      <c r="B557">
        <v>44.709968258049997</v>
      </c>
      <c r="C557">
        <v>1046</v>
      </c>
      <c r="D557" t="s">
        <v>29</v>
      </c>
      <c r="E557" t="s">
        <v>12</v>
      </c>
      <c r="F557" t="s">
        <v>1091</v>
      </c>
      <c r="G557" t="s">
        <v>1131</v>
      </c>
      <c r="H557">
        <v>8864</v>
      </c>
      <c r="I557" t="s">
        <v>1150</v>
      </c>
      <c r="J557" t="s">
        <v>1151</v>
      </c>
      <c r="K557" t="s">
        <v>17</v>
      </c>
      <c r="L557" t="str">
        <f t="shared" si="8"/>
        <v xml:space="preserve">{ longitude: -63.5743632187151, latitude: 44.70996825805, stopType: 'Bus Stop Accessible', gotime: \'8864\', location: \'WRIGHT AVE &lt;OP&gt; BURRIDGE\' }, </v>
      </c>
    </row>
    <row r="558" spans="1:12" x14ac:dyDescent="0.25">
      <c r="A558">
        <v>-63.570033515383201</v>
      </c>
      <c r="B558">
        <v>44.709966200376002</v>
      </c>
      <c r="C558">
        <v>1047</v>
      </c>
      <c r="D558" t="s">
        <v>29</v>
      </c>
      <c r="E558" t="s">
        <v>12</v>
      </c>
      <c r="F558" t="s">
        <v>1091</v>
      </c>
      <c r="G558" t="s">
        <v>1131</v>
      </c>
      <c r="H558">
        <v>8865</v>
      </c>
      <c r="I558" t="s">
        <v>1152</v>
      </c>
      <c r="J558" t="s">
        <v>1153</v>
      </c>
      <c r="K558" t="s">
        <v>17</v>
      </c>
      <c r="L558" t="str">
        <f t="shared" si="8"/>
        <v xml:space="preserve">{ longitude: -63.5700335153832, latitude: 44.709966200376, stopType: 'Bus Stop Accessible', gotime: \'8865\', location: \'WRIGHT AVE &lt;OP&gt; WILKINSON\' }, </v>
      </c>
    </row>
    <row r="559" spans="1:12" x14ac:dyDescent="0.25">
      <c r="A559">
        <v>-63.5648019831496</v>
      </c>
      <c r="B559">
        <v>44.707007402888799</v>
      </c>
      <c r="C559">
        <v>1048</v>
      </c>
      <c r="D559" t="s">
        <v>11</v>
      </c>
      <c r="E559" t="s">
        <v>12</v>
      </c>
      <c r="F559" t="s">
        <v>1091</v>
      </c>
      <c r="G559" t="s">
        <v>1131</v>
      </c>
      <c r="H559">
        <v>8894</v>
      </c>
      <c r="I559" t="s">
        <v>1154</v>
      </c>
      <c r="J559" t="s">
        <v>1155</v>
      </c>
      <c r="K559" t="s">
        <v>17</v>
      </c>
      <c r="L559" t="str">
        <f t="shared" si="8"/>
        <v xml:space="preserve">{ longitude: -63.5648019831496, latitude: 44.7070074028888, stopType: 'Bus Stop Non-Standard', gotime: \'8894\', location: \'SHUBIE DR &lt;OP&gt; KILTEARN ROW\' }, </v>
      </c>
    </row>
    <row r="560" spans="1:12" x14ac:dyDescent="0.25">
      <c r="A560">
        <v>-63.638299940053599</v>
      </c>
      <c r="B560">
        <v>44.506183359918097</v>
      </c>
      <c r="C560">
        <v>1049</v>
      </c>
      <c r="D560" t="s">
        <v>11</v>
      </c>
      <c r="E560" t="s">
        <v>12</v>
      </c>
      <c r="F560" t="s">
        <v>1091</v>
      </c>
      <c r="G560" t="s">
        <v>1092</v>
      </c>
      <c r="H560">
        <v>7652</v>
      </c>
      <c r="I560" t="s">
        <v>1156</v>
      </c>
      <c r="J560" t="s">
        <v>1157</v>
      </c>
      <c r="K560" t="s">
        <v>17</v>
      </c>
      <c r="L560" t="str">
        <f t="shared" si="8"/>
        <v xml:space="preserve">{ longitude: -63.6382999400536, latitude: 44.5061833599181, stopType: 'Bus Stop Non-Standard', gotime: \'7652\', location: \'OLD SAMBRO RD @ CIVIC 2770\' }, </v>
      </c>
    </row>
    <row r="561" spans="1:12" x14ac:dyDescent="0.25">
      <c r="A561">
        <v>-63.6398332708089</v>
      </c>
      <c r="B561">
        <v>44.510116663467102</v>
      </c>
      <c r="C561">
        <v>1050</v>
      </c>
      <c r="D561" t="s">
        <v>11</v>
      </c>
      <c r="E561" t="s">
        <v>12</v>
      </c>
      <c r="F561" t="s">
        <v>1091</v>
      </c>
      <c r="G561" t="s">
        <v>1092</v>
      </c>
      <c r="H561">
        <v>7653</v>
      </c>
      <c r="I561" t="s">
        <v>1158</v>
      </c>
      <c r="J561" t="s">
        <v>1159</v>
      </c>
      <c r="K561" t="s">
        <v>17</v>
      </c>
      <c r="L561" t="str">
        <f t="shared" si="8"/>
        <v xml:space="preserve">{ longitude: -63.6398332708089, latitude: 44.5101166634671, stopType: 'Bus Stop Non-Standard', gotime: \'7653\', location: \'OLD SAMBRO RD @ HONEY CRT\' }, </v>
      </c>
    </row>
    <row r="562" spans="1:12" x14ac:dyDescent="0.25">
      <c r="A562">
        <v>-63.641566670006398</v>
      </c>
      <c r="B562">
        <v>44.517100009966498</v>
      </c>
      <c r="C562">
        <v>1051</v>
      </c>
      <c r="D562" t="s">
        <v>11</v>
      </c>
      <c r="E562" t="s">
        <v>12</v>
      </c>
      <c r="F562" t="s">
        <v>1091</v>
      </c>
      <c r="G562" t="s">
        <v>1092</v>
      </c>
      <c r="H562">
        <v>7654</v>
      </c>
      <c r="I562" t="s">
        <v>1160</v>
      </c>
      <c r="J562" t="s">
        <v>1161</v>
      </c>
      <c r="K562" t="s">
        <v>17</v>
      </c>
      <c r="L562" t="str">
        <f t="shared" si="8"/>
        <v xml:space="preserve">{ longitude: -63.6415666700064, latitude: 44.5171000099665, stopType: 'Bus Stop Non-Standard', gotime: \'7654\', location: \'OLD SAMBRO RD @ GROVER DR\' }, </v>
      </c>
    </row>
    <row r="563" spans="1:12" x14ac:dyDescent="0.25">
      <c r="A563">
        <v>-63.641626121215197</v>
      </c>
      <c r="B563">
        <v>44.5203159668214</v>
      </c>
      <c r="C563">
        <v>1052</v>
      </c>
      <c r="D563" t="s">
        <v>11</v>
      </c>
      <c r="E563" t="s">
        <v>12</v>
      </c>
      <c r="F563" t="s">
        <v>1091</v>
      </c>
      <c r="G563" t="s">
        <v>1092</v>
      </c>
      <c r="H563">
        <v>7655</v>
      </c>
      <c r="I563" t="s">
        <v>1162</v>
      </c>
      <c r="J563" t="s">
        <v>1163</v>
      </c>
      <c r="K563" t="s">
        <v>17</v>
      </c>
      <c r="L563" t="str">
        <f t="shared" si="8"/>
        <v xml:space="preserve">{ longitude: -63.6416261212152, latitude: 44.5203159668214, stopType: 'Bus Stop Non-Standard', gotime: \'7655\', location: \'OLD SAMBRO RD @ HAZEL ST\' }, </v>
      </c>
    </row>
    <row r="564" spans="1:12" x14ac:dyDescent="0.25">
      <c r="A564">
        <v>-63.636868617050297</v>
      </c>
      <c r="B564">
        <v>44.635440779770498</v>
      </c>
      <c r="C564">
        <v>1053</v>
      </c>
      <c r="D564" t="s">
        <v>29</v>
      </c>
      <c r="E564" t="s">
        <v>12</v>
      </c>
      <c r="F564" t="s">
        <v>1091</v>
      </c>
      <c r="G564" t="s">
        <v>1131</v>
      </c>
      <c r="H564">
        <v>8806</v>
      </c>
      <c r="I564" t="s">
        <v>1164</v>
      </c>
      <c r="J564" t="s">
        <v>1165</v>
      </c>
      <c r="K564" t="s">
        <v>17</v>
      </c>
      <c r="L564" t="str">
        <f t="shared" si="8"/>
        <v xml:space="preserve">{ longitude: -63.6368686170503, latitude: 44.6354407797705, stopType: 'Bus Stop Accessible', gotime: \'8806\', location: \'WALTER HAVILL DR &lt;FS&gt; STONEGATE DR\' }, </v>
      </c>
    </row>
    <row r="565" spans="1:12" x14ac:dyDescent="0.25">
      <c r="A565">
        <v>-63.665168626858701</v>
      </c>
      <c r="B565">
        <v>44.627424086123597</v>
      </c>
      <c r="C565">
        <v>1054</v>
      </c>
      <c r="D565" t="s">
        <v>103</v>
      </c>
      <c r="E565" t="s">
        <v>12</v>
      </c>
      <c r="F565" t="s">
        <v>1091</v>
      </c>
      <c r="G565" t="s">
        <v>65</v>
      </c>
      <c r="H565">
        <v>8807</v>
      </c>
      <c r="I565" t="s">
        <v>1166</v>
      </c>
      <c r="J565" t="s">
        <v>1167</v>
      </c>
      <c r="K565" t="s">
        <v>17</v>
      </c>
      <c r="L565" t="str">
        <f t="shared" si="8"/>
        <v xml:space="preserve">{ longitude: -63.6651686268587, latitude: 44.6274240861236, stopType: 'Bus Stop Inaccessible', gotime: \'8807\', location: \'RAGGED LAKE BLVD &lt;FS&gt; PROSPECT RD\' }, </v>
      </c>
    </row>
    <row r="566" spans="1:12" x14ac:dyDescent="0.25">
      <c r="A566">
        <v>-63.669301906193702</v>
      </c>
      <c r="B566">
        <v>44.6301907057778</v>
      </c>
      <c r="C566">
        <v>1055</v>
      </c>
      <c r="D566" t="s">
        <v>29</v>
      </c>
      <c r="E566" t="s">
        <v>12</v>
      </c>
      <c r="F566" t="s">
        <v>1091</v>
      </c>
      <c r="G566" t="s">
        <v>1131</v>
      </c>
      <c r="H566">
        <v>9052</v>
      </c>
      <c r="I566" t="s">
        <v>1168</v>
      </c>
      <c r="J566" t="s">
        <v>1169</v>
      </c>
      <c r="K566" t="s">
        <v>17</v>
      </c>
      <c r="L566" t="str">
        <f t="shared" si="8"/>
        <v xml:space="preserve">{ longitude: -63.6693019061937, latitude: 44.6301907057778, stopType: 'Bus Stop Accessible', gotime: \'9052\', location: \'RAGGED LAKE TRANSIT CENTRE\' }, </v>
      </c>
    </row>
    <row r="567" spans="1:12" x14ac:dyDescent="0.25">
      <c r="A567">
        <v>-63.665218607021302</v>
      </c>
      <c r="B567">
        <v>44.627357402925</v>
      </c>
      <c r="C567">
        <v>1056</v>
      </c>
      <c r="D567" t="s">
        <v>103</v>
      </c>
      <c r="E567" t="s">
        <v>12</v>
      </c>
      <c r="F567" t="s">
        <v>1091</v>
      </c>
      <c r="G567" t="s">
        <v>65</v>
      </c>
      <c r="H567">
        <v>8808</v>
      </c>
      <c r="I567" t="s">
        <v>1170</v>
      </c>
      <c r="J567" t="s">
        <v>1171</v>
      </c>
      <c r="K567" t="s">
        <v>17</v>
      </c>
      <c r="L567" t="str">
        <f t="shared" si="8"/>
        <v xml:space="preserve">{ longitude: -63.6652186070213, latitude: 44.627357402925, stopType: 'Bus Stop Inaccessible', gotime: \'8808\', location: \'RAGGED LAKE BLVD &lt;NS&gt; PROSPECT RD\' }, </v>
      </c>
    </row>
    <row r="568" spans="1:12" x14ac:dyDescent="0.25">
      <c r="A568">
        <v>-63.637035338697203</v>
      </c>
      <c r="B568">
        <v>44.635324052450798</v>
      </c>
      <c r="C568">
        <v>1057</v>
      </c>
      <c r="D568" t="s">
        <v>29</v>
      </c>
      <c r="E568" t="s">
        <v>12</v>
      </c>
      <c r="F568" t="s">
        <v>1091</v>
      </c>
      <c r="G568" t="s">
        <v>1131</v>
      </c>
      <c r="H568">
        <v>8809</v>
      </c>
      <c r="I568" t="s">
        <v>1172</v>
      </c>
      <c r="J568" t="s">
        <v>1173</v>
      </c>
      <c r="K568" t="s">
        <v>17</v>
      </c>
      <c r="L568" t="str">
        <f t="shared" si="8"/>
        <v xml:space="preserve">{ longitude: -63.6370353386972, latitude: 44.6353240524508, stopType: 'Bus Stop Accessible', gotime: \'8809\', location: \'WALTER HAVILL DR &lt;FS&gt; NW ARM DR\' }, </v>
      </c>
    </row>
    <row r="569" spans="1:12" x14ac:dyDescent="0.25">
      <c r="A569">
        <v>-63.6350578127308</v>
      </c>
      <c r="B569">
        <v>44.634994909524302</v>
      </c>
      <c r="C569">
        <v>1058</v>
      </c>
      <c r="D569" t="s">
        <v>29</v>
      </c>
      <c r="E569" t="s">
        <v>12</v>
      </c>
      <c r="F569" t="s">
        <v>1091</v>
      </c>
      <c r="G569" t="s">
        <v>1131</v>
      </c>
      <c r="H569">
        <v>8810</v>
      </c>
      <c r="I569" t="s">
        <v>1174</v>
      </c>
      <c r="J569" t="s">
        <v>1175</v>
      </c>
      <c r="K569" t="s">
        <v>17</v>
      </c>
      <c r="L569" t="str">
        <f t="shared" si="8"/>
        <v xml:space="preserve">{ longitude: -63.6350578127308, latitude: 44.6349949095243, stopType: 'Bus Stop Accessible', gotime: \'8810\', location: \'WALTER HAVILL DR &lt;AT&gt; CIVIC 150\' }, </v>
      </c>
    </row>
    <row r="570" spans="1:12" x14ac:dyDescent="0.25">
      <c r="A570">
        <v>-63.641750059837101</v>
      </c>
      <c r="B570">
        <v>44.528333345625903</v>
      </c>
      <c r="C570">
        <v>1059</v>
      </c>
      <c r="D570" t="s">
        <v>11</v>
      </c>
      <c r="E570" t="s">
        <v>12</v>
      </c>
      <c r="F570" t="s">
        <v>1091</v>
      </c>
      <c r="G570" t="s">
        <v>1092</v>
      </c>
      <c r="H570">
        <v>7656</v>
      </c>
      <c r="I570" t="s">
        <v>1176</v>
      </c>
      <c r="J570" t="s">
        <v>1177</v>
      </c>
      <c r="K570" t="s">
        <v>17</v>
      </c>
      <c r="L570" t="str">
        <f t="shared" si="8"/>
        <v xml:space="preserve">{ longitude: -63.6417500598371, latitude: 44.5283333456259, stopType: 'Bus Stop Non-Standard', gotime: \'7656\', location: \'OLD SAMBRO RD @ 2198\' }, </v>
      </c>
    </row>
    <row r="571" spans="1:12" x14ac:dyDescent="0.25">
      <c r="A571">
        <v>-63.6418166036716</v>
      </c>
      <c r="B571">
        <v>44.531050032109398</v>
      </c>
      <c r="C571">
        <v>1060</v>
      </c>
      <c r="D571" t="s">
        <v>11</v>
      </c>
      <c r="E571" t="s">
        <v>12</v>
      </c>
      <c r="F571" t="s">
        <v>1091</v>
      </c>
      <c r="G571" t="s">
        <v>1092</v>
      </c>
      <c r="H571">
        <v>7657</v>
      </c>
      <c r="I571" t="s">
        <v>1178</v>
      </c>
      <c r="J571" t="s">
        <v>1179</v>
      </c>
      <c r="K571" t="s">
        <v>17</v>
      </c>
      <c r="L571" t="str">
        <f t="shared" si="8"/>
        <v xml:space="preserve">{ longitude: -63.6418166036716, latitude: 44.5310500321094, stopType: 'Bus Stop Non-Standard', gotime: \'7657\', location: \'OLD SAMBRO RD @ FRANCIE DR\' }, </v>
      </c>
    </row>
    <row r="572" spans="1:12" x14ac:dyDescent="0.25">
      <c r="A572">
        <v>-63.635540269623696</v>
      </c>
      <c r="B572">
        <v>44.665398070317998</v>
      </c>
      <c r="C572">
        <v>1061</v>
      </c>
      <c r="D572" t="s">
        <v>103</v>
      </c>
      <c r="E572" t="s">
        <v>12</v>
      </c>
      <c r="F572" t="s">
        <v>13</v>
      </c>
      <c r="G572" t="s">
        <v>65</v>
      </c>
      <c r="H572">
        <v>6289</v>
      </c>
      <c r="I572" t="s">
        <v>1180</v>
      </c>
      <c r="J572" s="1" t="s">
        <v>1181</v>
      </c>
      <c r="K572" t="s">
        <v>17</v>
      </c>
      <c r="L572" t="str">
        <f t="shared" si="8"/>
        <v xml:space="preserve">{ longitude: -63.6355402696237, latitude: 44.665398070318, stopType: 'Bus Stop Inaccessible', gotime: \'6289\', location: \'BEDFORD HWY OPP CIVIC 58\' }, </v>
      </c>
    </row>
    <row r="573" spans="1:12" x14ac:dyDescent="0.25">
      <c r="A573">
        <v>-63.6715177366668</v>
      </c>
      <c r="B573">
        <v>44.711169523446301</v>
      </c>
      <c r="C573">
        <v>1062</v>
      </c>
      <c r="D573" t="s">
        <v>103</v>
      </c>
      <c r="E573" t="s">
        <v>12</v>
      </c>
      <c r="F573" t="s">
        <v>25</v>
      </c>
      <c r="G573" t="s">
        <v>65</v>
      </c>
      <c r="H573">
        <v>6290</v>
      </c>
      <c r="I573" t="s">
        <v>1182</v>
      </c>
      <c r="J573" t="s">
        <v>1183</v>
      </c>
      <c r="K573" t="s">
        <v>17</v>
      </c>
      <c r="L573" t="str">
        <f t="shared" si="8"/>
        <v xml:space="preserve">{ longitude: -63.6715177366668, latitude: 44.7111695234463, stopType: 'Bus Stop Inaccessible', gotime: \'6290\', location: \'BEDFORD HWY OPP CIVIC 838\' }, </v>
      </c>
    </row>
    <row r="574" spans="1:12" x14ac:dyDescent="0.25">
      <c r="A574">
        <v>-63.589264232567203</v>
      </c>
      <c r="B574">
        <v>44.646985066907597</v>
      </c>
      <c r="C574">
        <v>1063</v>
      </c>
      <c r="D574" t="s">
        <v>29</v>
      </c>
      <c r="E574" t="s">
        <v>12</v>
      </c>
      <c r="F574" t="s">
        <v>13</v>
      </c>
      <c r="G574" t="s">
        <v>14</v>
      </c>
      <c r="H574">
        <v>6291</v>
      </c>
      <c r="I574" t="s">
        <v>1184</v>
      </c>
      <c r="J574" t="s">
        <v>1185</v>
      </c>
      <c r="K574" t="s">
        <v>17</v>
      </c>
      <c r="L574" t="str">
        <f t="shared" si="8"/>
        <v xml:space="preserve">{ longitude: -63.5892642325672, latitude: 44.6469850669076, stopType: 'Bus Stop Accessible', gotime: \'6291\', location: \'BELL RD AT QE2 &lt;EB&gt;\' }, </v>
      </c>
    </row>
    <row r="575" spans="1:12" x14ac:dyDescent="0.25">
      <c r="A575">
        <v>-63.527148831297701</v>
      </c>
      <c r="B575">
        <v>44.677218015049299</v>
      </c>
      <c r="C575">
        <v>1064</v>
      </c>
      <c r="D575" t="s">
        <v>103</v>
      </c>
      <c r="E575" t="s">
        <v>12</v>
      </c>
      <c r="F575" t="s">
        <v>25</v>
      </c>
      <c r="G575" t="s">
        <v>65</v>
      </c>
      <c r="H575">
        <v>6292</v>
      </c>
      <c r="I575" t="s">
        <v>1186</v>
      </c>
      <c r="J575" t="s">
        <v>1187</v>
      </c>
      <c r="K575" t="s">
        <v>17</v>
      </c>
      <c r="L575" t="str">
        <f t="shared" si="8"/>
        <v xml:space="preserve">{ longitude: -63.5271488312977, latitude: 44.6772180150493, stopType: 'Bus Stop Inaccessible', gotime: \'6292\', location: \'BELLEVISTA DR FS WOODLAWN RD\' }, </v>
      </c>
    </row>
    <row r="576" spans="1:12" x14ac:dyDescent="0.25">
      <c r="A576">
        <v>-63.514867380273998</v>
      </c>
      <c r="B576">
        <v>44.679956641301601</v>
      </c>
      <c r="C576">
        <v>1065</v>
      </c>
      <c r="D576" t="s">
        <v>11</v>
      </c>
      <c r="E576" t="s">
        <v>12</v>
      </c>
      <c r="F576" t="s">
        <v>25</v>
      </c>
      <c r="G576" t="s">
        <v>26</v>
      </c>
      <c r="H576">
        <v>6293</v>
      </c>
      <c r="I576" t="s">
        <v>1188</v>
      </c>
      <c r="J576" t="s">
        <v>1189</v>
      </c>
      <c r="K576" t="s">
        <v>17</v>
      </c>
      <c r="L576" t="str">
        <f t="shared" si="8"/>
        <v xml:space="preserve">{ longitude: -63.514867380274, latitude: 44.6799566413016, stopType: 'Bus Stop Non-Standard', gotime: \'6293\', location: \'BELLEVISTA DR AT CIVIC 35\' }, </v>
      </c>
    </row>
    <row r="577" spans="1:12" x14ac:dyDescent="0.25">
      <c r="A577">
        <v>-63.517764623214703</v>
      </c>
      <c r="B577">
        <v>44.6786994976</v>
      </c>
      <c r="C577">
        <v>1066</v>
      </c>
      <c r="D577" t="s">
        <v>11</v>
      </c>
      <c r="E577" t="s">
        <v>12</v>
      </c>
      <c r="F577" t="s">
        <v>13</v>
      </c>
      <c r="G577" t="s">
        <v>14</v>
      </c>
      <c r="H577">
        <v>6294</v>
      </c>
      <c r="I577" t="s">
        <v>1190</v>
      </c>
      <c r="J577" t="s">
        <v>1191</v>
      </c>
      <c r="K577" t="s">
        <v>17</v>
      </c>
      <c r="L577" t="str">
        <f t="shared" si="8"/>
        <v xml:space="preserve">{ longitude: -63.5177646232147, latitude: 44.6786994976, stopType: 'Bus Stop Non-Standard', gotime: \'6294\', location: \'BELLEVISTA DR NS CIVIC 71\' }, </v>
      </c>
    </row>
    <row r="578" spans="1:12" x14ac:dyDescent="0.25">
      <c r="A578">
        <v>-63.637078325573597</v>
      </c>
      <c r="B578">
        <v>44.659148126528002</v>
      </c>
      <c r="C578">
        <v>1067</v>
      </c>
      <c r="D578" t="s">
        <v>11</v>
      </c>
      <c r="E578" t="s">
        <v>12</v>
      </c>
      <c r="F578" t="s">
        <v>25</v>
      </c>
      <c r="G578" t="s">
        <v>26</v>
      </c>
      <c r="H578">
        <v>6295</v>
      </c>
      <c r="I578" t="s">
        <v>1192</v>
      </c>
      <c r="J578" t="s">
        <v>1193</v>
      </c>
      <c r="K578" t="s">
        <v>17</v>
      </c>
      <c r="L578" t="str">
        <f t="shared" si="8"/>
        <v xml:space="preserve">{ longitude: -63.6370783255736, latitude: 44.659148126528, stopType: 'Bus Stop Non-Standard', gotime: \'6295\', location: \'BERTS DR AT MAIN AVE  TO VICTORIA RD MANOR\' }, </v>
      </c>
    </row>
    <row r="579" spans="1:12" x14ac:dyDescent="0.25">
      <c r="A579">
        <v>-63.500397574616798</v>
      </c>
      <c r="B579">
        <v>44.616922532893398</v>
      </c>
      <c r="C579">
        <v>1068</v>
      </c>
      <c r="D579" t="s">
        <v>18</v>
      </c>
      <c r="E579" t="s">
        <v>12</v>
      </c>
      <c r="F579" t="s">
        <v>25</v>
      </c>
      <c r="G579" t="s">
        <v>19</v>
      </c>
      <c r="H579">
        <v>8015</v>
      </c>
      <c r="I579" t="s">
        <v>1194</v>
      </c>
      <c r="J579" t="s">
        <v>1195</v>
      </c>
      <c r="K579" t="s">
        <v>17</v>
      </c>
      <c r="L579" t="str">
        <f t="shared" ref="L579:L642" si="9">CONCATENATE( "{ longitude: ", A579, ", latitude: ", B579, ", stopType: '", D579, "', gotime: \'", H579, "\', location: \'", I579, "\' }, ")</f>
        <v xml:space="preserve">{ longitude: -63.5003975746168, latitude: 44.6169225328934, stopType: 'Bus Stop Shelter Non-Standard', gotime: \'8015\', location: \'PLEASANT ST OPP LEGION\' }, </v>
      </c>
    </row>
    <row r="580" spans="1:12" x14ac:dyDescent="0.25">
      <c r="A580">
        <v>-63.559070560310701</v>
      </c>
      <c r="B580">
        <v>44.668044774147603</v>
      </c>
      <c r="C580">
        <v>1069</v>
      </c>
      <c r="D580" t="s">
        <v>29</v>
      </c>
      <c r="E580" t="s">
        <v>12</v>
      </c>
      <c r="F580" t="s">
        <v>25</v>
      </c>
      <c r="G580" t="s">
        <v>26</v>
      </c>
      <c r="H580">
        <v>8016</v>
      </c>
      <c r="I580" t="s">
        <v>1196</v>
      </c>
      <c r="J580" t="s">
        <v>1197</v>
      </c>
      <c r="K580" t="s">
        <v>17</v>
      </c>
      <c r="L580" t="str">
        <f t="shared" si="9"/>
        <v xml:space="preserve">{ longitude: -63.5590705603107, latitude: 44.6680447741476, stopType: 'Bus Stop Accessible', gotime: \'8016\', location: \'PLEASANT ST NS PORTLAND ST ST CIVIC 61\' }, </v>
      </c>
    </row>
    <row r="581" spans="1:12" x14ac:dyDescent="0.25">
      <c r="A581">
        <v>-63.547345404189102</v>
      </c>
      <c r="B581">
        <v>44.651730554042203</v>
      </c>
      <c r="C581">
        <v>1070</v>
      </c>
      <c r="D581" t="s">
        <v>22</v>
      </c>
      <c r="E581" t="s">
        <v>12</v>
      </c>
      <c r="F581" t="s">
        <v>13</v>
      </c>
      <c r="G581" t="s">
        <v>19</v>
      </c>
      <c r="H581">
        <v>8017</v>
      </c>
      <c r="I581" t="s">
        <v>1198</v>
      </c>
      <c r="J581" t="s">
        <v>1199</v>
      </c>
      <c r="K581" t="s">
        <v>17</v>
      </c>
      <c r="L581" t="str">
        <f t="shared" si="9"/>
        <v xml:space="preserve">{ longitude: -63.5473454041891, latitude: 44.6517305540422, stopType: 'Bus Stop Shelter Accessible', gotime: \'8017\', location: \'PLEASANT ST OPP NS HOSPITAL\' }, </v>
      </c>
    </row>
    <row r="582" spans="1:12" x14ac:dyDescent="0.25">
      <c r="A582">
        <v>-63.519420654097999</v>
      </c>
      <c r="B582">
        <v>44.629548769545501</v>
      </c>
      <c r="C582">
        <v>1071</v>
      </c>
      <c r="D582" t="s">
        <v>29</v>
      </c>
      <c r="E582" t="s">
        <v>12</v>
      </c>
      <c r="F582" t="s">
        <v>13</v>
      </c>
      <c r="G582" t="s">
        <v>14</v>
      </c>
      <c r="H582">
        <v>8018</v>
      </c>
      <c r="I582" t="s">
        <v>1200</v>
      </c>
      <c r="J582" t="s">
        <v>1201</v>
      </c>
      <c r="K582" t="s">
        <v>17</v>
      </c>
      <c r="L582" t="str">
        <f t="shared" si="9"/>
        <v xml:space="preserve">{ longitude: -63.519420654098, latitude: 44.6295487695455, stopType: 'Bus Stop Accessible', gotime: \'8018\', location: \'PLEASANT ST OPP NSP SUB STATION &lt;SB&gt;\' }, </v>
      </c>
    </row>
    <row r="583" spans="1:12" x14ac:dyDescent="0.25">
      <c r="A583">
        <v>-63.521645868188699</v>
      </c>
      <c r="B583">
        <v>44.6316862263036</v>
      </c>
      <c r="C583">
        <v>1072</v>
      </c>
      <c r="D583" t="s">
        <v>29</v>
      </c>
      <c r="E583" t="s">
        <v>12</v>
      </c>
      <c r="F583" t="s">
        <v>25</v>
      </c>
      <c r="G583" t="s">
        <v>199</v>
      </c>
      <c r="H583">
        <v>8019</v>
      </c>
      <c r="I583" t="s">
        <v>1202</v>
      </c>
      <c r="J583" t="s">
        <v>1203</v>
      </c>
      <c r="K583" t="s">
        <v>17</v>
      </c>
      <c r="L583" t="str">
        <f t="shared" si="9"/>
        <v xml:space="preserve">{ longitude: -63.5216458681887, latitude: 44.6316862263036, stopType: 'Bus Stop Accessible', gotime: \'8019\', location: \'PLEASANT ST OPP SHEARWATER PMQS\' }, </v>
      </c>
    </row>
    <row r="584" spans="1:12" x14ac:dyDescent="0.25">
      <c r="A584">
        <v>-63.467101415182803</v>
      </c>
      <c r="B584">
        <v>44.703896780620703</v>
      </c>
      <c r="C584">
        <v>1073</v>
      </c>
      <c r="D584" t="s">
        <v>11</v>
      </c>
      <c r="E584" t="s">
        <v>12</v>
      </c>
      <c r="F584" t="s">
        <v>25</v>
      </c>
      <c r="G584" t="s">
        <v>26</v>
      </c>
      <c r="H584">
        <v>8020</v>
      </c>
      <c r="I584" t="s">
        <v>1204</v>
      </c>
      <c r="J584" t="s">
        <v>1205</v>
      </c>
      <c r="K584" t="s">
        <v>17</v>
      </c>
      <c r="L584" t="str">
        <f t="shared" si="9"/>
        <v xml:space="preserve">{ longitude: -63.4671014151828, latitude: 44.7038967806207, stopType: 'Bus Stop Non-Standard', gotime: \'8020\', location: \'LAKE MAJOR RD NS HWY #7\' }, </v>
      </c>
    </row>
    <row r="585" spans="1:12" x14ac:dyDescent="0.25">
      <c r="A585">
        <v>-63.571718734264799</v>
      </c>
      <c r="B585">
        <v>44.627014836072398</v>
      </c>
      <c r="C585">
        <v>1074</v>
      </c>
      <c r="D585" t="s">
        <v>22</v>
      </c>
      <c r="E585" t="s">
        <v>12</v>
      </c>
      <c r="F585" t="s">
        <v>13</v>
      </c>
      <c r="G585" t="s">
        <v>14</v>
      </c>
      <c r="H585">
        <v>8021</v>
      </c>
      <c r="I585" t="s">
        <v>1206</v>
      </c>
      <c r="J585" t="s">
        <v>1207</v>
      </c>
      <c r="K585" t="s">
        <v>17</v>
      </c>
      <c r="L585" t="str">
        <f t="shared" si="9"/>
        <v xml:space="preserve">{ longitude: -63.5717187342648, latitude: 44.6270148360724, stopType: 'Bus Stop Shelter Accessible', gotime: \'8021\', location: \'POINT PLEASANT AT YOUNG ST &lt;WB&gt;\' }, </v>
      </c>
    </row>
    <row r="586" spans="1:12" x14ac:dyDescent="0.25">
      <c r="A586">
        <v>-63.7082973512452</v>
      </c>
      <c r="B586">
        <v>44.707281570165499</v>
      </c>
      <c r="C586">
        <v>1075</v>
      </c>
      <c r="D586" t="s">
        <v>103</v>
      </c>
      <c r="E586" t="s">
        <v>12</v>
      </c>
      <c r="F586" t="s">
        <v>25</v>
      </c>
      <c r="G586" t="s">
        <v>65</v>
      </c>
      <c r="H586">
        <v>7022</v>
      </c>
      <c r="I586" t="s">
        <v>1208</v>
      </c>
      <c r="J586" t="s">
        <v>1209</v>
      </c>
      <c r="K586" t="s">
        <v>17</v>
      </c>
      <c r="L586" t="str">
        <f t="shared" si="9"/>
        <v xml:space="preserve">{ longitude: -63.7082973512452, latitude: 44.7072815701655, stopType: 'Bus Stop Inaccessible', gotime: \'7022\', location: \'KEARNEY LAKE RD FS MATHESON WIN\' }, </v>
      </c>
    </row>
    <row r="587" spans="1:12" x14ac:dyDescent="0.25">
      <c r="A587">
        <v>-63.6675238060187</v>
      </c>
      <c r="B587">
        <v>44.681242851725699</v>
      </c>
      <c r="C587">
        <v>1076</v>
      </c>
      <c r="D587" t="s">
        <v>11</v>
      </c>
      <c r="E587" t="s">
        <v>12</v>
      </c>
      <c r="F587" t="s">
        <v>13</v>
      </c>
      <c r="G587" t="s">
        <v>14</v>
      </c>
      <c r="H587">
        <v>7023</v>
      </c>
      <c r="I587" t="s">
        <v>1210</v>
      </c>
      <c r="J587" t="s">
        <v>1211</v>
      </c>
      <c r="K587" t="s">
        <v>17</v>
      </c>
      <c r="L587" t="str">
        <f t="shared" si="9"/>
        <v xml:space="preserve">{ longitude: -63.6675238060187, latitude: 44.6812428517257, stopType: 'Bus Stop Non-Standard', gotime: \'7023\', location: \'KEARNEY LAKE RD FS WEDGEWOOD AVE\' }, </v>
      </c>
    </row>
    <row r="588" spans="1:12" x14ac:dyDescent="0.25">
      <c r="A588">
        <v>-63.670916195035403</v>
      </c>
      <c r="B588">
        <v>44.683134252214302</v>
      </c>
      <c r="C588">
        <v>1077</v>
      </c>
      <c r="D588" t="s">
        <v>22</v>
      </c>
      <c r="E588" t="s">
        <v>12</v>
      </c>
      <c r="F588" t="s">
        <v>13</v>
      </c>
      <c r="G588" t="s">
        <v>14</v>
      </c>
      <c r="H588">
        <v>7024</v>
      </c>
      <c r="I588" t="s">
        <v>1212</v>
      </c>
      <c r="J588" t="s">
        <v>1213</v>
      </c>
      <c r="K588" t="s">
        <v>17</v>
      </c>
      <c r="L588" t="str">
        <f t="shared" si="9"/>
        <v xml:space="preserve">{ longitude: -63.6709161950354, latitude: 44.6831342522143, stopType: 'Bus Stop Shelter Accessible', gotime: \'7024\', location: \'KEARNEY LAKE RD AT CAMBRIA PARK &lt;NB&gt;\' }, </v>
      </c>
    </row>
    <row r="589" spans="1:12" x14ac:dyDescent="0.25">
      <c r="A589">
        <v>-63.665708581141097</v>
      </c>
      <c r="B589">
        <v>44.681481777324898</v>
      </c>
      <c r="C589">
        <v>1078</v>
      </c>
      <c r="D589" t="s">
        <v>29</v>
      </c>
      <c r="E589" t="s">
        <v>12</v>
      </c>
      <c r="F589" t="s">
        <v>13</v>
      </c>
      <c r="G589" t="s">
        <v>19</v>
      </c>
      <c r="H589">
        <v>7025</v>
      </c>
      <c r="I589" t="s">
        <v>1214</v>
      </c>
      <c r="J589" t="s">
        <v>1215</v>
      </c>
      <c r="K589" t="s">
        <v>17</v>
      </c>
      <c r="L589" t="str">
        <f t="shared" si="9"/>
        <v xml:space="preserve">{ longitude: -63.6657085811411, latitude: 44.6814817773249, stopType: 'Bus Stop Accessible', gotime: \'7025\', location: \'KEARNEY LAKE RD AT CIVIC 47\' }, </v>
      </c>
    </row>
    <row r="590" spans="1:12" x14ac:dyDescent="0.25">
      <c r="A590">
        <v>-63.706381553650097</v>
      </c>
      <c r="B590">
        <v>44.704803349361697</v>
      </c>
      <c r="C590">
        <v>1079</v>
      </c>
      <c r="D590" t="s">
        <v>11</v>
      </c>
      <c r="E590" t="s">
        <v>12</v>
      </c>
      <c r="F590" t="s">
        <v>13</v>
      </c>
      <c r="G590" t="s">
        <v>14</v>
      </c>
      <c r="H590">
        <v>7027</v>
      </c>
      <c r="I590" t="s">
        <v>1216</v>
      </c>
      <c r="J590" t="s">
        <v>1217</v>
      </c>
      <c r="K590" t="s">
        <v>17</v>
      </c>
      <c r="L590" t="str">
        <f t="shared" si="9"/>
        <v xml:space="preserve">{ longitude: -63.7063815536501, latitude: 44.7048033493617, stopType: 'Bus Stop Non-Standard', gotime: \'7027\', location: \'KEARNEY LAKE RD NS K.L. ESTATES\' }, </v>
      </c>
    </row>
    <row r="591" spans="1:12" x14ac:dyDescent="0.25">
      <c r="A591">
        <v>-63.671062296663102</v>
      </c>
      <c r="B591">
        <v>44.682999957026396</v>
      </c>
      <c r="C591">
        <v>1080</v>
      </c>
      <c r="D591" t="s">
        <v>11</v>
      </c>
      <c r="E591" t="s">
        <v>12</v>
      </c>
      <c r="F591" t="s">
        <v>13</v>
      </c>
      <c r="G591" t="s">
        <v>14</v>
      </c>
      <c r="H591">
        <v>7028</v>
      </c>
      <c r="I591" t="s">
        <v>1218</v>
      </c>
      <c r="J591" t="s">
        <v>1219</v>
      </c>
      <c r="K591" t="s">
        <v>17</v>
      </c>
      <c r="L591" t="str">
        <f t="shared" si="9"/>
        <v xml:space="preserve">{ longitude: -63.6710622966631, latitude: 44.6829999570264, stopType: 'Bus Stop Non-Standard', gotime: \'7028\', location: \'KEARNEY LAKE RD OPP CAMBRIA PARK\' }, </v>
      </c>
    </row>
    <row r="592" spans="1:12" x14ac:dyDescent="0.25">
      <c r="A592">
        <v>-63.728866291999303</v>
      </c>
      <c r="B592">
        <v>44.721659792037698</v>
      </c>
      <c r="C592">
        <v>1081</v>
      </c>
      <c r="D592" t="s">
        <v>103</v>
      </c>
      <c r="E592" t="s">
        <v>12</v>
      </c>
      <c r="F592" t="s">
        <v>25</v>
      </c>
      <c r="G592" t="s">
        <v>65</v>
      </c>
      <c r="H592">
        <v>7029</v>
      </c>
      <c r="I592" t="s">
        <v>1220</v>
      </c>
      <c r="J592" t="s">
        <v>1221</v>
      </c>
      <c r="K592" t="s">
        <v>17</v>
      </c>
      <c r="L592" t="str">
        <f t="shared" si="9"/>
        <v xml:space="preserve">{ longitude: -63.7288662919993, latitude: 44.7216597920377, stopType: 'Bus Stop Inaccessible', gotime: \'7029\', location: \'KEARNEY LAKE RD OPP FS FRASER CONSTRUCTION\' }, </v>
      </c>
    </row>
    <row r="593" spans="1:12" x14ac:dyDescent="0.25">
      <c r="A593">
        <v>-63.683363921640101</v>
      </c>
      <c r="B593">
        <v>44.688170635497102</v>
      </c>
      <c r="C593">
        <v>1082</v>
      </c>
      <c r="D593" t="s">
        <v>103</v>
      </c>
      <c r="E593" t="s">
        <v>12</v>
      </c>
      <c r="F593" t="s">
        <v>25</v>
      </c>
      <c r="G593" t="s">
        <v>65</v>
      </c>
      <c r="H593">
        <v>7030</v>
      </c>
      <c r="I593" t="s">
        <v>1222</v>
      </c>
      <c r="J593" t="s">
        <v>1223</v>
      </c>
      <c r="K593" t="s">
        <v>17</v>
      </c>
      <c r="L593" t="str">
        <f t="shared" si="9"/>
        <v xml:space="preserve">{ longitude: -63.6833639216401, latitude: 44.6881706354971, stopType: 'Bus Stop Inaccessible', gotime: \'7030\', location: \'KEARNEY LAKE RD OPP LAFARGE CONSTRUCTION\' }, </v>
      </c>
    </row>
    <row r="594" spans="1:12" x14ac:dyDescent="0.25">
      <c r="A594">
        <v>-63.695922925786</v>
      </c>
      <c r="B594">
        <v>44.696836470698699</v>
      </c>
      <c r="C594">
        <v>1083</v>
      </c>
      <c r="D594" t="s">
        <v>103</v>
      </c>
      <c r="E594" t="s">
        <v>12</v>
      </c>
      <c r="F594" t="s">
        <v>25</v>
      </c>
      <c r="G594" t="s">
        <v>65</v>
      </c>
      <c r="H594">
        <v>7031</v>
      </c>
      <c r="I594" t="s">
        <v>1224</v>
      </c>
      <c r="J594" t="s">
        <v>1225</v>
      </c>
      <c r="K594" t="s">
        <v>17</v>
      </c>
      <c r="L594" t="str">
        <f t="shared" si="9"/>
        <v xml:space="preserve">{ longitude: -63.695922925786, latitude: 44.6968364706987, stopType: 'Bus Stop Inaccessible', gotime: \'7031\', location: \'KEARNEY LAKE RD OPP NS CIVIC 377\' }, </v>
      </c>
    </row>
    <row r="595" spans="1:12" x14ac:dyDescent="0.25">
      <c r="A595">
        <v>-63.730874584363903</v>
      </c>
      <c r="B595">
        <v>44.7234732669504</v>
      </c>
      <c r="C595">
        <v>1084</v>
      </c>
      <c r="D595" t="s">
        <v>103</v>
      </c>
      <c r="E595" t="s">
        <v>12</v>
      </c>
      <c r="F595" t="s">
        <v>25</v>
      </c>
      <c r="G595" t="s">
        <v>65</v>
      </c>
      <c r="H595">
        <v>7032</v>
      </c>
      <c r="I595" t="s">
        <v>1226</v>
      </c>
      <c r="J595" t="s">
        <v>1227</v>
      </c>
      <c r="K595" t="s">
        <v>17</v>
      </c>
      <c r="L595" t="str">
        <f t="shared" si="9"/>
        <v xml:space="preserve">{ longitude: -63.7308745843639, latitude: 44.7234732669504, stopType: 'Bus Stop Inaccessible', gotime: \'7032\', location: \'KEARNEY LAKE RD FS HAMMONDS PLAINS RD\' }, </v>
      </c>
    </row>
    <row r="596" spans="1:12" x14ac:dyDescent="0.25">
      <c r="A596">
        <v>-63.669093806889499</v>
      </c>
      <c r="B596">
        <v>44.636180536006698</v>
      </c>
      <c r="C596">
        <v>1085</v>
      </c>
      <c r="D596" t="s">
        <v>18</v>
      </c>
      <c r="E596" t="s">
        <v>12</v>
      </c>
      <c r="F596" t="s">
        <v>13</v>
      </c>
      <c r="G596" t="s">
        <v>14</v>
      </c>
      <c r="H596">
        <v>7119</v>
      </c>
      <c r="I596" t="s">
        <v>1228</v>
      </c>
      <c r="J596" t="s">
        <v>1229</v>
      </c>
      <c r="K596" t="s">
        <v>17</v>
      </c>
      <c r="L596" t="str">
        <f t="shared" si="9"/>
        <v xml:space="preserve">{ longitude: -63.6690938068895, latitude: 44.6361805360067, stopType: 'Bus Stop Shelter Non-Standard', gotime: \'7119\', location: \'LAKELANDS BLVD FS ST MARGARETS BAY RD\' }, </v>
      </c>
    </row>
    <row r="597" spans="1:12" x14ac:dyDescent="0.25">
      <c r="A597">
        <v>-63.6695284248989</v>
      </c>
      <c r="B597">
        <v>44.636091269470903</v>
      </c>
      <c r="C597">
        <v>1086</v>
      </c>
      <c r="D597" t="s">
        <v>103</v>
      </c>
      <c r="E597" t="s">
        <v>12</v>
      </c>
      <c r="F597" t="s">
        <v>13</v>
      </c>
      <c r="G597" t="s">
        <v>65</v>
      </c>
      <c r="H597">
        <v>7120</v>
      </c>
      <c r="I597" t="s">
        <v>1230</v>
      </c>
      <c r="J597" t="s">
        <v>1231</v>
      </c>
      <c r="K597" t="s">
        <v>17</v>
      </c>
      <c r="L597" t="str">
        <f t="shared" si="9"/>
        <v xml:space="preserve">{ longitude: -63.6695284248989, latitude: 44.6360912694709, stopType: 'Bus Stop Inaccessible', gotime: \'7120\', location: \'LAKELANDS BLVD NS ST MARGARETS BAY RD\' }, </v>
      </c>
    </row>
    <row r="598" spans="1:12" x14ac:dyDescent="0.25">
      <c r="A598">
        <v>-63.562364746875701</v>
      </c>
      <c r="B598">
        <v>44.566886933609503</v>
      </c>
      <c r="C598">
        <v>1087</v>
      </c>
      <c r="D598" t="s">
        <v>11</v>
      </c>
      <c r="E598" t="s">
        <v>12</v>
      </c>
      <c r="F598" t="s">
        <v>25</v>
      </c>
      <c r="G598" t="s">
        <v>26</v>
      </c>
      <c r="H598">
        <v>7121</v>
      </c>
      <c r="I598" t="s">
        <v>1232</v>
      </c>
      <c r="J598" t="s">
        <v>1233</v>
      </c>
      <c r="K598" t="s">
        <v>17</v>
      </c>
      <c r="L598" t="str">
        <f t="shared" si="9"/>
        <v xml:space="preserve">{ longitude: -63.5623647468757, latitude: 44.5668869336095, stopType: 'Bus Stop Non-Standard', gotime: \'7121\', location: \'LANCASTER DR NS CIVIC 42\' }, </v>
      </c>
    </row>
    <row r="599" spans="1:12" x14ac:dyDescent="0.25">
      <c r="A599">
        <v>-63.563918627244199</v>
      </c>
      <c r="B599">
        <v>44.564982702904899</v>
      </c>
      <c r="C599">
        <v>1088</v>
      </c>
      <c r="D599" t="s">
        <v>103</v>
      </c>
      <c r="E599" t="s">
        <v>12</v>
      </c>
      <c r="F599" t="s">
        <v>25</v>
      </c>
      <c r="G599" t="s">
        <v>65</v>
      </c>
      <c r="H599">
        <v>7122</v>
      </c>
      <c r="I599" t="s">
        <v>1234</v>
      </c>
      <c r="J599" t="s">
        <v>1235</v>
      </c>
      <c r="K599" t="s">
        <v>17</v>
      </c>
      <c r="L599" t="str">
        <f t="shared" si="9"/>
        <v xml:space="preserve">{ longitude: -63.5639186272442, latitude: 44.5649827029049, stopType: 'Bus Stop Inaccessible', gotime: \'7122\', location: \'LANCASTER DR OPP CIVIC 111\' }, </v>
      </c>
    </row>
    <row r="600" spans="1:12" x14ac:dyDescent="0.25">
      <c r="A600">
        <v>-63.667883888707003</v>
      </c>
      <c r="B600">
        <v>44.673218348967197</v>
      </c>
      <c r="C600">
        <v>1089</v>
      </c>
      <c r="D600" t="s">
        <v>18</v>
      </c>
      <c r="E600" t="s">
        <v>12</v>
      </c>
      <c r="F600" t="s">
        <v>25</v>
      </c>
      <c r="G600" t="s">
        <v>26</v>
      </c>
      <c r="H600">
        <v>7123</v>
      </c>
      <c r="I600" t="s">
        <v>1236</v>
      </c>
      <c r="J600" t="s">
        <v>1237</v>
      </c>
      <c r="K600" t="s">
        <v>17</v>
      </c>
      <c r="L600" t="str">
        <f t="shared" si="9"/>
        <v xml:space="preserve">{ longitude: -63.667883888707, latitude: 44.6732183489672, stopType: 'Bus Stop Shelter Non-Standard', gotime: \'7123\', location: \'LANDSDOWNE DR NS CIVIC 61\' }, </v>
      </c>
    </row>
    <row r="601" spans="1:12" x14ac:dyDescent="0.25">
      <c r="A601">
        <v>-63.7307358574677</v>
      </c>
      <c r="B601">
        <v>44.7234633329088</v>
      </c>
      <c r="C601">
        <v>1090</v>
      </c>
      <c r="D601" t="s">
        <v>103</v>
      </c>
      <c r="E601" t="s">
        <v>12</v>
      </c>
      <c r="F601" t="s">
        <v>25</v>
      </c>
      <c r="G601" t="s">
        <v>65</v>
      </c>
      <c r="H601">
        <v>7033</v>
      </c>
      <c r="I601" t="s">
        <v>1238</v>
      </c>
      <c r="J601" t="s">
        <v>1239</v>
      </c>
      <c r="K601" t="s">
        <v>17</v>
      </c>
      <c r="L601" t="str">
        <f t="shared" si="9"/>
        <v xml:space="preserve">{ longitude: -63.7307358574677, latitude: 44.7234633329088, stopType: 'Bus Stop Inaccessible', gotime: \'7033\', location: \'KEARNEY LAKE RD NS HAMMONDS PLAINS RD\' }, </v>
      </c>
    </row>
    <row r="602" spans="1:12" x14ac:dyDescent="0.25">
      <c r="A602">
        <v>-63.5301580509948</v>
      </c>
      <c r="B602">
        <v>44.673760716846203</v>
      </c>
      <c r="C602">
        <v>1091</v>
      </c>
      <c r="D602" t="s">
        <v>29</v>
      </c>
      <c r="E602" t="s">
        <v>12</v>
      </c>
      <c r="F602" t="s">
        <v>25</v>
      </c>
      <c r="G602" t="s">
        <v>19</v>
      </c>
      <c r="H602">
        <v>7034</v>
      </c>
      <c r="I602" t="s">
        <v>1240</v>
      </c>
      <c r="J602" t="s">
        <v>1241</v>
      </c>
      <c r="K602" t="s">
        <v>17</v>
      </c>
      <c r="L602" t="str">
        <f t="shared" si="9"/>
        <v xml:space="preserve">{ longitude: -63.5301580509948, latitude: 44.6737607168462, stopType: 'Bus Stop Accessible', gotime: \'7034\', location: \'VALLEYFIELD RD AT CIVIC 79\' }, </v>
      </c>
    </row>
    <row r="603" spans="1:12" x14ac:dyDescent="0.25">
      <c r="A603">
        <v>-63.530645075948797</v>
      </c>
      <c r="B603">
        <v>44.6740528432112</v>
      </c>
      <c r="C603">
        <v>1092</v>
      </c>
      <c r="D603" t="s">
        <v>29</v>
      </c>
      <c r="E603" t="s">
        <v>12</v>
      </c>
      <c r="F603" t="s">
        <v>25</v>
      </c>
      <c r="G603" t="s">
        <v>19</v>
      </c>
      <c r="H603">
        <v>7035</v>
      </c>
      <c r="I603" t="s">
        <v>1242</v>
      </c>
      <c r="J603" t="s">
        <v>1243</v>
      </c>
      <c r="K603" t="s">
        <v>17</v>
      </c>
      <c r="L603" t="str">
        <f t="shared" si="9"/>
        <v xml:space="preserve">{ longitude: -63.5306450759488, latitude: 44.6740528432112, stopType: 'Bus Stop Accessible', gotime: \'7035\', location: \'VALLEYFIELD RD NS HILTON DR\' }, </v>
      </c>
    </row>
    <row r="604" spans="1:12" x14ac:dyDescent="0.25">
      <c r="A604">
        <v>-63.531605373305801</v>
      </c>
      <c r="B604">
        <v>44.676220924830901</v>
      </c>
      <c r="C604">
        <v>1093</v>
      </c>
      <c r="D604" t="s">
        <v>29</v>
      </c>
      <c r="E604" t="s">
        <v>12</v>
      </c>
      <c r="F604" t="s">
        <v>25</v>
      </c>
      <c r="G604" t="s">
        <v>26</v>
      </c>
      <c r="H604">
        <v>7036</v>
      </c>
      <c r="I604" t="s">
        <v>1244</v>
      </c>
      <c r="J604" t="s">
        <v>1245</v>
      </c>
      <c r="K604" t="s">
        <v>17</v>
      </c>
      <c r="L604" t="str">
        <f t="shared" si="9"/>
        <v xml:space="preserve">{ longitude: -63.5316053733058, latitude: 44.6762209248309, stopType: 'Bus Stop Accessible', gotime: \'7036\', location: \'VALLEYFIELD RD NS LANGLEY AVE\' }, </v>
      </c>
    </row>
    <row r="605" spans="1:12" x14ac:dyDescent="0.25">
      <c r="A605">
        <v>-63.531256750844399</v>
      </c>
      <c r="B605">
        <v>44.6759479762623</v>
      </c>
      <c r="C605">
        <v>1094</v>
      </c>
      <c r="D605" t="s">
        <v>29</v>
      </c>
      <c r="E605" t="s">
        <v>12</v>
      </c>
      <c r="F605" t="s">
        <v>25</v>
      </c>
      <c r="G605" t="s">
        <v>26</v>
      </c>
      <c r="H605">
        <v>7037</v>
      </c>
      <c r="I605" t="s">
        <v>1246</v>
      </c>
      <c r="J605" t="s">
        <v>1247</v>
      </c>
      <c r="K605" t="s">
        <v>17</v>
      </c>
      <c r="L605" t="str">
        <f t="shared" si="9"/>
        <v xml:space="preserve">{ longitude: -63.5312567508444, latitude: 44.6759479762623, stopType: 'Bus Stop Accessible', gotime: \'7037\', location: \'VALLEYFIELD RD NS SKEENA LANE\' }, </v>
      </c>
    </row>
    <row r="606" spans="1:12" x14ac:dyDescent="0.25">
      <c r="A606">
        <v>-63.534060298371898</v>
      </c>
      <c r="B606">
        <v>44.678945592689203</v>
      </c>
      <c r="C606">
        <v>1095</v>
      </c>
      <c r="D606" t="s">
        <v>103</v>
      </c>
      <c r="E606" t="s">
        <v>12</v>
      </c>
      <c r="F606" t="s">
        <v>13</v>
      </c>
      <c r="G606" t="s">
        <v>65</v>
      </c>
      <c r="H606">
        <v>7038</v>
      </c>
      <c r="I606" t="s">
        <v>1248</v>
      </c>
      <c r="J606" t="s">
        <v>1249</v>
      </c>
      <c r="K606" t="s">
        <v>17</v>
      </c>
      <c r="L606" t="str">
        <f t="shared" si="9"/>
        <v xml:space="preserve">{ longitude: -63.5340602983719, latitude: 44.6789455926892, stopType: 'Bus Stop Inaccessible', gotime: \'7038\', location: \'VALLEYFIELD RD NS SPIKENARD ST\' }, </v>
      </c>
    </row>
    <row r="607" spans="1:12" x14ac:dyDescent="0.25">
      <c r="A607">
        <v>-63.5327403260465</v>
      </c>
      <c r="B607">
        <v>44.677751496783699</v>
      </c>
      <c r="C607">
        <v>1096</v>
      </c>
      <c r="D607" t="s">
        <v>11</v>
      </c>
      <c r="E607" t="s">
        <v>12</v>
      </c>
      <c r="F607" t="s">
        <v>25</v>
      </c>
      <c r="G607" t="s">
        <v>19</v>
      </c>
      <c r="H607">
        <v>7039</v>
      </c>
      <c r="I607" t="s">
        <v>1250</v>
      </c>
      <c r="J607" t="s">
        <v>1251</v>
      </c>
      <c r="K607" t="s">
        <v>17</v>
      </c>
      <c r="L607" t="str">
        <f t="shared" si="9"/>
        <v xml:space="preserve">{ longitude: -63.5327403260465, latitude: 44.6777514967837, stopType: 'Bus Stop Non-Standard', gotime: \'7039\', location: \'VALLEYFIELD RD NS VIRGINIA AVE\' }, </v>
      </c>
    </row>
    <row r="608" spans="1:12" x14ac:dyDescent="0.25">
      <c r="A608">
        <v>-63.532288469167497</v>
      </c>
      <c r="B608">
        <v>44.677731109185999</v>
      </c>
      <c r="C608">
        <v>1097</v>
      </c>
      <c r="D608" t="s">
        <v>11</v>
      </c>
      <c r="E608" t="s">
        <v>12</v>
      </c>
      <c r="F608" t="s">
        <v>13</v>
      </c>
      <c r="G608" t="s">
        <v>19</v>
      </c>
      <c r="H608">
        <v>7040</v>
      </c>
      <c r="I608" t="s">
        <v>1250</v>
      </c>
      <c r="J608" t="s">
        <v>1252</v>
      </c>
      <c r="K608" t="s">
        <v>17</v>
      </c>
      <c r="L608" t="str">
        <f t="shared" si="9"/>
        <v xml:space="preserve">{ longitude: -63.5322884691675, latitude: 44.677731109186, stopType: 'Bus Stop Non-Standard', gotime: \'7040\', location: \'VALLEYFIELD RD NS VIRGINIA AVE\' }, </v>
      </c>
    </row>
    <row r="609" spans="1:12" x14ac:dyDescent="0.25">
      <c r="A609">
        <v>-63.605619208461597</v>
      </c>
      <c r="B609">
        <v>44.6600157532379</v>
      </c>
      <c r="C609">
        <v>1098</v>
      </c>
      <c r="D609" t="s">
        <v>11</v>
      </c>
      <c r="E609" t="s">
        <v>12</v>
      </c>
      <c r="F609" t="s">
        <v>13</v>
      </c>
      <c r="G609" t="s">
        <v>14</v>
      </c>
      <c r="H609">
        <v>7041</v>
      </c>
      <c r="I609" t="s">
        <v>1253</v>
      </c>
      <c r="J609" t="s">
        <v>1254</v>
      </c>
      <c r="K609" t="s">
        <v>17</v>
      </c>
      <c r="L609" t="str">
        <f t="shared" si="9"/>
        <v xml:space="preserve">{ longitude: -63.6056192084616, latitude: 44.6600157532379, stopType: 'Bus Stop Non-Standard', gotime: \'7041\', location: \'KEMPT RD [IB] OPP LIVINGSTONE\' }, </v>
      </c>
    </row>
    <row r="610" spans="1:12" x14ac:dyDescent="0.25">
      <c r="A610">
        <v>-63.6149999807038</v>
      </c>
      <c r="B610">
        <v>44.661464716773501</v>
      </c>
      <c r="C610">
        <v>1099</v>
      </c>
      <c r="D610" t="s">
        <v>103</v>
      </c>
      <c r="E610" t="s">
        <v>12</v>
      </c>
      <c r="F610" t="s">
        <v>13</v>
      </c>
      <c r="G610" t="s">
        <v>65</v>
      </c>
      <c r="H610">
        <v>7042</v>
      </c>
      <c r="I610" t="s">
        <v>1255</v>
      </c>
      <c r="J610" t="s">
        <v>1256</v>
      </c>
      <c r="K610" t="s">
        <v>17</v>
      </c>
      <c r="L610" t="str">
        <f t="shared" si="9"/>
        <v xml:space="preserve">{ longitude: -63.6149999807038, latitude: 44.6614647167735, stopType: 'Bus Stop Inaccessible', gotime: \'7042\', location: \'KEMPT RD [IB] NS HOOD\' }, </v>
      </c>
    </row>
    <row r="611" spans="1:12" x14ac:dyDescent="0.25">
      <c r="A611">
        <v>-63.608631438493397</v>
      </c>
      <c r="B611">
        <v>44.660993727880502</v>
      </c>
      <c r="C611">
        <v>1100</v>
      </c>
      <c r="D611" t="s">
        <v>11</v>
      </c>
      <c r="E611" t="s">
        <v>12</v>
      </c>
      <c r="F611" t="s">
        <v>13</v>
      </c>
      <c r="G611" t="s">
        <v>14</v>
      </c>
      <c r="H611">
        <v>7043</v>
      </c>
      <c r="I611" t="s">
        <v>1257</v>
      </c>
      <c r="J611" t="s">
        <v>1258</v>
      </c>
      <c r="K611" t="s">
        <v>17</v>
      </c>
      <c r="L611" t="str">
        <f t="shared" si="9"/>
        <v xml:space="preserve">{ longitude: -63.6086314384934, latitude: 44.6609937278805, stopType: 'Bus Stop Non-Standard', gotime: \'7043\', location: \'KEMPT RD NS OPP COLOMBUS\' }, </v>
      </c>
    </row>
    <row r="612" spans="1:12" x14ac:dyDescent="0.25">
      <c r="A612">
        <v>-63.603370721052002</v>
      </c>
      <c r="B612">
        <v>44.659225312967898</v>
      </c>
      <c r="C612">
        <v>1101</v>
      </c>
      <c r="D612" t="s">
        <v>29</v>
      </c>
      <c r="E612" t="s">
        <v>12</v>
      </c>
      <c r="F612" t="s">
        <v>13</v>
      </c>
      <c r="G612" t="s">
        <v>14</v>
      </c>
      <c r="H612">
        <v>7044</v>
      </c>
      <c r="I612" t="s">
        <v>1259</v>
      </c>
      <c r="J612" t="s">
        <v>1260</v>
      </c>
      <c r="K612" t="s">
        <v>17</v>
      </c>
      <c r="L612" t="str">
        <f t="shared" si="9"/>
        <v xml:space="preserve">{ longitude: -63.603370721052, latitude: 44.6592253129679, stopType: 'Bus Stop Accessible', gotime: \'7044\', location: \'KEMPT RD NS YOUNG ST &lt;EB&gt;\' }, </v>
      </c>
    </row>
    <row r="613" spans="1:12" x14ac:dyDescent="0.25">
      <c r="A613">
        <v>-63.619920026216199</v>
      </c>
      <c r="B613">
        <v>44.662940718579897</v>
      </c>
      <c r="C613">
        <v>1102</v>
      </c>
      <c r="D613" t="s">
        <v>11</v>
      </c>
      <c r="E613" t="s">
        <v>12</v>
      </c>
      <c r="F613" t="s">
        <v>13</v>
      </c>
      <c r="G613" t="s">
        <v>14</v>
      </c>
      <c r="H613">
        <v>7045</v>
      </c>
      <c r="I613" t="s">
        <v>1261</v>
      </c>
      <c r="J613" t="s">
        <v>1262</v>
      </c>
      <c r="K613" t="s">
        <v>17</v>
      </c>
      <c r="L613" t="str">
        <f t="shared" si="9"/>
        <v xml:space="preserve">{ longitude: -63.6199200262162, latitude: 44.6629407185799, stopType: 'Bus Stop Non-Standard', gotime: \'7045\', location: \'KEMPT RD OPP HALIFAX CHRYSLER\' }, </v>
      </c>
    </row>
    <row r="614" spans="1:12" x14ac:dyDescent="0.25">
      <c r="A614">
        <v>-63.612999696119701</v>
      </c>
      <c r="B614">
        <v>44.662090250240297</v>
      </c>
      <c r="C614">
        <v>1103</v>
      </c>
      <c r="D614" t="s">
        <v>11</v>
      </c>
      <c r="E614" t="s">
        <v>12</v>
      </c>
      <c r="F614" t="s">
        <v>13</v>
      </c>
      <c r="G614" t="s">
        <v>14</v>
      </c>
      <c r="H614">
        <v>7046</v>
      </c>
      <c r="I614" t="s">
        <v>1263</v>
      </c>
      <c r="J614" t="s">
        <v>1264</v>
      </c>
      <c r="K614" t="s">
        <v>17</v>
      </c>
      <c r="L614" t="str">
        <f t="shared" si="9"/>
        <v xml:space="preserve">{ longitude: -63.6129996961197, latitude: 44.6620902502403, stopType: 'Bus Stop Non-Standard', gotime: \'7046\', location: \'KEMPT RD [IB] AT SWISS CHALET\' }, </v>
      </c>
    </row>
    <row r="615" spans="1:12" x14ac:dyDescent="0.25">
      <c r="A615">
        <v>-63.611008592922097</v>
      </c>
      <c r="B615">
        <v>44.672779869883797</v>
      </c>
      <c r="C615">
        <v>1104</v>
      </c>
      <c r="D615" t="s">
        <v>29</v>
      </c>
      <c r="E615" t="s">
        <v>12</v>
      </c>
      <c r="F615" t="s">
        <v>13</v>
      </c>
      <c r="G615" t="s">
        <v>19</v>
      </c>
      <c r="H615">
        <v>7047</v>
      </c>
      <c r="I615" t="s">
        <v>1265</v>
      </c>
      <c r="J615" t="s">
        <v>1266</v>
      </c>
      <c r="K615" t="s">
        <v>17</v>
      </c>
      <c r="L615" t="str">
        <f t="shared" si="9"/>
        <v xml:space="preserve">{ longitude: -63.6110085929221, latitude: 44.6727798698838, stopType: 'Bus Stop Accessible', gotime: \'7047\', location: \'KENCREST AVE AT CIVIC 3782 &lt;SB&gt;\' }, </v>
      </c>
    </row>
    <row r="616" spans="1:12" x14ac:dyDescent="0.25">
      <c r="A616">
        <v>-63.612720624067798</v>
      </c>
      <c r="B616">
        <v>44.6731592934294</v>
      </c>
      <c r="C616">
        <v>1105</v>
      </c>
      <c r="D616" t="s">
        <v>29</v>
      </c>
      <c r="E616" t="s">
        <v>12</v>
      </c>
      <c r="F616" t="s">
        <v>13</v>
      </c>
      <c r="G616" t="s">
        <v>19</v>
      </c>
      <c r="H616">
        <v>7048</v>
      </c>
      <c r="I616" t="s">
        <v>1267</v>
      </c>
      <c r="J616" t="s">
        <v>1268</v>
      </c>
      <c r="K616" t="s">
        <v>17</v>
      </c>
      <c r="L616" t="str">
        <f t="shared" si="9"/>
        <v xml:space="preserve">{ longitude: -63.6127206240678, latitude: 44.6731592934294, stopType: 'Bus Stop Accessible', gotime: \'7048\', location: \'KENCREST AVE AT NEWBURY &lt;EB&gt;\' }, </v>
      </c>
    </row>
    <row r="617" spans="1:12" x14ac:dyDescent="0.25">
      <c r="A617">
        <v>-63.614497438371799</v>
      </c>
      <c r="B617">
        <v>44.673385838196801</v>
      </c>
      <c r="C617">
        <v>1106</v>
      </c>
      <c r="D617" t="s">
        <v>29</v>
      </c>
      <c r="E617" t="s">
        <v>12</v>
      </c>
      <c r="F617" t="s">
        <v>13</v>
      </c>
      <c r="G617" t="s">
        <v>19</v>
      </c>
      <c r="H617">
        <v>7049</v>
      </c>
      <c r="I617" t="s">
        <v>1269</v>
      </c>
      <c r="J617" t="s">
        <v>1270</v>
      </c>
      <c r="K617" t="s">
        <v>17</v>
      </c>
      <c r="L617" t="str">
        <f t="shared" si="9"/>
        <v xml:space="preserve">{ longitude: -63.6144974383718, latitude: 44.6733858381968, stopType: 'Bus Stop Accessible', gotime: \'7049\', location: \'KENCREST AVE FS NOVALEA DR\' }, </v>
      </c>
    </row>
    <row r="618" spans="1:12" x14ac:dyDescent="0.25">
      <c r="A618">
        <v>-63.609626861447602</v>
      </c>
      <c r="B618">
        <v>44.672469054373899</v>
      </c>
      <c r="C618">
        <v>1107</v>
      </c>
      <c r="D618" t="s">
        <v>18</v>
      </c>
      <c r="E618" t="s">
        <v>12</v>
      </c>
      <c r="F618" t="s">
        <v>13</v>
      </c>
      <c r="G618" t="s">
        <v>65</v>
      </c>
      <c r="H618">
        <v>7050</v>
      </c>
      <c r="I618" t="s">
        <v>1271</v>
      </c>
      <c r="J618" t="s">
        <v>1272</v>
      </c>
      <c r="K618" t="s">
        <v>17</v>
      </c>
      <c r="L618" t="str">
        <f t="shared" si="9"/>
        <v xml:space="preserve">{ longitude: -63.6096268614476, latitude: 44.6724690543739, stopType: 'Bus Stop Shelter Non-Standard', gotime: \'7050\', location: \'KENCREST AVE NS GLEBE &lt;SB&gt;\' }, </v>
      </c>
    </row>
    <row r="619" spans="1:12" x14ac:dyDescent="0.25">
      <c r="A619">
        <v>-63.467321692896199</v>
      </c>
      <c r="B619">
        <v>44.712799449749603</v>
      </c>
      <c r="C619">
        <v>1108</v>
      </c>
      <c r="D619" t="s">
        <v>103</v>
      </c>
      <c r="E619" t="s">
        <v>12</v>
      </c>
      <c r="F619" t="s">
        <v>25</v>
      </c>
      <c r="G619" t="s">
        <v>65</v>
      </c>
      <c r="H619">
        <v>7114</v>
      </c>
      <c r="I619" t="s">
        <v>1273</v>
      </c>
      <c r="J619" t="s">
        <v>1274</v>
      </c>
      <c r="K619" t="s">
        <v>17</v>
      </c>
      <c r="L619" t="str">
        <f t="shared" si="9"/>
        <v xml:space="preserve">{ longitude: -63.4673216928962, latitude: 44.7127994497496, stopType: 'Bus Stop Inaccessible', gotime: \'7114\', location: \'LAKE MAJOR RD OPP CIVIC 190\' }, </v>
      </c>
    </row>
    <row r="620" spans="1:12" x14ac:dyDescent="0.25">
      <c r="A620">
        <v>-63.467406230985198</v>
      </c>
      <c r="B620">
        <v>44.7165620736073</v>
      </c>
      <c r="C620">
        <v>1109</v>
      </c>
      <c r="D620" t="s">
        <v>11</v>
      </c>
      <c r="E620" t="s">
        <v>12</v>
      </c>
      <c r="F620" t="s">
        <v>25</v>
      </c>
      <c r="G620" t="s">
        <v>26</v>
      </c>
      <c r="H620">
        <v>7115</v>
      </c>
      <c r="I620" t="s">
        <v>1275</v>
      </c>
      <c r="J620" t="s">
        <v>1276</v>
      </c>
      <c r="K620" t="s">
        <v>17</v>
      </c>
      <c r="L620" t="str">
        <f t="shared" si="9"/>
        <v xml:space="preserve">{ longitude: -63.4674062309852, latitude: 44.7165620736073, stopType: 'Bus Stop Non-Standard', gotime: \'7115\', location: \'LAKE MAJOR RD OPP CIVIC 301\' }, </v>
      </c>
    </row>
    <row r="621" spans="1:12" x14ac:dyDescent="0.25">
      <c r="A621">
        <v>-63.464711674211998</v>
      </c>
      <c r="B621">
        <v>44.7409627053257</v>
      </c>
      <c r="C621">
        <v>1110</v>
      </c>
      <c r="D621" t="s">
        <v>11</v>
      </c>
      <c r="E621" t="s">
        <v>12</v>
      </c>
      <c r="F621" t="s">
        <v>25</v>
      </c>
      <c r="G621" t="s">
        <v>26</v>
      </c>
      <c r="H621">
        <v>7116</v>
      </c>
      <c r="I621" t="s">
        <v>1277</v>
      </c>
      <c r="J621" t="s">
        <v>1278</v>
      </c>
      <c r="K621" t="s">
        <v>17</v>
      </c>
      <c r="L621" t="str">
        <f t="shared" si="9"/>
        <v xml:space="preserve">{ longitude: -63.464711674212, latitude: 44.7409627053257, stopType: 'Bus Stop Non-Standard', gotime: \'7116\', location: \'NORTH PRESTON RD AT SMITH LANE\' }, </v>
      </c>
    </row>
    <row r="622" spans="1:12" x14ac:dyDescent="0.25">
      <c r="A622">
        <v>-63.464268385074597</v>
      </c>
      <c r="B622">
        <v>44.738915770784097</v>
      </c>
      <c r="C622">
        <v>1111</v>
      </c>
      <c r="D622" t="s">
        <v>103</v>
      </c>
      <c r="E622" t="s">
        <v>12</v>
      </c>
      <c r="F622" t="s">
        <v>25</v>
      </c>
      <c r="G622" t="s">
        <v>65</v>
      </c>
      <c r="H622">
        <v>7117</v>
      </c>
      <c r="I622" t="s">
        <v>1279</v>
      </c>
      <c r="J622" t="s">
        <v>1280</v>
      </c>
      <c r="K622" t="s">
        <v>17</v>
      </c>
      <c r="L622" t="str">
        <f t="shared" si="9"/>
        <v xml:space="preserve">{ longitude: -63.4642683850746, latitude: 44.7389157707841, stopType: 'Bus Stop Inaccessible', gotime: \'7117\', location: \'NORTH PRESTON RD AT CIVIC 859\' }, </v>
      </c>
    </row>
    <row r="623" spans="1:12" x14ac:dyDescent="0.25">
      <c r="A623">
        <v>-63.464034850252602</v>
      </c>
      <c r="B623">
        <v>44.737851696410601</v>
      </c>
      <c r="C623">
        <v>1112</v>
      </c>
      <c r="D623" t="s">
        <v>11</v>
      </c>
      <c r="E623" t="s">
        <v>12</v>
      </c>
      <c r="F623" t="s">
        <v>25</v>
      </c>
      <c r="G623" t="s">
        <v>26</v>
      </c>
      <c r="H623">
        <v>7118</v>
      </c>
      <c r="I623" t="s">
        <v>1281</v>
      </c>
      <c r="J623" t="s">
        <v>1282</v>
      </c>
      <c r="K623" t="s">
        <v>17</v>
      </c>
      <c r="L623" t="str">
        <f t="shared" si="9"/>
        <v xml:space="preserve">{ longitude: -63.4640348502526, latitude: 44.7378516964106, stopType: 'Bus Stop Non-Standard', gotime: \'7118\', location: \'NORTH PRESTON RD AT CIVIC 864\' }, </v>
      </c>
    </row>
    <row r="624" spans="1:12" x14ac:dyDescent="0.25">
      <c r="A624">
        <v>-63.610153568921803</v>
      </c>
      <c r="B624">
        <v>44.705474547828601</v>
      </c>
      <c r="C624">
        <v>1113</v>
      </c>
      <c r="D624" t="s">
        <v>18</v>
      </c>
      <c r="E624" t="s">
        <v>12</v>
      </c>
      <c r="F624" t="s">
        <v>13</v>
      </c>
      <c r="G624" t="s">
        <v>14</v>
      </c>
      <c r="H624">
        <v>6012</v>
      </c>
      <c r="I624" t="s">
        <v>1283</v>
      </c>
      <c r="J624" t="s">
        <v>1284</v>
      </c>
      <c r="K624" t="s">
        <v>17</v>
      </c>
      <c r="L624" t="str">
        <f t="shared" si="9"/>
        <v xml:space="preserve">{ longitude: -63.6101535689218, latitude: 44.7054745478286, stopType: 'Bus Stop Shelter Non-Standard', gotime: \'6012\', location: \'AKERLEY BLVD NS MORRIS DR\' }, </v>
      </c>
    </row>
    <row r="625" spans="1:12" x14ac:dyDescent="0.25">
      <c r="A625">
        <v>-63.607644764267</v>
      </c>
      <c r="B625">
        <v>44.707817387679</v>
      </c>
      <c r="C625">
        <v>1114</v>
      </c>
      <c r="D625" t="s">
        <v>11</v>
      </c>
      <c r="E625" t="s">
        <v>12</v>
      </c>
      <c r="F625" t="s">
        <v>25</v>
      </c>
      <c r="G625" t="s">
        <v>19</v>
      </c>
      <c r="H625">
        <v>6013</v>
      </c>
      <c r="I625" t="s">
        <v>1285</v>
      </c>
      <c r="J625" t="s">
        <v>1286</v>
      </c>
      <c r="K625" t="s">
        <v>17</v>
      </c>
      <c r="L625" t="str">
        <f t="shared" si="9"/>
        <v xml:space="preserve">{ longitude: -63.607644764267, latitude: 44.707817387679, stopType: 'Bus Stop Non-Standard', gotime: \'6013\', location: \'AKERLEY BLVD NS MOSHER DR\' }, </v>
      </c>
    </row>
    <row r="626" spans="1:12" x14ac:dyDescent="0.25">
      <c r="A626">
        <v>-63.6116302936951</v>
      </c>
      <c r="B626">
        <v>44.703875191614898</v>
      </c>
      <c r="C626">
        <v>1115</v>
      </c>
      <c r="D626" t="s">
        <v>22</v>
      </c>
      <c r="E626" t="s">
        <v>12</v>
      </c>
      <c r="F626" t="s">
        <v>13</v>
      </c>
      <c r="G626" t="s">
        <v>19</v>
      </c>
      <c r="H626">
        <v>6014</v>
      </c>
      <c r="I626" t="s">
        <v>1287</v>
      </c>
      <c r="J626" t="s">
        <v>1288</v>
      </c>
      <c r="K626" t="s">
        <v>17</v>
      </c>
      <c r="L626" t="str">
        <f t="shared" si="9"/>
        <v xml:space="preserve">{ longitude: -63.6116302936951, latitude: 44.7038751916149, stopType: 'Bus Stop Shelter Accessible', gotime: \'6014\', location: \'AKERLEY BLVD NS WINDMILL RD\' }, </v>
      </c>
    </row>
    <row r="627" spans="1:12" x14ac:dyDescent="0.25">
      <c r="A627">
        <v>-63.606084936783503</v>
      </c>
      <c r="B627">
        <v>44.7091281411127</v>
      </c>
      <c r="C627">
        <v>1116</v>
      </c>
      <c r="D627" t="s">
        <v>29</v>
      </c>
      <c r="E627" t="s">
        <v>12</v>
      </c>
      <c r="F627" t="s">
        <v>25</v>
      </c>
      <c r="G627" t="s">
        <v>26</v>
      </c>
      <c r="H627">
        <v>6015</v>
      </c>
      <c r="I627" t="s">
        <v>1289</v>
      </c>
      <c r="J627" t="s">
        <v>1290</v>
      </c>
      <c r="K627" t="s">
        <v>17</v>
      </c>
      <c r="L627" t="str">
        <f t="shared" si="9"/>
        <v xml:space="preserve">{ longitude: -63.6060849367835, latitude: 44.7091281411127, stopType: 'Bus Stop Accessible', gotime: \'6015\', location: \'AKERLEY BLVD NS OPP CIVIC 31\' }, </v>
      </c>
    </row>
    <row r="628" spans="1:12" x14ac:dyDescent="0.25">
      <c r="A628">
        <v>-63.594705770671503</v>
      </c>
      <c r="B628">
        <v>44.713175831447799</v>
      </c>
      <c r="C628">
        <v>1117</v>
      </c>
      <c r="D628" t="s">
        <v>11</v>
      </c>
      <c r="E628" t="s">
        <v>12</v>
      </c>
      <c r="F628" t="s">
        <v>13</v>
      </c>
      <c r="G628" t="s">
        <v>14</v>
      </c>
      <c r="H628">
        <v>6016</v>
      </c>
      <c r="I628" t="s">
        <v>1291</v>
      </c>
      <c r="J628" t="s">
        <v>1292</v>
      </c>
      <c r="K628" t="s">
        <v>17</v>
      </c>
      <c r="L628" t="str">
        <f t="shared" si="9"/>
        <v xml:space="preserve">{ longitude: -63.5947057706715, latitude: 44.7131758314478, stopType: 'Bus Stop Non-Standard', gotime: \'6016\', location: \'AKERLEY BLVD OPP CIVIC 95\' }, </v>
      </c>
    </row>
    <row r="629" spans="1:12" x14ac:dyDescent="0.25">
      <c r="A629">
        <v>-63.663490949347597</v>
      </c>
      <c r="B629">
        <v>44.698898438238203</v>
      </c>
      <c r="C629">
        <v>1118</v>
      </c>
      <c r="D629" t="s">
        <v>29</v>
      </c>
      <c r="E629" t="s">
        <v>12</v>
      </c>
      <c r="F629" t="s">
        <v>25</v>
      </c>
      <c r="G629" t="s">
        <v>26</v>
      </c>
      <c r="H629">
        <v>7124</v>
      </c>
      <c r="I629" t="s">
        <v>1293</v>
      </c>
      <c r="J629" t="s">
        <v>1294</v>
      </c>
      <c r="K629" t="s">
        <v>17</v>
      </c>
      <c r="L629" t="str">
        <f t="shared" si="9"/>
        <v xml:space="preserve">{ longitude: -63.6634909493476, latitude: 44.6988984382382, stopType: 'Bus Stop Accessible', gotime: \'7124\', location: \'LARRY UTECK  BLVD AT ECOLE BEAUBASSIN\' }, </v>
      </c>
    </row>
    <row r="630" spans="1:12" x14ac:dyDescent="0.25">
      <c r="A630">
        <v>-63.663792846582403</v>
      </c>
      <c r="B630">
        <v>44.698963647061497</v>
      </c>
      <c r="C630">
        <v>1119</v>
      </c>
      <c r="D630" t="s">
        <v>29</v>
      </c>
      <c r="E630" t="s">
        <v>12</v>
      </c>
      <c r="F630" t="s">
        <v>25</v>
      </c>
      <c r="G630" t="s">
        <v>26</v>
      </c>
      <c r="H630">
        <v>7125</v>
      </c>
      <c r="I630" t="s">
        <v>1295</v>
      </c>
      <c r="J630" t="s">
        <v>1296</v>
      </c>
      <c r="K630" t="s">
        <v>17</v>
      </c>
      <c r="L630" t="str">
        <f t="shared" si="9"/>
        <v xml:space="preserve">{ longitude: -63.6637928465824, latitude: 44.6989636470615, stopType: 'Bus Stop Accessible', gotime: \'7125\', location: \'LARRY UTECK BLVD OPP ECOLE BEAUBASSIN\' }, </v>
      </c>
    </row>
    <row r="631" spans="1:12" x14ac:dyDescent="0.25">
      <c r="A631">
        <v>-63.580364706262799</v>
      </c>
      <c r="B631">
        <v>44.686802669209797</v>
      </c>
      <c r="C631">
        <v>1120</v>
      </c>
      <c r="D631" t="s">
        <v>22</v>
      </c>
      <c r="E631" t="s">
        <v>12</v>
      </c>
      <c r="F631" t="s">
        <v>25</v>
      </c>
      <c r="G631" t="s">
        <v>19</v>
      </c>
      <c r="H631">
        <v>7126</v>
      </c>
      <c r="I631" t="s">
        <v>1297</v>
      </c>
      <c r="J631" t="s">
        <v>1298</v>
      </c>
      <c r="K631" t="s">
        <v>17</v>
      </c>
      <c r="L631" t="str">
        <f t="shared" si="9"/>
        <v xml:space="preserve">{ longitude: -63.5803647062628, latitude: 44.6868026692098, stopType: 'Bus Stop Shelter Accessible', gotime: \'7126\', location: \'LEAMAN DR OPP AMBERCREST PL\' }, </v>
      </c>
    </row>
    <row r="632" spans="1:12" x14ac:dyDescent="0.25">
      <c r="A632">
        <v>-63.5781723458934</v>
      </c>
      <c r="B632">
        <v>44.685039049318902</v>
      </c>
      <c r="C632">
        <v>1121</v>
      </c>
      <c r="D632" t="s">
        <v>29</v>
      </c>
      <c r="E632" t="s">
        <v>12</v>
      </c>
      <c r="F632" t="s">
        <v>25</v>
      </c>
      <c r="G632" t="s">
        <v>19</v>
      </c>
      <c r="H632">
        <v>7127</v>
      </c>
      <c r="I632" t="s">
        <v>1299</v>
      </c>
      <c r="J632" t="s">
        <v>1300</v>
      </c>
      <c r="K632" t="s">
        <v>17</v>
      </c>
      <c r="L632" t="str">
        <f t="shared" si="9"/>
        <v xml:space="preserve">{ longitude: -63.5781723458934, latitude: 44.6850390493189, stopType: 'Bus Stop Accessible', gotime: \'7127\', location: \'LEAMAN DR NS ALBRO LAKE RD\' }, </v>
      </c>
    </row>
    <row r="633" spans="1:12" x14ac:dyDescent="0.25">
      <c r="A633">
        <v>-63.610684167914798</v>
      </c>
      <c r="B633">
        <v>44.670316186515002</v>
      </c>
      <c r="C633">
        <v>1122</v>
      </c>
      <c r="D633" t="s">
        <v>29</v>
      </c>
      <c r="E633" t="s">
        <v>12</v>
      </c>
      <c r="F633" t="s">
        <v>13</v>
      </c>
      <c r="G633" t="s">
        <v>19</v>
      </c>
      <c r="H633">
        <v>7130</v>
      </c>
      <c r="I633" t="s">
        <v>1301</v>
      </c>
      <c r="J633" t="s">
        <v>1302</v>
      </c>
      <c r="K633" t="s">
        <v>17</v>
      </c>
      <c r="L633" t="str">
        <f t="shared" si="9"/>
        <v xml:space="preserve">{ longitude: -63.6106841679148, latitude: 44.670316186515, stopType: 'Bus Stop Accessible', gotime: \'7130\', location: \'LEEDS ST NS NOVALEA DR &lt;EB&gt;\' }, </v>
      </c>
    </row>
    <row r="634" spans="1:12" x14ac:dyDescent="0.25">
      <c r="A634">
        <v>-63.613727948483998</v>
      </c>
      <c r="B634">
        <v>44.668213480656902</v>
      </c>
      <c r="C634">
        <v>1123</v>
      </c>
      <c r="D634" t="s">
        <v>29</v>
      </c>
      <c r="E634" t="s">
        <v>12</v>
      </c>
      <c r="F634" t="s">
        <v>13</v>
      </c>
      <c r="G634" t="s">
        <v>19</v>
      </c>
      <c r="H634">
        <v>7131</v>
      </c>
      <c r="I634" t="s">
        <v>1303</v>
      </c>
      <c r="J634" t="s">
        <v>1304</v>
      </c>
      <c r="K634" t="s">
        <v>17</v>
      </c>
      <c r="L634" t="str">
        <f t="shared" si="9"/>
        <v xml:space="preserve">{ longitude: -63.613727948484, latitude: 44.6682134806569, stopType: 'Bus Stop Accessible', gotime: \'7131\', location: \'LEEDS ST NS ROSEMEADE AVE\' }, </v>
      </c>
    </row>
    <row r="635" spans="1:12" x14ac:dyDescent="0.25">
      <c r="A635">
        <v>-63.613621495765898</v>
      </c>
      <c r="B635">
        <v>44.668454207478298</v>
      </c>
      <c r="C635">
        <v>1124</v>
      </c>
      <c r="D635" t="s">
        <v>22</v>
      </c>
      <c r="E635" t="s">
        <v>12</v>
      </c>
      <c r="F635" t="s">
        <v>25</v>
      </c>
      <c r="G635" t="s">
        <v>19</v>
      </c>
      <c r="H635">
        <v>7133</v>
      </c>
      <c r="I635" t="s">
        <v>1305</v>
      </c>
      <c r="J635" t="s">
        <v>1306</v>
      </c>
      <c r="K635" t="s">
        <v>17</v>
      </c>
      <c r="L635" t="str">
        <f t="shared" si="9"/>
        <v xml:space="preserve">{ longitude: -63.6136214957659, latitude: 44.6684542074783, stopType: 'Bus Stop Shelter Accessible', gotime: \'7133\', location: \'LEEDS ST &lt;WB&gt; NS ROSEMEADE\' }, </v>
      </c>
    </row>
    <row r="636" spans="1:12" x14ac:dyDescent="0.25">
      <c r="A636">
        <v>-63.626240840948597</v>
      </c>
      <c r="B636">
        <v>44.604103963156</v>
      </c>
      <c r="C636">
        <v>1125</v>
      </c>
      <c r="D636" t="s">
        <v>29</v>
      </c>
      <c r="E636" t="s">
        <v>12</v>
      </c>
      <c r="F636" t="s">
        <v>25</v>
      </c>
      <c r="G636" t="s">
        <v>26</v>
      </c>
      <c r="H636">
        <v>7134</v>
      </c>
      <c r="I636" t="s">
        <v>1307</v>
      </c>
      <c r="J636" t="s">
        <v>1308</v>
      </c>
      <c r="K636" t="s">
        <v>17</v>
      </c>
      <c r="L636" t="str">
        <f t="shared" si="9"/>
        <v xml:space="preserve">{ longitude: -63.6262408409486, latitude: 44.604103963156, stopType: 'Bus Stop Accessible', gotime: \'7134\', location: \'LEIBLIN DR AT CARNATION CR\' }, </v>
      </c>
    </row>
    <row r="637" spans="1:12" x14ac:dyDescent="0.25">
      <c r="A637">
        <v>-63.628831099015699</v>
      </c>
      <c r="B637">
        <v>44.6018998908377</v>
      </c>
      <c r="C637">
        <v>1126</v>
      </c>
      <c r="D637" t="s">
        <v>29</v>
      </c>
      <c r="E637" t="s">
        <v>12</v>
      </c>
      <c r="F637" t="s">
        <v>13</v>
      </c>
      <c r="G637" t="s">
        <v>14</v>
      </c>
      <c r="H637">
        <v>7135</v>
      </c>
      <c r="I637" t="s">
        <v>1309</v>
      </c>
      <c r="J637" t="s">
        <v>1310</v>
      </c>
      <c r="K637" t="s">
        <v>17</v>
      </c>
      <c r="L637" t="str">
        <f t="shared" si="9"/>
        <v xml:space="preserve">{ longitude: -63.6288310990157, latitude: 44.6018998908377, stopType: 'Bus Stop Accessible', gotime: \'7135\', location: \'LEIBLIN DR AT ELMDALE CR\' }, </v>
      </c>
    </row>
    <row r="638" spans="1:12" x14ac:dyDescent="0.25">
      <c r="A638">
        <v>-63.632782008260499</v>
      </c>
      <c r="B638">
        <v>44.5985590686942</v>
      </c>
      <c r="C638">
        <v>1127</v>
      </c>
      <c r="D638" t="s">
        <v>29</v>
      </c>
      <c r="E638" t="s">
        <v>12</v>
      </c>
      <c r="F638" t="s">
        <v>13</v>
      </c>
      <c r="G638" t="s">
        <v>14</v>
      </c>
      <c r="H638">
        <v>7136</v>
      </c>
      <c r="I638" t="s">
        <v>1311</v>
      </c>
      <c r="J638" t="s">
        <v>1312</v>
      </c>
      <c r="K638" t="s">
        <v>17</v>
      </c>
      <c r="L638" t="str">
        <f t="shared" si="9"/>
        <v xml:space="preserve">{ longitude: -63.6327820082605, latitude: 44.5985590686942, stopType: 'Bus Stop Accessible', gotime: \'7136\', location: \'LEIBLIN DR AT GUILDWOOD CR\' }, </v>
      </c>
    </row>
    <row r="639" spans="1:12" x14ac:dyDescent="0.25">
      <c r="A639">
        <v>-63.623650941354597</v>
      </c>
      <c r="B639">
        <v>44.606271079257397</v>
      </c>
      <c r="C639">
        <v>1128</v>
      </c>
      <c r="D639" t="s">
        <v>29</v>
      </c>
      <c r="E639" t="s">
        <v>12</v>
      </c>
      <c r="F639" t="s">
        <v>25</v>
      </c>
      <c r="G639" t="s">
        <v>19</v>
      </c>
      <c r="H639">
        <v>7137</v>
      </c>
      <c r="I639" t="s">
        <v>1313</v>
      </c>
      <c r="J639" t="s">
        <v>1314</v>
      </c>
      <c r="K639" t="s">
        <v>17</v>
      </c>
      <c r="L639" t="str">
        <f t="shared" si="9"/>
        <v xml:space="preserve">{ longitude: -63.6236509413546, latitude: 44.6062710792574, stopType: 'Bus Stop Accessible', gotime: \'7137\', location: \'LEIBLIN DR FS AVON CR\' }, </v>
      </c>
    </row>
    <row r="640" spans="1:12" x14ac:dyDescent="0.25">
      <c r="A640">
        <v>-63.636204752993002</v>
      </c>
      <c r="B640">
        <v>44.595656906982001</v>
      </c>
      <c r="C640">
        <v>1129</v>
      </c>
      <c r="D640" t="s">
        <v>22</v>
      </c>
      <c r="E640" t="s">
        <v>12</v>
      </c>
      <c r="F640" t="s">
        <v>25</v>
      </c>
      <c r="G640" t="s">
        <v>19</v>
      </c>
      <c r="H640">
        <v>7138</v>
      </c>
      <c r="I640" t="s">
        <v>1315</v>
      </c>
      <c r="J640" t="s">
        <v>1316</v>
      </c>
      <c r="K640" t="s">
        <v>17</v>
      </c>
      <c r="L640" t="str">
        <f t="shared" si="9"/>
        <v xml:space="preserve">{ longitude: -63.636204752993, latitude: 44.595656906982, stopType: 'Bus Stop Shelter Accessible', gotime: \'7138\', location: \'LEIBLIN DR NS IVYLEA CR\' }, </v>
      </c>
    </row>
    <row r="641" spans="1:12" x14ac:dyDescent="0.25">
      <c r="A641">
        <v>-63.623922999194498</v>
      </c>
      <c r="B641">
        <v>44.606157788695697</v>
      </c>
      <c r="C641">
        <v>1130</v>
      </c>
      <c r="D641" t="s">
        <v>11</v>
      </c>
      <c r="E641" t="s">
        <v>12</v>
      </c>
      <c r="F641" t="s">
        <v>13</v>
      </c>
      <c r="G641" t="s">
        <v>14</v>
      </c>
      <c r="H641">
        <v>7139</v>
      </c>
      <c r="I641" t="s">
        <v>1317</v>
      </c>
      <c r="J641" t="s">
        <v>1318</v>
      </c>
      <c r="K641" t="s">
        <v>17</v>
      </c>
      <c r="L641" t="str">
        <f t="shared" si="9"/>
        <v xml:space="preserve">{ longitude: -63.6239229991945, latitude: 44.6061577886957, stopType: 'Bus Stop Non-Standard', gotime: \'7139\', location: \'LEIBLIN DR OPP AVON CR\' }, </v>
      </c>
    </row>
    <row r="642" spans="1:12" x14ac:dyDescent="0.25">
      <c r="A642">
        <v>-63.626805506162498</v>
      </c>
      <c r="B642">
        <v>44.603748108374702</v>
      </c>
      <c r="C642">
        <v>1131</v>
      </c>
      <c r="D642" t="s">
        <v>11</v>
      </c>
      <c r="E642" t="s">
        <v>12</v>
      </c>
      <c r="F642" t="s">
        <v>13</v>
      </c>
      <c r="G642" t="s">
        <v>14</v>
      </c>
      <c r="H642">
        <v>7140</v>
      </c>
      <c r="I642" t="s">
        <v>1319</v>
      </c>
      <c r="J642" t="s">
        <v>1320</v>
      </c>
      <c r="K642" t="s">
        <v>17</v>
      </c>
      <c r="L642" t="str">
        <f t="shared" si="9"/>
        <v xml:space="preserve">{ longitude: -63.6268055061625, latitude: 44.6037481083747, stopType: 'Bus Stop Non-Standard', gotime: \'7140\', location: \'LEIBLIN DR OPP CARNATION CR\' }, </v>
      </c>
    </row>
    <row r="643" spans="1:12" x14ac:dyDescent="0.25">
      <c r="A643">
        <v>-63.628791146549702</v>
      </c>
      <c r="B643">
        <v>44.602044483533398</v>
      </c>
      <c r="C643">
        <v>1132</v>
      </c>
      <c r="D643" t="s">
        <v>11</v>
      </c>
      <c r="E643" t="s">
        <v>12</v>
      </c>
      <c r="F643" t="s">
        <v>25</v>
      </c>
      <c r="G643" t="s">
        <v>26</v>
      </c>
      <c r="H643">
        <v>7141</v>
      </c>
      <c r="I643" t="s">
        <v>1321</v>
      </c>
      <c r="J643" t="s">
        <v>1322</v>
      </c>
      <c r="K643" t="s">
        <v>17</v>
      </c>
      <c r="L643" t="str">
        <f t="shared" ref="L643:L706" si="10">CONCATENATE( "{ longitude: ", A643, ", latitude: ", B643, ", stopType: '", D643, "', gotime: \'", H643, "\', location: \'", I643, "\' }, ")</f>
        <v xml:space="preserve">{ longitude: -63.6287911465497, latitude: 44.6020444835334, stopType: 'Bus Stop Non-Standard', gotime: \'7141\', location: \'LEIBLIN DR OPP ELMDALE CR\' }, </v>
      </c>
    </row>
    <row r="644" spans="1:12" x14ac:dyDescent="0.25">
      <c r="A644">
        <v>-63.6327204925527</v>
      </c>
      <c r="B644">
        <v>44.598773787917999</v>
      </c>
      <c r="C644">
        <v>1133</v>
      </c>
      <c r="D644" t="s">
        <v>11</v>
      </c>
      <c r="E644" t="s">
        <v>12</v>
      </c>
      <c r="F644" t="s">
        <v>13</v>
      </c>
      <c r="G644" t="s">
        <v>14</v>
      </c>
      <c r="H644">
        <v>7142</v>
      </c>
      <c r="I644" t="s">
        <v>1323</v>
      </c>
      <c r="J644" t="s">
        <v>1324</v>
      </c>
      <c r="K644" t="s">
        <v>17</v>
      </c>
      <c r="L644" t="str">
        <f t="shared" si="10"/>
        <v xml:space="preserve">{ longitude: -63.6327204925527, latitude: 44.598773787918, stopType: 'Bus Stop Non-Standard', gotime: \'7142\', location: \'LEIBLIN DR OPP GUILDWOOD CR\' }, </v>
      </c>
    </row>
    <row r="645" spans="1:12" x14ac:dyDescent="0.25">
      <c r="A645">
        <v>-63.636853608800401</v>
      </c>
      <c r="B645">
        <v>44.595202820324097</v>
      </c>
      <c r="C645">
        <v>1134</v>
      </c>
      <c r="D645" t="s">
        <v>11</v>
      </c>
      <c r="E645" t="s">
        <v>12</v>
      </c>
      <c r="F645" t="s">
        <v>13</v>
      </c>
      <c r="G645" t="s">
        <v>14</v>
      </c>
      <c r="H645">
        <v>7143</v>
      </c>
      <c r="I645" t="s">
        <v>1325</v>
      </c>
      <c r="J645" t="s">
        <v>1326</v>
      </c>
      <c r="K645" t="s">
        <v>17</v>
      </c>
      <c r="L645" t="str">
        <f t="shared" si="10"/>
        <v xml:space="preserve">{ longitude: -63.6368536088004, latitude: 44.5952028203241, stopType: 'Bus Stop Non-Standard', gotime: \'7143\', location: \'LEIBLIN DR NS 2ND JUNIPER CR\' }, </v>
      </c>
    </row>
    <row r="646" spans="1:12" x14ac:dyDescent="0.25">
      <c r="A646">
        <v>-63.589681893952203</v>
      </c>
      <c r="B646">
        <v>44.636554862110302</v>
      </c>
      <c r="C646">
        <v>1135</v>
      </c>
      <c r="D646" t="s">
        <v>22</v>
      </c>
      <c r="E646" t="s">
        <v>12</v>
      </c>
      <c r="F646" t="s">
        <v>13</v>
      </c>
      <c r="G646" t="s">
        <v>19</v>
      </c>
      <c r="H646">
        <v>7144</v>
      </c>
      <c r="I646" t="s">
        <v>1327</v>
      </c>
      <c r="J646" t="s">
        <v>1328</v>
      </c>
      <c r="K646" t="s">
        <v>17</v>
      </c>
      <c r="L646" t="str">
        <f t="shared" si="10"/>
        <v xml:space="preserve">{ longitude: -63.5896818939522, latitude: 44.6365548621103, stopType: 'Bus Stop Shelter Accessible', gotime: \'7144\', location: \'LE MARCHANT ST FS SOUTH ST\' }, </v>
      </c>
    </row>
    <row r="647" spans="1:12" x14ac:dyDescent="0.25">
      <c r="A647">
        <v>-63.537593187570799</v>
      </c>
      <c r="B647">
        <v>44.701569716056703</v>
      </c>
      <c r="C647">
        <v>1136</v>
      </c>
      <c r="D647" t="s">
        <v>11</v>
      </c>
      <c r="E647" t="s">
        <v>12</v>
      </c>
      <c r="F647" t="s">
        <v>25</v>
      </c>
      <c r="G647" t="s">
        <v>26</v>
      </c>
      <c r="H647">
        <v>7146</v>
      </c>
      <c r="I647" t="s">
        <v>1329</v>
      </c>
      <c r="J647" t="s">
        <v>1330</v>
      </c>
      <c r="K647" t="s">
        <v>17</v>
      </c>
      <c r="L647" t="str">
        <f t="shared" si="10"/>
        <v xml:space="preserve">{ longitude: -63.5375931875708, latitude: 44.7015697160567, stopType: 'Bus Stop Non-Standard', gotime: \'7146\', location: \'LEXINGTON AVE AT WALNUT HALL\' }, </v>
      </c>
    </row>
    <row r="648" spans="1:12" x14ac:dyDescent="0.25">
      <c r="A648">
        <v>-63.604720568829997</v>
      </c>
      <c r="B648">
        <v>44.710035420063903</v>
      </c>
      <c r="C648">
        <v>1137</v>
      </c>
      <c r="D648" t="s">
        <v>103</v>
      </c>
      <c r="E648" t="s">
        <v>12</v>
      </c>
      <c r="F648" t="s">
        <v>25</v>
      </c>
      <c r="G648" t="s">
        <v>65</v>
      </c>
      <c r="H648">
        <v>6007</v>
      </c>
      <c r="I648" t="s">
        <v>1331</v>
      </c>
      <c r="J648" t="s">
        <v>1332</v>
      </c>
      <c r="K648" t="s">
        <v>17</v>
      </c>
      <c r="L648" t="str">
        <f t="shared" si="10"/>
        <v xml:space="preserve">{ longitude: -63.60472056883, latitude: 44.7100354200639, stopType: 'Bus Stop Inaccessible', gotime: \'6007\', location: \'AKERLEY BLVD AT CIVIC 35\' }, </v>
      </c>
    </row>
    <row r="649" spans="1:12" x14ac:dyDescent="0.25">
      <c r="A649">
        <v>-63.5901676026158</v>
      </c>
      <c r="B649">
        <v>44.714960218600602</v>
      </c>
      <c r="C649">
        <v>1138</v>
      </c>
      <c r="D649" t="s">
        <v>11</v>
      </c>
      <c r="E649" t="s">
        <v>12</v>
      </c>
      <c r="F649" t="s">
        <v>25</v>
      </c>
      <c r="G649" t="s">
        <v>26</v>
      </c>
      <c r="H649">
        <v>6008</v>
      </c>
      <c r="I649" t="s">
        <v>1333</v>
      </c>
      <c r="J649" t="s">
        <v>1334</v>
      </c>
      <c r="K649" t="s">
        <v>17</v>
      </c>
      <c r="L649" t="str">
        <f t="shared" si="10"/>
        <v xml:space="preserve">{ longitude: -63.5901676026158, latitude: 44.7149602186006, stopType: 'Bus Stop Non-Standard', gotime: \'6008\', location: \'AKERLEY BLVD NS BURNSIDE DR [IB]\' }, </v>
      </c>
    </row>
    <row r="650" spans="1:12" x14ac:dyDescent="0.25">
      <c r="A650">
        <v>-63.607493617879797</v>
      </c>
      <c r="B650">
        <v>44.707798207163101</v>
      </c>
      <c r="C650">
        <v>1139</v>
      </c>
      <c r="D650" t="s">
        <v>29</v>
      </c>
      <c r="E650" t="s">
        <v>12</v>
      </c>
      <c r="F650" t="s">
        <v>25</v>
      </c>
      <c r="G650" t="s">
        <v>26</v>
      </c>
      <c r="H650">
        <v>6009</v>
      </c>
      <c r="I650" t="s">
        <v>1335</v>
      </c>
      <c r="J650" t="s">
        <v>1336</v>
      </c>
      <c r="K650" t="s">
        <v>17</v>
      </c>
      <c r="L650" t="str">
        <f t="shared" si="10"/>
        <v xml:space="preserve">{ longitude: -63.6074936178798, latitude: 44.7077982071631, stopType: 'Bus Stop Accessible', gotime: \'6009\', location: \'AKERLEY BLVD NS FIELDING AVE\' }, </v>
      </c>
    </row>
    <row r="651" spans="1:12" x14ac:dyDescent="0.25">
      <c r="A651">
        <v>-63.603910311290299</v>
      </c>
      <c r="B651">
        <v>44.7102000589</v>
      </c>
      <c r="C651">
        <v>1140</v>
      </c>
      <c r="D651" t="s">
        <v>29</v>
      </c>
      <c r="E651" t="s">
        <v>12</v>
      </c>
      <c r="F651" t="s">
        <v>25</v>
      </c>
      <c r="G651" t="s">
        <v>26</v>
      </c>
      <c r="H651">
        <v>6010</v>
      </c>
      <c r="I651" t="s">
        <v>1337</v>
      </c>
      <c r="J651" t="s">
        <v>1338</v>
      </c>
      <c r="K651" t="s">
        <v>17</v>
      </c>
      <c r="L651" t="str">
        <f t="shared" si="10"/>
        <v xml:space="preserve">{ longitude: -63.6039103112903, latitude: 44.7102000589, stopType: 'Bus Stop Accessible', gotime: \'6010\', location: \'AKERLEY BLVD NS ISNOR DR\' }, </v>
      </c>
    </row>
    <row r="652" spans="1:12" x14ac:dyDescent="0.25">
      <c r="A652">
        <v>-63.600951387840297</v>
      </c>
      <c r="B652">
        <v>44.711073620240001</v>
      </c>
      <c r="C652">
        <v>1141</v>
      </c>
      <c r="D652" t="s">
        <v>11</v>
      </c>
      <c r="E652" t="s">
        <v>12</v>
      </c>
      <c r="F652" t="s">
        <v>13</v>
      </c>
      <c r="G652" t="s">
        <v>14</v>
      </c>
      <c r="H652">
        <v>6011</v>
      </c>
      <c r="I652" t="s">
        <v>1339</v>
      </c>
      <c r="J652" t="s">
        <v>1340</v>
      </c>
      <c r="K652" t="s">
        <v>17</v>
      </c>
      <c r="L652" t="str">
        <f t="shared" si="10"/>
        <v xml:space="preserve">{ longitude: -63.6009513878403, latitude: 44.71107362024, stopType: 'Bus Stop Non-Standard', gotime: \'6011\', location: \'AKERLEY BLVD NS JOE ZATZMAN AVE\' }, </v>
      </c>
    </row>
    <row r="653" spans="1:12" x14ac:dyDescent="0.25">
      <c r="A653">
        <v>-63.471642522650001</v>
      </c>
      <c r="B653">
        <v>44.602699489026101</v>
      </c>
      <c r="C653">
        <v>1142</v>
      </c>
      <c r="D653" t="s">
        <v>18</v>
      </c>
      <c r="E653" t="s">
        <v>12</v>
      </c>
      <c r="F653" t="s">
        <v>25</v>
      </c>
      <c r="G653" t="s">
        <v>19</v>
      </c>
      <c r="H653">
        <v>8273</v>
      </c>
      <c r="I653" t="s">
        <v>1341</v>
      </c>
      <c r="J653" t="s">
        <v>1342</v>
      </c>
      <c r="K653" t="s">
        <v>17</v>
      </c>
      <c r="L653" t="str">
        <f t="shared" si="10"/>
        <v xml:space="preserve">{ longitude: -63.47164252265, latitude: 44.6026994890261, stopType: 'Bus Stop Shelter Non-Standard', gotime: \'8273\', location: \'SHORE RD NS CIVIC 1992\' }, </v>
      </c>
    </row>
    <row r="654" spans="1:12" x14ac:dyDescent="0.25">
      <c r="A654">
        <v>-63.546055383501702</v>
      </c>
      <c r="B654">
        <v>44.673435633251898</v>
      </c>
      <c r="C654">
        <v>1143</v>
      </c>
      <c r="D654" t="s">
        <v>11</v>
      </c>
      <c r="E654" t="s">
        <v>12</v>
      </c>
      <c r="F654" t="s">
        <v>25</v>
      </c>
      <c r="G654" t="s">
        <v>26</v>
      </c>
      <c r="H654">
        <v>7383</v>
      </c>
      <c r="I654" t="s">
        <v>1343</v>
      </c>
      <c r="J654" t="s">
        <v>1344</v>
      </c>
      <c r="K654" t="s">
        <v>17</v>
      </c>
      <c r="L654" t="str">
        <f t="shared" si="10"/>
        <v xml:space="preserve">{ longitude: -63.5460553835017, latitude: 44.6734356332519, stopType: 'Bus Stop Non-Standard', gotime: \'7383\', location: \'OATHILL FS CIVIC 35\' }, </v>
      </c>
    </row>
    <row r="655" spans="1:12" x14ac:dyDescent="0.25">
      <c r="A655">
        <v>-63.469186392268398</v>
      </c>
      <c r="B655">
        <v>44.601255371314302</v>
      </c>
      <c r="C655">
        <v>1144</v>
      </c>
      <c r="D655" t="s">
        <v>11</v>
      </c>
      <c r="E655" t="s">
        <v>12</v>
      </c>
      <c r="F655" t="s">
        <v>25</v>
      </c>
      <c r="G655" t="s">
        <v>26</v>
      </c>
      <c r="H655">
        <v>8274</v>
      </c>
      <c r="I655" t="s">
        <v>1345</v>
      </c>
      <c r="J655" t="s">
        <v>1346</v>
      </c>
      <c r="K655" t="s">
        <v>17</v>
      </c>
      <c r="L655" t="str">
        <f t="shared" si="10"/>
        <v xml:space="preserve">{ longitude: -63.4691863922684, latitude: 44.6012553713143, stopType: 'Bus Stop Non-Standard', gotime: \'8274\', location: \'SHORE RD NS HIMMELMAN DR\' }, </v>
      </c>
    </row>
    <row r="656" spans="1:12" x14ac:dyDescent="0.25">
      <c r="A656">
        <v>-63.687715286412597</v>
      </c>
      <c r="B656">
        <v>44.787449634416902</v>
      </c>
      <c r="C656">
        <v>1145</v>
      </c>
      <c r="D656" t="s">
        <v>29</v>
      </c>
      <c r="E656" t="s">
        <v>12</v>
      </c>
      <c r="F656" t="s">
        <v>25</v>
      </c>
      <c r="G656" t="s">
        <v>26</v>
      </c>
      <c r="H656">
        <v>8354</v>
      </c>
      <c r="I656" t="s">
        <v>1347</v>
      </c>
      <c r="J656" s="1" t="s">
        <v>1348</v>
      </c>
      <c r="K656" t="s">
        <v>17</v>
      </c>
      <c r="L656" t="str">
        <f t="shared" si="10"/>
        <v xml:space="preserve">{ longitude: -63.6877152864126, latitude: 44.7874496344169, stopType: 'Bus Stop Accessible', gotime: \'8354\', location: \'STOKIL DR FS GRENNAN DR\' }, </v>
      </c>
    </row>
    <row r="657" spans="1:12" x14ac:dyDescent="0.25">
      <c r="A657">
        <v>-63.5458669583304</v>
      </c>
      <c r="B657">
        <v>44.673389060468303</v>
      </c>
      <c r="C657">
        <v>1146</v>
      </c>
      <c r="D657" t="s">
        <v>103</v>
      </c>
      <c r="E657" t="s">
        <v>12</v>
      </c>
      <c r="F657" t="s">
        <v>25</v>
      </c>
      <c r="G657" t="s">
        <v>65</v>
      </c>
      <c r="H657">
        <v>7384</v>
      </c>
      <c r="I657" t="s">
        <v>1349</v>
      </c>
      <c r="J657" t="s">
        <v>1350</v>
      </c>
      <c r="K657" t="s">
        <v>17</v>
      </c>
      <c r="L657" t="str">
        <f t="shared" si="10"/>
        <v xml:space="preserve">{ longitude: -63.5458669583304, latitude: 44.6733890604683, stopType: 'Bus Stop Inaccessible', gotime: \'7384\', location: \'OATHILL OPP CIVIC 35\' }, </v>
      </c>
    </row>
    <row r="658" spans="1:12" x14ac:dyDescent="0.25">
      <c r="A658">
        <v>-63.685869166514898</v>
      </c>
      <c r="B658">
        <v>44.7857265721602</v>
      </c>
      <c r="C658">
        <v>1147</v>
      </c>
      <c r="D658" t="s">
        <v>29</v>
      </c>
      <c r="E658" t="s">
        <v>12</v>
      </c>
      <c r="F658" t="s">
        <v>25</v>
      </c>
      <c r="G658" t="s">
        <v>26</v>
      </c>
      <c r="H658">
        <v>8355</v>
      </c>
      <c r="I658" t="s">
        <v>1351</v>
      </c>
      <c r="J658" t="s">
        <v>1352</v>
      </c>
      <c r="K658" t="s">
        <v>17</v>
      </c>
      <c r="L658" t="str">
        <f t="shared" si="10"/>
        <v xml:space="preserve">{ longitude: -63.6858691665149, latitude: 44.7857265721602, stopType: 'Bus Stop Accessible', gotime: \'8355\', location: \'STOKIL DR FS SAMPSON DR\' }, </v>
      </c>
    </row>
    <row r="659" spans="1:12" x14ac:dyDescent="0.25">
      <c r="A659">
        <v>-63.688147965778803</v>
      </c>
      <c r="B659">
        <v>44.788136677498997</v>
      </c>
      <c r="C659">
        <v>1148</v>
      </c>
      <c r="D659" t="s">
        <v>103</v>
      </c>
      <c r="E659" t="s">
        <v>12</v>
      </c>
      <c r="F659" t="s">
        <v>25</v>
      </c>
      <c r="G659" t="s">
        <v>65</v>
      </c>
      <c r="H659">
        <v>8356</v>
      </c>
      <c r="I659" t="s">
        <v>1353</v>
      </c>
      <c r="J659" t="s">
        <v>1354</v>
      </c>
      <c r="K659" t="s">
        <v>17</v>
      </c>
      <c r="L659" t="str">
        <f t="shared" si="10"/>
        <v xml:space="preserve">{ longitude: -63.6881479657788, latitude: 44.788136677499, stopType: 'Bus Stop Inaccessible', gotime: \'8356\', location: \'STOKIL DR OPP GRENNAN DR\' }, </v>
      </c>
    </row>
    <row r="660" spans="1:12" x14ac:dyDescent="0.25">
      <c r="A660">
        <v>-63.690148583166199</v>
      </c>
      <c r="B660">
        <v>44.789594501152401</v>
      </c>
      <c r="C660">
        <v>1149</v>
      </c>
      <c r="D660" t="s">
        <v>29</v>
      </c>
      <c r="E660" t="s">
        <v>12</v>
      </c>
      <c r="F660" t="s">
        <v>25</v>
      </c>
      <c r="G660" t="s">
        <v>1355</v>
      </c>
      <c r="H660">
        <v>8357</v>
      </c>
      <c r="I660" t="s">
        <v>1356</v>
      </c>
      <c r="J660" t="s">
        <v>1357</v>
      </c>
      <c r="K660" t="s">
        <v>17</v>
      </c>
      <c r="L660" t="str">
        <f t="shared" si="10"/>
        <v xml:space="preserve">{ longitude: -63.6901485831662, latitude: 44.7895945011524, stopType: 'Bus Stop Accessible', gotime: \'8357\', location: \'STOKIL DR NS BEAVERBANK\' }, </v>
      </c>
    </row>
    <row r="661" spans="1:12" x14ac:dyDescent="0.25">
      <c r="A661">
        <v>-63.6862567466138</v>
      </c>
      <c r="B661">
        <v>44.785771452514403</v>
      </c>
      <c r="C661">
        <v>1150</v>
      </c>
      <c r="D661" t="s">
        <v>29</v>
      </c>
      <c r="E661" t="s">
        <v>12</v>
      </c>
      <c r="F661" t="s">
        <v>13</v>
      </c>
      <c r="G661" t="s">
        <v>14</v>
      </c>
      <c r="H661">
        <v>8358</v>
      </c>
      <c r="I661" t="s">
        <v>1358</v>
      </c>
      <c r="J661" t="s">
        <v>1359</v>
      </c>
      <c r="K661" t="s">
        <v>17</v>
      </c>
      <c r="L661" t="str">
        <f t="shared" si="10"/>
        <v xml:space="preserve">{ longitude: -63.6862567466138, latitude: 44.7857714525144, stopType: 'Bus Stop Accessible', gotime: \'8358\', location: \'STOKIL DR NS SMOKEY DR\' }, </v>
      </c>
    </row>
    <row r="662" spans="1:12" x14ac:dyDescent="0.25">
      <c r="A662">
        <v>-63.565432462011501</v>
      </c>
      <c r="B662">
        <v>44.669257980927902</v>
      </c>
      <c r="C662">
        <v>1151</v>
      </c>
      <c r="D662" t="s">
        <v>29</v>
      </c>
      <c r="E662" t="s">
        <v>12</v>
      </c>
      <c r="F662" t="s">
        <v>25</v>
      </c>
      <c r="G662" t="s">
        <v>26</v>
      </c>
      <c r="H662">
        <v>7385</v>
      </c>
      <c r="I662" t="s">
        <v>1360</v>
      </c>
      <c r="J662" t="s">
        <v>1361</v>
      </c>
      <c r="K662" t="s">
        <v>17</v>
      </c>
      <c r="L662" t="str">
        <f t="shared" si="10"/>
        <v xml:space="preserve">{ longitude: -63.5654324620115, latitude: 44.6692579809279, stopType: 'Bus Stop Accessible', gotime: \'7385\', location: \'OCHTERLONEY ST AT CIVIC 133\' }, </v>
      </c>
    </row>
    <row r="663" spans="1:12" x14ac:dyDescent="0.25">
      <c r="A663">
        <v>-63.565284610362099</v>
      </c>
      <c r="B663">
        <v>44.669189992823298</v>
      </c>
      <c r="C663">
        <v>1152</v>
      </c>
      <c r="D663" t="s">
        <v>22</v>
      </c>
      <c r="E663" t="s">
        <v>12</v>
      </c>
      <c r="F663" t="s">
        <v>13</v>
      </c>
      <c r="G663" t="s">
        <v>14</v>
      </c>
      <c r="H663">
        <v>7386</v>
      </c>
      <c r="I663" t="s">
        <v>1362</v>
      </c>
      <c r="J663" t="s">
        <v>1363</v>
      </c>
      <c r="K663" t="s">
        <v>17</v>
      </c>
      <c r="L663" t="str">
        <f t="shared" si="10"/>
        <v xml:space="preserve">{ longitude: -63.5652846103621, latitude: 44.6691899928233, stopType: 'Bus Stop Shelter Accessible', gotime: \'7386\', location: \'OCHTERLONEY ST FS PINE\' }, </v>
      </c>
    </row>
    <row r="664" spans="1:12" x14ac:dyDescent="0.25">
      <c r="A664">
        <v>-63.569120637999603</v>
      </c>
      <c r="B664">
        <v>44.666121905760598</v>
      </c>
      <c r="C664">
        <v>1153</v>
      </c>
      <c r="D664" t="s">
        <v>29</v>
      </c>
      <c r="E664" t="s">
        <v>12</v>
      </c>
      <c r="F664" t="s">
        <v>13</v>
      </c>
      <c r="G664" t="s">
        <v>19</v>
      </c>
      <c r="H664">
        <v>7387</v>
      </c>
      <c r="I664" t="s">
        <v>1364</v>
      </c>
      <c r="J664" t="s">
        <v>1365</v>
      </c>
      <c r="K664" t="s">
        <v>17</v>
      </c>
      <c r="L664" t="str">
        <f t="shared" si="10"/>
        <v xml:space="preserve">{ longitude: -63.5691206379996, latitude: 44.6661219057606, stopType: 'Bus Stop Accessible', gotime: \'7387\', location: \'OCHTERLONEY ST NS EDWARD\' }, </v>
      </c>
    </row>
    <row r="665" spans="1:12" x14ac:dyDescent="0.25">
      <c r="A665">
        <v>-63.5684119794239</v>
      </c>
      <c r="B665">
        <v>44.6666994002873</v>
      </c>
      <c r="C665">
        <v>1154</v>
      </c>
      <c r="D665" t="s">
        <v>29</v>
      </c>
      <c r="E665" t="s">
        <v>12</v>
      </c>
      <c r="F665" t="s">
        <v>25</v>
      </c>
      <c r="G665" t="s">
        <v>26</v>
      </c>
      <c r="H665">
        <v>7388</v>
      </c>
      <c r="I665" t="s">
        <v>1366</v>
      </c>
      <c r="J665" t="s">
        <v>1367</v>
      </c>
      <c r="K665" t="s">
        <v>17</v>
      </c>
      <c r="L665" t="str">
        <f t="shared" si="10"/>
        <v xml:space="preserve">{ longitude: -63.5684119794239, latitude: 44.6666994002873, stopType: 'Bus Stop Accessible', gotime: \'7388\', location: \'OCHTERLONEY ST NS KING ST\' }, </v>
      </c>
    </row>
    <row r="666" spans="1:12" x14ac:dyDescent="0.25">
      <c r="A666">
        <v>-63.567644733218799</v>
      </c>
      <c r="B666">
        <v>44.667359119655103</v>
      </c>
      <c r="C666">
        <v>1155</v>
      </c>
      <c r="D666" t="s">
        <v>29</v>
      </c>
      <c r="E666" t="s">
        <v>12</v>
      </c>
      <c r="F666" t="s">
        <v>25</v>
      </c>
      <c r="G666" t="s">
        <v>26</v>
      </c>
      <c r="H666">
        <v>7389</v>
      </c>
      <c r="I666" t="s">
        <v>1368</v>
      </c>
      <c r="J666" t="s">
        <v>1369</v>
      </c>
      <c r="K666" t="s">
        <v>17</v>
      </c>
      <c r="L666" t="str">
        <f t="shared" si="10"/>
        <v xml:space="preserve">{ longitude: -63.5676447332188, latitude: 44.6673591196551, stopType: 'Bus Stop Accessible', gotime: \'7389\', location: \'OCHTERLONEY ST NS WENTWORTH ST&lt;WB&gt;\' }, </v>
      </c>
    </row>
    <row r="667" spans="1:12" x14ac:dyDescent="0.25">
      <c r="A667">
        <v>-63.623922627628701</v>
      </c>
      <c r="B667">
        <v>44.610406426927199</v>
      </c>
      <c r="C667">
        <v>1156</v>
      </c>
      <c r="D667" t="s">
        <v>22</v>
      </c>
      <c r="E667" t="s">
        <v>12</v>
      </c>
      <c r="F667" t="s">
        <v>13</v>
      </c>
      <c r="G667" t="s">
        <v>19</v>
      </c>
      <c r="H667">
        <v>7390</v>
      </c>
      <c r="I667" t="s">
        <v>1370</v>
      </c>
      <c r="J667" t="s">
        <v>1371</v>
      </c>
      <c r="K667" t="s">
        <v>17</v>
      </c>
      <c r="L667" t="str">
        <f t="shared" si="10"/>
        <v xml:space="preserve">{ longitude: -63.6239226276287, latitude: 44.6104064269272, stopType: 'Bus Stop Shelter Accessible', gotime: \'7390\', location: \'OLD SAMBRO RD FS SUSSEX [IB]\' }, </v>
      </c>
    </row>
    <row r="668" spans="1:12" x14ac:dyDescent="0.25">
      <c r="A668">
        <v>-63.623238465984002</v>
      </c>
      <c r="B668">
        <v>44.613590895229997</v>
      </c>
      <c r="C668">
        <v>1157</v>
      </c>
      <c r="D668" t="s">
        <v>29</v>
      </c>
      <c r="E668" t="s">
        <v>12</v>
      </c>
      <c r="F668" t="s">
        <v>13</v>
      </c>
      <c r="G668" t="s">
        <v>14</v>
      </c>
      <c r="H668">
        <v>7391</v>
      </c>
      <c r="I668" t="s">
        <v>1372</v>
      </c>
      <c r="J668" t="s">
        <v>1373</v>
      </c>
      <c r="K668" t="s">
        <v>17</v>
      </c>
      <c r="L668" t="str">
        <f t="shared" si="10"/>
        <v xml:space="preserve">{ longitude: -63.623238465984, latitude: 44.61359089523, stopType: 'Bus Stop Accessible', gotime: \'7391\', location: \'OLD SAMBRO RD AT CIVIC 132 [IB]\' }, </v>
      </c>
    </row>
    <row r="669" spans="1:12" x14ac:dyDescent="0.25">
      <c r="A669">
        <v>-63.624170737022901</v>
      </c>
      <c r="B669">
        <v>44.6126590068993</v>
      </c>
      <c r="C669">
        <v>1158</v>
      </c>
      <c r="D669" t="s">
        <v>11</v>
      </c>
      <c r="E669" t="s">
        <v>12</v>
      </c>
      <c r="F669" t="s">
        <v>13</v>
      </c>
      <c r="G669" t="s">
        <v>14</v>
      </c>
      <c r="H669">
        <v>7392</v>
      </c>
      <c r="I669" t="s">
        <v>1374</v>
      </c>
      <c r="J669" t="s">
        <v>1375</v>
      </c>
      <c r="K669" t="s">
        <v>17</v>
      </c>
      <c r="L669" t="str">
        <f t="shared" si="10"/>
        <v xml:space="preserve">{ longitude: -63.6241707370229, latitude: 44.6126590068993, stopType: 'Bus Stop Non-Standard', gotime: \'7392\', location: \'OLD SAMBRO RD AT CIVIC 143\' }, </v>
      </c>
    </row>
    <row r="670" spans="1:12" x14ac:dyDescent="0.25">
      <c r="A670">
        <v>-63.624104717585503</v>
      </c>
      <c r="B670">
        <v>44.610353824656897</v>
      </c>
      <c r="C670">
        <v>1159</v>
      </c>
      <c r="D670" t="s">
        <v>103</v>
      </c>
      <c r="E670" t="s">
        <v>12</v>
      </c>
      <c r="F670" t="s">
        <v>13</v>
      </c>
      <c r="G670" t="s">
        <v>65</v>
      </c>
      <c r="H670">
        <v>7393</v>
      </c>
      <c r="I670" t="s">
        <v>1376</v>
      </c>
      <c r="J670" t="s">
        <v>1377</v>
      </c>
      <c r="K670" t="s">
        <v>17</v>
      </c>
      <c r="L670" t="str">
        <f t="shared" si="10"/>
        <v xml:space="preserve">{ longitude: -63.6241047175855, latitude: 44.6103538246569, stopType: 'Bus Stop Inaccessible', gotime: \'7393\', location: \'OLD SAMBRO RD NS SUSSEX\' }, </v>
      </c>
    </row>
    <row r="671" spans="1:12" x14ac:dyDescent="0.25">
      <c r="A671">
        <v>-63.618929763660098</v>
      </c>
      <c r="B671">
        <v>44.6201727823154</v>
      </c>
      <c r="C671">
        <v>1160</v>
      </c>
      <c r="D671" t="s">
        <v>11</v>
      </c>
      <c r="E671" t="s">
        <v>12</v>
      </c>
      <c r="F671" t="s">
        <v>13</v>
      </c>
      <c r="G671" t="s">
        <v>14</v>
      </c>
      <c r="H671">
        <v>7394</v>
      </c>
      <c r="I671" t="s">
        <v>1378</v>
      </c>
      <c r="J671" t="s">
        <v>1379</v>
      </c>
      <c r="K671" t="s">
        <v>17</v>
      </c>
      <c r="L671" t="str">
        <f t="shared" si="10"/>
        <v xml:space="preserve">{ longitude: -63.6189297636601, latitude: 44.6201727823154, stopType: 'Bus Stop Non-Standard', gotime: \'7394\', location: \'OLD SAMBRO RD AT CIVIC 11\' }, </v>
      </c>
    </row>
    <row r="672" spans="1:12" x14ac:dyDescent="0.25">
      <c r="A672">
        <v>-63.6277660597409</v>
      </c>
      <c r="B672">
        <v>44.631817062071399</v>
      </c>
      <c r="C672">
        <v>1161</v>
      </c>
      <c r="D672" t="s">
        <v>29</v>
      </c>
      <c r="E672" t="s">
        <v>12</v>
      </c>
      <c r="F672" t="s">
        <v>25</v>
      </c>
      <c r="G672" t="s">
        <v>19</v>
      </c>
      <c r="H672">
        <v>7395</v>
      </c>
      <c r="I672" t="s">
        <v>1380</v>
      </c>
      <c r="J672" t="s">
        <v>1381</v>
      </c>
      <c r="K672" t="s">
        <v>17</v>
      </c>
      <c r="L672" t="str">
        <f t="shared" si="10"/>
        <v xml:space="preserve">{ longitude: -63.6277660597409, latitude: 44.6318170620714, stopType: 'Bus Stop Accessible', gotime: \'7395\', location: \'OSBORNE ST FS KELLY ST [OB]\' }, </v>
      </c>
    </row>
    <row r="673" spans="1:12" x14ac:dyDescent="0.25">
      <c r="A673">
        <v>-63.627997750040699</v>
      </c>
      <c r="B673">
        <v>44.631494838712101</v>
      </c>
      <c r="C673">
        <v>1162</v>
      </c>
      <c r="D673" t="s">
        <v>22</v>
      </c>
      <c r="E673" t="s">
        <v>12</v>
      </c>
      <c r="F673" t="s">
        <v>25</v>
      </c>
      <c r="G673" t="s">
        <v>19</v>
      </c>
      <c r="H673">
        <v>7396</v>
      </c>
      <c r="I673" t="s">
        <v>1382</v>
      </c>
      <c r="J673" t="s">
        <v>1383</v>
      </c>
      <c r="K673" t="s">
        <v>17</v>
      </c>
      <c r="L673" t="str">
        <f t="shared" si="10"/>
        <v xml:space="preserve">{ longitude: -63.6279977500407, latitude: 44.6314948387121, stopType: 'Bus Stop Shelter Accessible', gotime: \'7396\', location: \'OSBORNE ST AT SUNSET AVE\' }, </v>
      </c>
    </row>
    <row r="674" spans="1:12" x14ac:dyDescent="0.25">
      <c r="A674">
        <v>-63.625941392333097</v>
      </c>
      <c r="B674">
        <v>44.633306077208204</v>
      </c>
      <c r="C674">
        <v>1163</v>
      </c>
      <c r="D674" t="s">
        <v>11</v>
      </c>
      <c r="E674" t="s">
        <v>12</v>
      </c>
      <c r="F674" t="s">
        <v>25</v>
      </c>
      <c r="G674" t="s">
        <v>26</v>
      </c>
      <c r="H674">
        <v>7397</v>
      </c>
      <c r="I674" t="s">
        <v>1384</v>
      </c>
      <c r="J674" t="s">
        <v>1385</v>
      </c>
      <c r="K674" t="s">
        <v>17</v>
      </c>
      <c r="L674" t="str">
        <f t="shared" si="10"/>
        <v xml:space="preserve">{ longitude: -63.6259413923331, latitude: 44.6333060772082, stopType: 'Bus Stop Non-Standard', gotime: \'7397\', location: \'OSBORNE ST AT CIVIC 5 [OB]\' }, </v>
      </c>
    </row>
    <row r="675" spans="1:12" x14ac:dyDescent="0.25">
      <c r="A675">
        <v>-63.498812134069397</v>
      </c>
      <c r="B675">
        <v>44.6724912365165</v>
      </c>
      <c r="C675">
        <v>1164</v>
      </c>
      <c r="D675" t="s">
        <v>11</v>
      </c>
      <c r="E675" t="s">
        <v>12</v>
      </c>
      <c r="F675" t="s">
        <v>25</v>
      </c>
      <c r="G675" t="s">
        <v>26</v>
      </c>
      <c r="H675">
        <v>7398</v>
      </c>
      <c r="I675" t="s">
        <v>1386</v>
      </c>
      <c r="J675" t="s">
        <v>1387</v>
      </c>
      <c r="K675" t="s">
        <v>17</v>
      </c>
      <c r="L675" t="str">
        <f t="shared" si="10"/>
        <v xml:space="preserve">{ longitude: -63.4988121340694, latitude: 44.6724912365165, stopType: 'Bus Stop Non-Standard', gotime: \'7398\', location: \'OTAGO DR FS CIVIC 25 &lt;NB&gt;\' }, </v>
      </c>
    </row>
    <row r="676" spans="1:12" x14ac:dyDescent="0.25">
      <c r="A676">
        <v>-63.678367420410098</v>
      </c>
      <c r="B676">
        <v>44.677506128618397</v>
      </c>
      <c r="C676">
        <v>1165</v>
      </c>
      <c r="D676" t="s">
        <v>29</v>
      </c>
      <c r="E676" t="s">
        <v>12</v>
      </c>
      <c r="F676" t="s">
        <v>25</v>
      </c>
      <c r="G676" t="s">
        <v>19</v>
      </c>
      <c r="H676">
        <v>9027</v>
      </c>
      <c r="I676" t="s">
        <v>1388</v>
      </c>
      <c r="J676" s="1" t="s">
        <v>1389</v>
      </c>
      <c r="K676" t="s">
        <v>17</v>
      </c>
      <c r="L676" t="str">
        <f t="shared" si="10"/>
        <v xml:space="preserve">{ longitude: -63.6783674204101, latitude: 44.6775061286184, stopType: 'Bus Stop Accessible', gotime: \'9027\', location: \'PARKLAND DR FS OPP CIVIC 680\' }, </v>
      </c>
    </row>
    <row r="677" spans="1:12" x14ac:dyDescent="0.25">
      <c r="A677">
        <v>-63.476136868694397</v>
      </c>
      <c r="B677">
        <v>44.6480268689984</v>
      </c>
      <c r="C677">
        <v>1166</v>
      </c>
      <c r="D677" t="s">
        <v>11</v>
      </c>
      <c r="E677" t="s">
        <v>12</v>
      </c>
      <c r="F677" t="s">
        <v>25</v>
      </c>
      <c r="G677" t="s">
        <v>26</v>
      </c>
      <c r="H677">
        <v>8267</v>
      </c>
      <c r="I677" t="s">
        <v>1390</v>
      </c>
      <c r="J677" t="s">
        <v>1391</v>
      </c>
      <c r="K677" t="s">
        <v>17</v>
      </c>
      <c r="L677" t="str">
        <f t="shared" si="10"/>
        <v xml:space="preserve">{ longitude: -63.4761368686944, latitude: 44.6480268689984, stopType: 'Bus Stop Non-Standard', gotime: \'8267\', location: \'SHERWOOD ST NS CARLISLE DR\' }, </v>
      </c>
    </row>
    <row r="678" spans="1:12" x14ac:dyDescent="0.25">
      <c r="A678">
        <v>-63.478527609840498</v>
      </c>
      <c r="B678">
        <v>44.647571290898</v>
      </c>
      <c r="C678">
        <v>1167</v>
      </c>
      <c r="D678" t="s">
        <v>11</v>
      </c>
      <c r="E678" t="s">
        <v>12</v>
      </c>
      <c r="F678" t="s">
        <v>25</v>
      </c>
      <c r="G678" t="s">
        <v>26</v>
      </c>
      <c r="H678">
        <v>8268</v>
      </c>
      <c r="I678" t="s">
        <v>1392</v>
      </c>
      <c r="J678" t="s">
        <v>1393</v>
      </c>
      <c r="K678" t="s">
        <v>17</v>
      </c>
      <c r="L678" t="str">
        <f t="shared" si="10"/>
        <v xml:space="preserve">{ longitude: -63.4785276098405, latitude: 44.647571290898, stopType: 'Bus Stop Non-Standard', gotime: \'8268\', location: \'SHERWOOD ST OPP WOODBURY DR\' }, </v>
      </c>
    </row>
    <row r="679" spans="1:12" x14ac:dyDescent="0.25">
      <c r="A679">
        <v>-63.477080308057403</v>
      </c>
      <c r="B679">
        <v>44.604377296123197</v>
      </c>
      <c r="C679">
        <v>1168</v>
      </c>
      <c r="D679" t="s">
        <v>11</v>
      </c>
      <c r="E679" t="s">
        <v>12</v>
      </c>
      <c r="F679" t="s">
        <v>25</v>
      </c>
      <c r="G679" t="s">
        <v>19</v>
      </c>
      <c r="H679">
        <v>8269</v>
      </c>
      <c r="I679" t="s">
        <v>1394</v>
      </c>
      <c r="J679" t="s">
        <v>1395</v>
      </c>
      <c r="K679" t="s">
        <v>17</v>
      </c>
      <c r="L679" t="str">
        <f t="shared" si="10"/>
        <v xml:space="preserve">{ longitude: -63.4770803080574, latitude: 44.6043772961232, stopType: 'Bus Stop Non-Standard', gotime: \'8269\', location: \'SHORE RD FS CHATER ST\' }, </v>
      </c>
    </row>
    <row r="680" spans="1:12" x14ac:dyDescent="0.25">
      <c r="A680">
        <v>-63.482980068355602</v>
      </c>
      <c r="B680">
        <v>44.606310954191301</v>
      </c>
      <c r="C680">
        <v>1169</v>
      </c>
      <c r="D680" t="s">
        <v>22</v>
      </c>
      <c r="E680" t="s">
        <v>12</v>
      </c>
      <c r="F680" t="s">
        <v>25</v>
      </c>
      <c r="G680" t="s">
        <v>26</v>
      </c>
      <c r="H680">
        <v>8270</v>
      </c>
      <c r="I680" t="s">
        <v>1396</v>
      </c>
      <c r="J680" t="s">
        <v>1397</v>
      </c>
      <c r="K680" t="s">
        <v>17</v>
      </c>
      <c r="L680" t="str">
        <f t="shared" si="10"/>
        <v xml:space="preserve">{ longitude: -63.4829800683556, latitude: 44.6063109541913, stopType: 'Bus Stop Shelter Accessible', gotime: \'8270\', location: \'SHORE RD FS OCEANLEA DR\' }, </v>
      </c>
    </row>
    <row r="681" spans="1:12" x14ac:dyDescent="0.25">
      <c r="A681">
        <v>-63.473416793025002</v>
      </c>
      <c r="B681">
        <v>44.603525437455097</v>
      </c>
      <c r="C681">
        <v>1170</v>
      </c>
      <c r="D681" t="s">
        <v>18</v>
      </c>
      <c r="E681" t="s">
        <v>12</v>
      </c>
      <c r="F681" t="s">
        <v>25</v>
      </c>
      <c r="G681" t="s">
        <v>26</v>
      </c>
      <c r="H681">
        <v>8271</v>
      </c>
      <c r="I681" t="s">
        <v>1398</v>
      </c>
      <c r="J681" t="s">
        <v>1399</v>
      </c>
      <c r="K681" t="s">
        <v>17</v>
      </c>
      <c r="L681" t="str">
        <f t="shared" si="10"/>
        <v xml:space="preserve">{ longitude: -63.473416793025, latitude: 44.6035254374551, stopType: 'Bus Stop Shelter Non-Standard', gotime: \'8271\', location: \'SHORE RD FS ROMKEY DR\' }, </v>
      </c>
    </row>
    <row r="682" spans="1:12" x14ac:dyDescent="0.25">
      <c r="A682">
        <v>-63.575679599968502</v>
      </c>
      <c r="B682">
        <v>44.643274663703401</v>
      </c>
      <c r="C682">
        <v>1171</v>
      </c>
      <c r="D682" t="s">
        <v>22</v>
      </c>
      <c r="E682" t="s">
        <v>12</v>
      </c>
      <c r="F682" t="s">
        <v>13</v>
      </c>
      <c r="G682" t="s">
        <v>19</v>
      </c>
      <c r="H682">
        <v>8327</v>
      </c>
      <c r="I682" t="s">
        <v>1400</v>
      </c>
      <c r="J682" t="s">
        <v>1401</v>
      </c>
      <c r="K682" t="s">
        <v>17</v>
      </c>
      <c r="L682" t="str">
        <f t="shared" si="10"/>
        <v xml:space="preserve">{ longitude: -63.5756795999685, latitude: 44.6432746637034, stopType: 'Bus Stop Shelter Accessible', gotime: \'8327\', location: \'SPRING GARDEN RD EB AT QUEEN ST\' }, </v>
      </c>
    </row>
    <row r="683" spans="1:12" x14ac:dyDescent="0.25">
      <c r="A683">
        <v>-63.585257640704803</v>
      </c>
      <c r="B683">
        <v>44.640695949986203</v>
      </c>
      <c r="C683">
        <v>1172</v>
      </c>
      <c r="D683" t="s">
        <v>22</v>
      </c>
      <c r="E683" t="s">
        <v>12</v>
      </c>
      <c r="F683" t="s">
        <v>13</v>
      </c>
      <c r="G683" t="s">
        <v>19</v>
      </c>
      <c r="H683">
        <v>8328</v>
      </c>
      <c r="I683" t="s">
        <v>1402</v>
      </c>
      <c r="J683" t="s">
        <v>1403</v>
      </c>
      <c r="K683" t="s">
        <v>17</v>
      </c>
      <c r="L683" t="str">
        <f t="shared" si="10"/>
        <v xml:space="preserve">{ longitude: -63.5852576407048, latitude: 44.6406959499862, stopType: 'Bus Stop Shelter Accessible', gotime: \'8328\', location: \'SPRING GARDEN RD EB AT CARLTON ST\' }, </v>
      </c>
    </row>
    <row r="684" spans="1:12" x14ac:dyDescent="0.25">
      <c r="A684">
        <v>-63.584427677565898</v>
      </c>
      <c r="B684">
        <v>44.6410896092897</v>
      </c>
      <c r="C684">
        <v>1173</v>
      </c>
      <c r="D684" t="s">
        <v>29</v>
      </c>
      <c r="E684" t="s">
        <v>12</v>
      </c>
      <c r="F684" t="s">
        <v>25</v>
      </c>
      <c r="G684" t="s">
        <v>19</v>
      </c>
      <c r="H684">
        <v>8329</v>
      </c>
      <c r="I684" t="s">
        <v>1404</v>
      </c>
      <c r="J684" t="s">
        <v>1405</v>
      </c>
      <c r="K684" t="s">
        <v>17</v>
      </c>
      <c r="L684" t="str">
        <f t="shared" si="10"/>
        <v xml:space="preserve">{ longitude: -63.5844276775659, latitude: 44.6410896092897, stopType: 'Bus Stop Accessible', gotime: \'8329\', location: \'SPRING GARDEN RD WB AT CARLTON ST\' }, </v>
      </c>
    </row>
    <row r="685" spans="1:12" x14ac:dyDescent="0.25">
      <c r="A685">
        <v>-63.577723911217099</v>
      </c>
      <c r="B685">
        <v>44.642893941504298</v>
      </c>
      <c r="C685">
        <v>1174</v>
      </c>
      <c r="D685" t="s">
        <v>29</v>
      </c>
      <c r="E685" t="s">
        <v>12</v>
      </c>
      <c r="F685" t="s">
        <v>13</v>
      </c>
      <c r="G685" t="s">
        <v>19</v>
      </c>
      <c r="H685">
        <v>8330</v>
      </c>
      <c r="I685" t="s">
        <v>1406</v>
      </c>
      <c r="J685" t="s">
        <v>1407</v>
      </c>
      <c r="K685" t="s">
        <v>17</v>
      </c>
      <c r="L685" t="str">
        <f t="shared" si="10"/>
        <v xml:space="preserve">{ longitude: -63.5777239112171, latitude: 44.6428939415043, stopType: 'Bus Stop Accessible', gotime: \'8330\', location: \'SPRING GARDEN RD WB AT DRESDEN ROW\' }, </v>
      </c>
    </row>
    <row r="686" spans="1:12" x14ac:dyDescent="0.25">
      <c r="A686">
        <v>-63.575765875779503</v>
      </c>
      <c r="B686">
        <v>44.643414408525501</v>
      </c>
      <c r="C686">
        <v>1175</v>
      </c>
      <c r="D686" t="s">
        <v>29</v>
      </c>
      <c r="E686" t="s">
        <v>12</v>
      </c>
      <c r="F686" t="s">
        <v>13</v>
      </c>
      <c r="G686" t="s">
        <v>19</v>
      </c>
      <c r="H686">
        <v>8331</v>
      </c>
      <c r="I686" t="s">
        <v>1408</v>
      </c>
      <c r="J686" t="s">
        <v>1409</v>
      </c>
      <c r="K686" t="s">
        <v>17</v>
      </c>
      <c r="L686" t="str">
        <f t="shared" si="10"/>
        <v xml:space="preserve">{ longitude: -63.5757658757795, latitude: 44.6434144085255, stopType: 'Bus Stop Accessible', gotime: \'8331\', location: \'SPRING GARDEN RD WB AT QUEEN ST\' }, </v>
      </c>
    </row>
    <row r="687" spans="1:12" x14ac:dyDescent="0.25">
      <c r="A687">
        <v>-63.5864530786572</v>
      </c>
      <c r="B687">
        <v>44.6405478429228</v>
      </c>
      <c r="C687">
        <v>1176</v>
      </c>
      <c r="D687" t="s">
        <v>22</v>
      </c>
      <c r="E687" t="s">
        <v>12</v>
      </c>
      <c r="F687" t="s">
        <v>25</v>
      </c>
      <c r="G687" t="s">
        <v>19</v>
      </c>
      <c r="H687">
        <v>8332</v>
      </c>
      <c r="I687" t="s">
        <v>1410</v>
      </c>
      <c r="J687" t="s">
        <v>1411</v>
      </c>
      <c r="K687" t="s">
        <v>17</v>
      </c>
      <c r="L687" t="str">
        <f t="shared" si="10"/>
        <v xml:space="preserve">{ longitude: -63.5864530786572, latitude: 44.6405478429228, stopType: 'Bus Stop Shelter Accessible', gotime: \'8332\', location: \'SPRING GARDEN RD WB AT ROBIE ST\' }, </v>
      </c>
    </row>
    <row r="688" spans="1:12" x14ac:dyDescent="0.25">
      <c r="A688">
        <v>-63.5800105352183</v>
      </c>
      <c r="B688">
        <v>44.642087105496401</v>
      </c>
      <c r="C688">
        <v>1177</v>
      </c>
      <c r="D688" t="s">
        <v>22</v>
      </c>
      <c r="E688" t="s">
        <v>12</v>
      </c>
      <c r="F688" t="s">
        <v>13</v>
      </c>
      <c r="G688" t="s">
        <v>19</v>
      </c>
      <c r="H688">
        <v>8333</v>
      </c>
      <c r="I688" t="s">
        <v>1412</v>
      </c>
      <c r="J688" t="s">
        <v>1413</v>
      </c>
      <c r="K688" t="s">
        <v>17</v>
      </c>
      <c r="L688" t="str">
        <f t="shared" si="10"/>
        <v xml:space="preserve">{ longitude: -63.5800105352183, latitude: 44.6420871054964, stopType: 'Bus Stop Shelter Accessible', gotime: \'8333\', location: \'SPRING GARDEN RD EB AT SOUTH PARK ST\' }, </v>
      </c>
    </row>
    <row r="689" spans="1:12" x14ac:dyDescent="0.25">
      <c r="A689">
        <v>-63.579473306241198</v>
      </c>
      <c r="B689">
        <v>44.642435837700702</v>
      </c>
      <c r="C689">
        <v>1178</v>
      </c>
      <c r="D689" t="s">
        <v>29</v>
      </c>
      <c r="E689" t="s">
        <v>12</v>
      </c>
      <c r="F689" t="s">
        <v>13</v>
      </c>
      <c r="G689" t="s">
        <v>19</v>
      </c>
      <c r="H689">
        <v>8334</v>
      </c>
      <c r="I689" t="s">
        <v>1414</v>
      </c>
      <c r="J689" t="s">
        <v>1415</v>
      </c>
      <c r="K689" t="s">
        <v>17</v>
      </c>
      <c r="L689" t="str">
        <f t="shared" si="10"/>
        <v xml:space="preserve">{ longitude: -63.5794733062412, latitude: 44.6424358377007, stopType: 'Bus Stop Accessible', gotime: \'8334\', location: \'SPRING GARDEN RD WB AT SOUTH PARK ST\' }, </v>
      </c>
    </row>
    <row r="690" spans="1:12" x14ac:dyDescent="0.25">
      <c r="A690">
        <v>-63.583044026005503</v>
      </c>
      <c r="B690">
        <v>44.641477468169299</v>
      </c>
      <c r="C690">
        <v>1179</v>
      </c>
      <c r="D690" t="s">
        <v>22</v>
      </c>
      <c r="E690" t="s">
        <v>12</v>
      </c>
      <c r="F690" t="s">
        <v>13</v>
      </c>
      <c r="G690" t="s">
        <v>19</v>
      </c>
      <c r="H690">
        <v>8335</v>
      </c>
      <c r="I690" t="s">
        <v>1416</v>
      </c>
      <c r="J690" t="s">
        <v>1417</v>
      </c>
      <c r="K690" t="s">
        <v>17</v>
      </c>
      <c r="L690" t="str">
        <f t="shared" si="10"/>
        <v xml:space="preserve">{ longitude: -63.5830440260055, latitude: 44.6414774681693, stopType: 'Bus Stop Shelter Accessible', gotime: \'8335\', location: \'SPRING GARDEN RD WB AT SUMMER ST\' }, </v>
      </c>
    </row>
    <row r="691" spans="1:12" x14ac:dyDescent="0.25">
      <c r="A691">
        <v>-63.577606648626102</v>
      </c>
      <c r="B691">
        <v>44.642768347519102</v>
      </c>
      <c r="C691">
        <v>1180</v>
      </c>
      <c r="D691" t="s">
        <v>29</v>
      </c>
      <c r="E691" t="s">
        <v>12</v>
      </c>
      <c r="F691" t="s">
        <v>13</v>
      </c>
      <c r="G691" t="s">
        <v>19</v>
      </c>
      <c r="H691">
        <v>8336</v>
      </c>
      <c r="I691" t="s">
        <v>1418</v>
      </c>
      <c r="J691" t="s">
        <v>1419</v>
      </c>
      <c r="K691" t="s">
        <v>17</v>
      </c>
      <c r="L691" t="str">
        <f t="shared" si="10"/>
        <v xml:space="preserve">{ longitude: -63.5776066486261, latitude: 44.6427683475191, stopType: 'Bus Stop Accessible', gotime: \'8336\', location: \'SPRING GARDEN RD EB AT DRESDEN ROW\' }, </v>
      </c>
    </row>
    <row r="692" spans="1:12" x14ac:dyDescent="0.25">
      <c r="A692">
        <v>-63.5830423381869</v>
      </c>
      <c r="B692">
        <v>44.641264519816097</v>
      </c>
      <c r="C692">
        <v>1181</v>
      </c>
      <c r="D692" t="s">
        <v>22</v>
      </c>
      <c r="E692" t="s">
        <v>12</v>
      </c>
      <c r="F692" t="s">
        <v>13</v>
      </c>
      <c r="G692" t="s">
        <v>19</v>
      </c>
      <c r="H692">
        <v>8337</v>
      </c>
      <c r="I692" t="s">
        <v>1420</v>
      </c>
      <c r="J692" t="s">
        <v>1421</v>
      </c>
      <c r="K692" t="s">
        <v>17</v>
      </c>
      <c r="L692" t="str">
        <f t="shared" si="10"/>
        <v xml:space="preserve">{ longitude: -63.5830423381869, latitude: 44.6412645198161, stopType: 'Bus Stop Shelter Accessible', gotime: \'8337\', location: \'SPRING GARDEN RD EB AT SUMMER ST\' }, </v>
      </c>
    </row>
    <row r="693" spans="1:12" x14ac:dyDescent="0.25">
      <c r="A693">
        <v>-63.573384172244502</v>
      </c>
      <c r="B693">
        <v>44.643899275891201</v>
      </c>
      <c r="C693">
        <v>1182</v>
      </c>
      <c r="D693" t="s">
        <v>29</v>
      </c>
      <c r="E693" t="s">
        <v>12</v>
      </c>
      <c r="F693" t="s">
        <v>13</v>
      </c>
      <c r="G693" t="s">
        <v>19</v>
      </c>
      <c r="H693">
        <v>8338</v>
      </c>
      <c r="I693" t="s">
        <v>1422</v>
      </c>
      <c r="J693" t="s">
        <v>1423</v>
      </c>
      <c r="K693" t="s">
        <v>17</v>
      </c>
      <c r="L693" t="str">
        <f t="shared" si="10"/>
        <v xml:space="preserve">{ longitude: -63.5733841722445, latitude: 44.6438992758912, stopType: 'Bus Stop Accessible', gotime: \'8338\', location: \'SPRING GARDEN RD EB AT BARRINGTON ST\' }, </v>
      </c>
    </row>
    <row r="694" spans="1:12" x14ac:dyDescent="0.25">
      <c r="A694">
        <v>-63.517526315437202</v>
      </c>
      <c r="B694">
        <v>44.677126636202502</v>
      </c>
      <c r="C694">
        <v>1183</v>
      </c>
      <c r="D694" t="s">
        <v>11</v>
      </c>
      <c r="E694" t="s">
        <v>12</v>
      </c>
      <c r="F694" t="s">
        <v>25</v>
      </c>
      <c r="G694" t="s">
        <v>26</v>
      </c>
      <c r="H694">
        <v>8339</v>
      </c>
      <c r="I694" t="s">
        <v>1424</v>
      </c>
      <c r="J694" t="s">
        <v>1425</v>
      </c>
      <c r="K694" t="s">
        <v>17</v>
      </c>
      <c r="L694" t="str">
        <f t="shared" si="10"/>
        <v xml:space="preserve">{ longitude: -63.5175263154372, latitude: 44.6771266362025, stopType: 'Bus Stop Non-Standard', gotime: \'8339\', location: \'SPRING AVE NS CIVIC 57A\' }, </v>
      </c>
    </row>
    <row r="695" spans="1:12" x14ac:dyDescent="0.25">
      <c r="A695">
        <v>-63.7374606700836</v>
      </c>
      <c r="B695">
        <v>44.7995910389362</v>
      </c>
      <c r="C695">
        <v>1184</v>
      </c>
      <c r="D695" t="s">
        <v>103</v>
      </c>
      <c r="E695" t="s">
        <v>12</v>
      </c>
      <c r="F695" t="s">
        <v>25</v>
      </c>
      <c r="G695" t="s">
        <v>65</v>
      </c>
      <c r="H695">
        <v>8340</v>
      </c>
      <c r="I695" t="s">
        <v>1426</v>
      </c>
      <c r="J695" t="s">
        <v>1427</v>
      </c>
      <c r="K695" t="s">
        <v>17</v>
      </c>
      <c r="L695" t="str">
        <f t="shared" si="10"/>
        <v xml:space="preserve">{ longitude: -63.7374606700836, latitude: 44.7995910389362, stopType: 'Bus Stop Inaccessible', gotime: \'8340\', location: \'SPRINGFIELD ESTATES FS HWY 1\' }, </v>
      </c>
    </row>
    <row r="696" spans="1:12" x14ac:dyDescent="0.25">
      <c r="A696">
        <v>-63.737193258443298</v>
      </c>
      <c r="B696">
        <v>44.799548665133003</v>
      </c>
      <c r="C696">
        <v>1185</v>
      </c>
      <c r="D696" t="s">
        <v>18</v>
      </c>
      <c r="E696" t="s">
        <v>12</v>
      </c>
      <c r="F696" t="s">
        <v>13</v>
      </c>
      <c r="G696" t="s">
        <v>19</v>
      </c>
      <c r="H696">
        <v>8341</v>
      </c>
      <c r="I696" t="s">
        <v>1428</v>
      </c>
      <c r="J696" t="s">
        <v>1429</v>
      </c>
      <c r="K696" t="s">
        <v>17</v>
      </c>
      <c r="L696" t="str">
        <f t="shared" si="10"/>
        <v xml:space="preserve">{ longitude: -63.7371932584433, latitude: 44.799548665133, stopType: 'Bus Stop Shelter Non-Standard', gotime: \'8341\', location: \'SPRINGFIELD ESTATES NS HWY 1\' }, </v>
      </c>
    </row>
    <row r="697" spans="1:12" x14ac:dyDescent="0.25">
      <c r="A697">
        <v>-63.739262765144403</v>
      </c>
      <c r="B697">
        <v>44.797119184314802</v>
      </c>
      <c r="C697">
        <v>1186</v>
      </c>
      <c r="D697" t="s">
        <v>64</v>
      </c>
      <c r="E697" t="s">
        <v>12</v>
      </c>
      <c r="F697" t="s">
        <v>25</v>
      </c>
      <c r="G697" t="s">
        <v>65</v>
      </c>
      <c r="H697">
        <v>8342</v>
      </c>
      <c r="I697" t="s">
        <v>1430</v>
      </c>
      <c r="J697" t="s">
        <v>1431</v>
      </c>
      <c r="K697" t="s">
        <v>17</v>
      </c>
      <c r="L697" t="str">
        <f t="shared" si="10"/>
        <v xml:space="preserve">{ longitude: -63.7392627651444, latitude: 44.7971191843148, stopType: 'Bus Stop Shelter Inaccessible', gotime: \'8342\', location: \'SPRINGFIELD ESTATES TURNING LOOP\' }, </v>
      </c>
    </row>
    <row r="698" spans="1:12" x14ac:dyDescent="0.25">
      <c r="A698">
        <v>-63.636962883592297</v>
      </c>
      <c r="B698">
        <v>44.644828626934398</v>
      </c>
      <c r="C698">
        <v>1187</v>
      </c>
      <c r="D698" t="s">
        <v>11</v>
      </c>
      <c r="E698" t="s">
        <v>12</v>
      </c>
      <c r="F698" t="s">
        <v>25</v>
      </c>
      <c r="G698" t="s">
        <v>26</v>
      </c>
      <c r="H698">
        <v>8343</v>
      </c>
      <c r="I698" t="s">
        <v>1432</v>
      </c>
      <c r="J698" t="s">
        <v>1433</v>
      </c>
      <c r="K698" t="s">
        <v>17</v>
      </c>
      <c r="L698" t="str">
        <f t="shared" si="10"/>
        <v xml:space="preserve">{ longitude: -63.6369628835923, latitude: 44.6448286269344, stopType: 'Bus Stop Non-Standard', gotime: \'8343\', location: \'SPRINGVALE AVE FS CIVIC 72\' }, </v>
      </c>
    </row>
    <row r="699" spans="1:12" x14ac:dyDescent="0.25">
      <c r="A699">
        <v>-63.630186394602198</v>
      </c>
      <c r="B699">
        <v>44.646973160285498</v>
      </c>
      <c r="C699">
        <v>1188</v>
      </c>
      <c r="D699" t="s">
        <v>29</v>
      </c>
      <c r="E699" t="s">
        <v>12</v>
      </c>
      <c r="F699" t="s">
        <v>25</v>
      </c>
      <c r="G699" t="s">
        <v>26</v>
      </c>
      <c r="H699">
        <v>8344</v>
      </c>
      <c r="I699" t="s">
        <v>1434</v>
      </c>
      <c r="J699" t="s">
        <v>1435</v>
      </c>
      <c r="K699" t="s">
        <v>17</v>
      </c>
      <c r="L699" t="str">
        <f t="shared" si="10"/>
        <v xml:space="preserve">{ longitude: -63.6301863946022, latitude: 44.6469731602855, stopType: 'Bus Stop Accessible', gotime: \'8344\', location: \'SPRINGVALE AVE AT CIVIC 10\' }, </v>
      </c>
    </row>
    <row r="700" spans="1:12" x14ac:dyDescent="0.25">
      <c r="A700">
        <v>-63.630726156957699</v>
      </c>
      <c r="B700">
        <v>44.646842453482698</v>
      </c>
      <c r="C700">
        <v>1189</v>
      </c>
      <c r="D700" t="s">
        <v>11</v>
      </c>
      <c r="E700" t="s">
        <v>12</v>
      </c>
      <c r="F700" t="s">
        <v>13</v>
      </c>
      <c r="G700" t="s">
        <v>14</v>
      </c>
      <c r="H700">
        <v>8345</v>
      </c>
      <c r="I700" t="s">
        <v>1436</v>
      </c>
      <c r="J700" t="s">
        <v>1437</v>
      </c>
      <c r="K700" t="s">
        <v>17</v>
      </c>
      <c r="L700" t="str">
        <f t="shared" si="10"/>
        <v xml:space="preserve">{ longitude: -63.6307261569577, latitude: 44.6468424534827, stopType: 'Bus Stop Non-Standard', gotime: \'8345\', location: \'SPRINGVALE AVE AT CIVIC 11\' }, </v>
      </c>
    </row>
    <row r="701" spans="1:12" x14ac:dyDescent="0.25">
      <c r="A701">
        <v>-63.632703196455502</v>
      </c>
      <c r="B701">
        <v>44.646434315695501</v>
      </c>
      <c r="C701">
        <v>1190</v>
      </c>
      <c r="D701" t="s">
        <v>103</v>
      </c>
      <c r="E701" t="s">
        <v>12</v>
      </c>
      <c r="F701" t="s">
        <v>25</v>
      </c>
      <c r="G701" t="s">
        <v>65</v>
      </c>
      <c r="H701">
        <v>8346</v>
      </c>
      <c r="I701" t="s">
        <v>1438</v>
      </c>
      <c r="J701" t="s">
        <v>1439</v>
      </c>
      <c r="K701" t="s">
        <v>17</v>
      </c>
      <c r="L701" t="str">
        <f t="shared" si="10"/>
        <v xml:space="preserve">{ longitude: -63.6327031964555, latitude: 44.6464343156955, stopType: 'Bus Stop Inaccessible', gotime: \'8346\', location: \'SPRINGVALE AVE AT CIVIC 24\' }, </v>
      </c>
    </row>
    <row r="702" spans="1:12" x14ac:dyDescent="0.25">
      <c r="A702">
        <v>-63.634830661408301</v>
      </c>
      <c r="B702">
        <v>44.645793469176603</v>
      </c>
      <c r="C702">
        <v>1191</v>
      </c>
      <c r="D702" t="s">
        <v>103</v>
      </c>
      <c r="E702" t="s">
        <v>12</v>
      </c>
      <c r="F702" t="s">
        <v>25</v>
      </c>
      <c r="G702" t="s">
        <v>65</v>
      </c>
      <c r="H702">
        <v>8347</v>
      </c>
      <c r="I702" t="s">
        <v>1440</v>
      </c>
      <c r="J702" t="s">
        <v>1441</v>
      </c>
      <c r="K702" t="s">
        <v>17</v>
      </c>
      <c r="L702" t="str">
        <f t="shared" si="10"/>
        <v xml:space="preserve">{ longitude: -63.6348306614083, latitude: 44.6457934691766, stopType: 'Bus Stop Inaccessible', gotime: \'8347\', location: \'SPRINGVALE AVE AT CIVIC 48\' }, </v>
      </c>
    </row>
    <row r="703" spans="1:12" x14ac:dyDescent="0.25">
      <c r="A703">
        <v>-63.635662566296801</v>
      </c>
      <c r="B703">
        <v>44.6455477747648</v>
      </c>
      <c r="C703">
        <v>1192</v>
      </c>
      <c r="D703" t="s">
        <v>11</v>
      </c>
      <c r="E703" t="s">
        <v>12</v>
      </c>
      <c r="F703" t="s">
        <v>13</v>
      </c>
      <c r="G703" t="s">
        <v>14</v>
      </c>
      <c r="H703">
        <v>8348</v>
      </c>
      <c r="I703" t="s">
        <v>1442</v>
      </c>
      <c r="J703" t="s">
        <v>1443</v>
      </c>
      <c r="K703" t="s">
        <v>17</v>
      </c>
      <c r="L703" t="str">
        <f t="shared" si="10"/>
        <v xml:space="preserve">{ longitude: -63.6356625662968, latitude: 44.6455477747648, stopType: 'Bus Stop Non-Standard', gotime: \'8348\', location: \'SPRINGVALE AVE NS OPP WINTER\' }, </v>
      </c>
    </row>
    <row r="704" spans="1:12" x14ac:dyDescent="0.25">
      <c r="A704">
        <v>-63.562035318524799</v>
      </c>
      <c r="B704">
        <v>44.570934179464601</v>
      </c>
      <c r="C704">
        <v>1193</v>
      </c>
      <c r="D704" t="s">
        <v>103</v>
      </c>
      <c r="E704" t="s">
        <v>12</v>
      </c>
      <c r="F704" t="s">
        <v>25</v>
      </c>
      <c r="G704" t="s">
        <v>65</v>
      </c>
      <c r="H704">
        <v>8349</v>
      </c>
      <c r="I704" t="s">
        <v>1444</v>
      </c>
      <c r="J704" t="s">
        <v>1445</v>
      </c>
      <c r="K704" t="s">
        <v>17</v>
      </c>
      <c r="L704" t="str">
        <f t="shared" si="10"/>
        <v xml:space="preserve">{ longitude: -63.5620353185248, latitude: 44.5709341794646, stopType: 'Bus Stop Inaccessible', gotime: \'8349\', location: \'ST PAULS OPP CIVIC 104\' }, </v>
      </c>
    </row>
    <row r="705" spans="1:12" x14ac:dyDescent="0.25">
      <c r="A705">
        <v>-63.607438252073003</v>
      </c>
      <c r="B705">
        <v>44.669336891280601</v>
      </c>
      <c r="C705">
        <v>1194</v>
      </c>
      <c r="D705" t="s">
        <v>22</v>
      </c>
      <c r="E705" t="s">
        <v>12</v>
      </c>
      <c r="F705" t="s">
        <v>13</v>
      </c>
      <c r="G705" t="s">
        <v>19</v>
      </c>
      <c r="H705">
        <v>8350</v>
      </c>
      <c r="I705" t="s">
        <v>1446</v>
      </c>
      <c r="J705" s="1" t="s">
        <v>1447</v>
      </c>
      <c r="K705" t="s">
        <v>17</v>
      </c>
      <c r="L705" t="str">
        <f t="shared" si="10"/>
        <v xml:space="preserve">{ longitude: -63.607438252073, latitude: 44.6693368912806, stopType: 'Bus Stop Shelter Accessible', gotime: \'8350\', location: \'ST PAULS NS VESTRY ST\' }, </v>
      </c>
    </row>
    <row r="706" spans="1:12" x14ac:dyDescent="0.25">
      <c r="A706">
        <v>-63.667273211050301</v>
      </c>
      <c r="B706">
        <v>44.697360133303697</v>
      </c>
      <c r="C706">
        <v>1195</v>
      </c>
      <c r="D706" t="s">
        <v>11</v>
      </c>
      <c r="E706" t="s">
        <v>12</v>
      </c>
      <c r="F706" t="s">
        <v>25</v>
      </c>
      <c r="G706" t="s">
        <v>26</v>
      </c>
      <c r="H706">
        <v>8351</v>
      </c>
      <c r="I706" t="s">
        <v>1448</v>
      </c>
      <c r="J706" t="s">
        <v>1449</v>
      </c>
      <c r="K706" t="s">
        <v>17</v>
      </c>
      <c r="L706" t="str">
        <f t="shared" si="10"/>
        <v xml:space="preserve">{ longitude: -63.6672732110503, latitude: 44.6973601333037, stopType: 'Bus Stop Non-Standard', gotime: \'8351\', location: \'STARBOARD DR FS BRIGADIER CT\' }, </v>
      </c>
    </row>
    <row r="707" spans="1:12" x14ac:dyDescent="0.25">
      <c r="A707">
        <v>-63.667224808846797</v>
      </c>
      <c r="B707">
        <v>44.697215785211803</v>
      </c>
      <c r="C707">
        <v>1196</v>
      </c>
      <c r="D707" t="s">
        <v>11</v>
      </c>
      <c r="E707" t="s">
        <v>12</v>
      </c>
      <c r="F707" t="s">
        <v>25</v>
      </c>
      <c r="G707" t="s">
        <v>26</v>
      </c>
      <c r="H707">
        <v>8352</v>
      </c>
      <c r="I707" t="s">
        <v>1450</v>
      </c>
      <c r="J707" t="s">
        <v>1451</v>
      </c>
      <c r="K707" t="s">
        <v>17</v>
      </c>
      <c r="L707" t="str">
        <f t="shared" ref="L707:L770" si="11">CONCATENATE( "{ longitude: ", A707, ", latitude: ", B707, ", stopType: '", D707, "', gotime: \'", H707, "\', location: \'", I707, "\' }, ")</f>
        <v xml:space="preserve">{ longitude: -63.6672248088468, latitude: 44.6972157852118, stopType: 'Bus Stop Non-Standard', gotime: \'8352\', location: \'STARBOARD DR NS LARRY UTECK BLVD\' }, </v>
      </c>
    </row>
    <row r="708" spans="1:12" x14ac:dyDescent="0.25">
      <c r="A708">
        <v>-63.691683907498003</v>
      </c>
      <c r="B708">
        <v>44.790132662518999</v>
      </c>
      <c r="C708">
        <v>1197</v>
      </c>
      <c r="D708" t="s">
        <v>11</v>
      </c>
      <c r="E708" t="s">
        <v>12</v>
      </c>
      <c r="F708" t="s">
        <v>25</v>
      </c>
      <c r="G708" t="s">
        <v>26</v>
      </c>
      <c r="H708">
        <v>8353</v>
      </c>
      <c r="I708" t="s">
        <v>1452</v>
      </c>
      <c r="J708" t="s">
        <v>1453</v>
      </c>
      <c r="K708" t="s">
        <v>17</v>
      </c>
      <c r="L708" t="str">
        <f t="shared" si="11"/>
        <v xml:space="preserve">{ longitude: -63.691683907498, latitude: 44.790132662519, stopType: 'Bus Stop Non-Standard', gotime: \'8353\', location: \'STOKIL DR FS BEAVERBANK RD\' }, </v>
      </c>
    </row>
    <row r="709" spans="1:12" x14ac:dyDescent="0.25">
      <c r="A709">
        <v>-63.542324387476299</v>
      </c>
      <c r="B709">
        <v>44.724576644213798</v>
      </c>
      <c r="C709">
        <v>1198</v>
      </c>
      <c r="D709" t="s">
        <v>11</v>
      </c>
      <c r="E709" t="s">
        <v>12</v>
      </c>
      <c r="F709" t="s">
        <v>25</v>
      </c>
      <c r="G709" t="s">
        <v>26</v>
      </c>
      <c r="H709">
        <v>8437</v>
      </c>
      <c r="I709" t="s">
        <v>1454</v>
      </c>
      <c r="J709" t="s">
        <v>1455</v>
      </c>
      <c r="K709" t="s">
        <v>17</v>
      </c>
      <c r="L709" t="str">
        <f t="shared" si="11"/>
        <v xml:space="preserve">{ longitude: -63.5423243874763, latitude: 44.7245766442138, stopType: 'Bus Stop Non-Standard', gotime: \'8437\', location: \'WAVERLEY RD FS CIVIC 743\' }, </v>
      </c>
    </row>
    <row r="710" spans="1:12" x14ac:dyDescent="0.25">
      <c r="A710">
        <v>-63.257140168796603</v>
      </c>
      <c r="B710">
        <v>44.674425246140601</v>
      </c>
      <c r="C710">
        <v>1199</v>
      </c>
      <c r="D710" t="s">
        <v>103</v>
      </c>
      <c r="E710" t="s">
        <v>12</v>
      </c>
      <c r="F710" t="s">
        <v>25</v>
      </c>
      <c r="G710" t="s">
        <v>1456</v>
      </c>
      <c r="H710">
        <v>8798</v>
      </c>
      <c r="I710" t="s">
        <v>1457</v>
      </c>
      <c r="J710" t="s">
        <v>1458</v>
      </c>
      <c r="K710" t="s">
        <v>17</v>
      </c>
      <c r="L710" t="str">
        <f t="shared" si="11"/>
        <v xml:space="preserve">{ longitude: -63.2571401687966, latitude: 44.6744252461406, stopType: 'Bus Stop Inaccessible', gotime: \'8798\', location: \'HWY 207 &lt;OP&gt; COUNTRY STORE\' }, </v>
      </c>
    </row>
    <row r="711" spans="1:12" x14ac:dyDescent="0.25">
      <c r="A711">
        <v>-63.259030727894803</v>
      </c>
      <c r="B711">
        <v>44.672624203838303</v>
      </c>
      <c r="C711">
        <v>1200</v>
      </c>
      <c r="D711" t="s">
        <v>103</v>
      </c>
      <c r="E711" t="s">
        <v>12</v>
      </c>
      <c r="F711" t="s">
        <v>25</v>
      </c>
      <c r="G711" t="s">
        <v>1456</v>
      </c>
      <c r="H711">
        <v>8895</v>
      </c>
      <c r="I711" t="s">
        <v>1459</v>
      </c>
      <c r="J711" t="s">
        <v>1460</v>
      </c>
      <c r="K711" t="s">
        <v>17</v>
      </c>
      <c r="L711" t="str">
        <f t="shared" si="11"/>
        <v xml:space="preserve">{ longitude: -63.2590307278948, latitude: 44.6726242038383, stopType: 'Bus Stop Inaccessible', gotime: \'8895\', location: \'SEAFORTH BACK RD &lt;OP&gt; CIVIC 220\' }, </v>
      </c>
    </row>
    <row r="712" spans="1:12" x14ac:dyDescent="0.25">
      <c r="A712">
        <v>-63.604718765124403</v>
      </c>
      <c r="B712">
        <v>44.655000063460001</v>
      </c>
      <c r="C712">
        <v>1201</v>
      </c>
      <c r="D712" t="s">
        <v>29</v>
      </c>
      <c r="E712" t="s">
        <v>12</v>
      </c>
      <c r="F712" t="s">
        <v>13</v>
      </c>
      <c r="G712" t="s">
        <v>19</v>
      </c>
      <c r="H712">
        <v>8564</v>
      </c>
      <c r="I712" t="s">
        <v>1461</v>
      </c>
      <c r="J712" t="s">
        <v>1462</v>
      </c>
      <c r="K712" t="s">
        <v>17</v>
      </c>
      <c r="L712" t="str">
        <f t="shared" si="11"/>
        <v xml:space="preserve">{ longitude: -63.6047187651244, latitude: 44.65500006346, stopType: 'Bus Stop Accessible', gotime: \'8564\', location: \'WINDSOR ST  NS LONDON ST\' }, </v>
      </c>
    </row>
    <row r="713" spans="1:12" x14ac:dyDescent="0.25">
      <c r="A713">
        <v>-63.612714773133298</v>
      </c>
      <c r="B713">
        <v>44.659961215740097</v>
      </c>
      <c r="C713">
        <v>1202</v>
      </c>
      <c r="D713" t="s">
        <v>29</v>
      </c>
      <c r="E713" t="s">
        <v>12</v>
      </c>
      <c r="F713" t="s">
        <v>13</v>
      </c>
      <c r="G713" t="s">
        <v>19</v>
      </c>
      <c r="H713">
        <v>8565</v>
      </c>
      <c r="I713" t="s">
        <v>1463</v>
      </c>
      <c r="J713" t="s">
        <v>1464</v>
      </c>
      <c r="K713" t="s">
        <v>17</v>
      </c>
      <c r="L713" t="str">
        <f t="shared" si="11"/>
        <v xml:space="preserve">{ longitude: -63.6127147731333, latitude: 44.6599612157401, stopType: 'Bus Stop Accessible', gotime: \'8565\', location: \'WINDSOR ST  NS MAXWELL ST\' }, </v>
      </c>
    </row>
    <row r="714" spans="1:12" x14ac:dyDescent="0.25">
      <c r="A714">
        <v>-63.5986441802306</v>
      </c>
      <c r="B714">
        <v>44.652216352407002</v>
      </c>
      <c r="C714">
        <v>1203</v>
      </c>
      <c r="D714" t="s">
        <v>29</v>
      </c>
      <c r="E714" t="s">
        <v>12</v>
      </c>
      <c r="F714" t="s">
        <v>13</v>
      </c>
      <c r="G714" t="s">
        <v>19</v>
      </c>
      <c r="H714">
        <v>8566</v>
      </c>
      <c r="I714" t="s">
        <v>1465</v>
      </c>
      <c r="J714" t="s">
        <v>1466</v>
      </c>
      <c r="K714" t="s">
        <v>17</v>
      </c>
      <c r="L714" t="str">
        <f t="shared" si="11"/>
        <v xml:space="preserve">{ longitude: -63.5986441802306, latitude: 44.652216352407, stopType: 'Bus Stop Accessible', gotime: \'8566\', location: \'WINDSOR ST NS NORTH ST\' }, </v>
      </c>
    </row>
    <row r="715" spans="1:12" x14ac:dyDescent="0.25">
      <c r="A715">
        <v>-63.616119130718602</v>
      </c>
      <c r="B715">
        <v>44.6608499713928</v>
      </c>
      <c r="C715">
        <v>1204</v>
      </c>
      <c r="D715" t="s">
        <v>29</v>
      </c>
      <c r="E715" t="s">
        <v>12</v>
      </c>
      <c r="F715" t="s">
        <v>13</v>
      </c>
      <c r="G715" t="s">
        <v>19</v>
      </c>
      <c r="H715">
        <v>8567</v>
      </c>
      <c r="I715" t="s">
        <v>1467</v>
      </c>
      <c r="J715" t="s">
        <v>1468</v>
      </c>
      <c r="K715" t="s">
        <v>17</v>
      </c>
      <c r="L715" t="str">
        <f t="shared" si="11"/>
        <v xml:space="preserve">{ longitude: -63.6161191307186, latitude: 44.6608499713928, stopType: 'Bus Stop Accessible', gotime: \'8567\', location: \'WINDSOR ST NS STRAWBERRY HILL ST\' }, </v>
      </c>
    </row>
    <row r="716" spans="1:12" x14ac:dyDescent="0.25">
      <c r="A716">
        <v>-63.600086855093899</v>
      </c>
      <c r="B716">
        <v>44.6530437384679</v>
      </c>
      <c r="C716">
        <v>1205</v>
      </c>
      <c r="D716" t="s">
        <v>29</v>
      </c>
      <c r="E716" t="s">
        <v>12</v>
      </c>
      <c r="F716" t="s">
        <v>13</v>
      </c>
      <c r="G716" t="s">
        <v>19</v>
      </c>
      <c r="H716">
        <v>8568</v>
      </c>
      <c r="I716" t="s">
        <v>1469</v>
      </c>
      <c r="J716" t="s">
        <v>1470</v>
      </c>
      <c r="K716" t="s">
        <v>17</v>
      </c>
      <c r="L716" t="str">
        <f t="shared" si="11"/>
        <v xml:space="preserve">{ longitude: -63.6000868550939, latitude: 44.6530437384679, stopType: 'Bus Stop Accessible', gotime: \'8568\', location: \'WINDSOR ST  NS SUMMIT ST\' }, </v>
      </c>
    </row>
    <row r="717" spans="1:12" x14ac:dyDescent="0.25">
      <c r="A717">
        <v>-63.600482439261803</v>
      </c>
      <c r="B717">
        <v>44.653080334135701</v>
      </c>
      <c r="C717">
        <v>1206</v>
      </c>
      <c r="D717" t="s">
        <v>29</v>
      </c>
      <c r="E717" t="s">
        <v>12</v>
      </c>
      <c r="F717" t="s">
        <v>13</v>
      </c>
      <c r="G717" t="s">
        <v>19</v>
      </c>
      <c r="H717">
        <v>8569</v>
      </c>
      <c r="I717" t="s">
        <v>1469</v>
      </c>
      <c r="J717" t="s">
        <v>1471</v>
      </c>
      <c r="K717" t="s">
        <v>17</v>
      </c>
      <c r="L717" t="str">
        <f t="shared" si="11"/>
        <v xml:space="preserve">{ longitude: -63.6004824392618, latitude: 44.6530803341357, stopType: 'Bus Stop Accessible', gotime: \'8569\', location: \'WINDSOR ST  NS SUMMIT ST\' }, </v>
      </c>
    </row>
    <row r="718" spans="1:12" x14ac:dyDescent="0.25">
      <c r="A718">
        <v>-63.618747074957902</v>
      </c>
      <c r="B718">
        <v>44.660381144117402</v>
      </c>
      <c r="C718">
        <v>1207</v>
      </c>
      <c r="D718" t="s">
        <v>29</v>
      </c>
      <c r="E718" t="s">
        <v>12</v>
      </c>
      <c r="F718" t="s">
        <v>13</v>
      </c>
      <c r="G718" t="s">
        <v>19</v>
      </c>
      <c r="H718">
        <v>8570</v>
      </c>
      <c r="I718" t="s">
        <v>1472</v>
      </c>
      <c r="J718" t="s">
        <v>1473</v>
      </c>
      <c r="K718" t="s">
        <v>17</v>
      </c>
      <c r="L718" t="str">
        <f t="shared" si="11"/>
        <v xml:space="preserve">{ longitude: -63.6187470749579, latitude: 44.6603811441174, stopType: 'Bus Stop Accessible', gotime: \'8570\', location: \'WINDSOR ST  OPP CONNOLLY ST\' }, </v>
      </c>
    </row>
    <row r="719" spans="1:12" x14ac:dyDescent="0.25">
      <c r="A719">
        <v>-63.606055930672397</v>
      </c>
      <c r="B719">
        <v>44.655975312560102</v>
      </c>
      <c r="C719">
        <v>1208</v>
      </c>
      <c r="D719" t="s">
        <v>29</v>
      </c>
      <c r="E719" t="s">
        <v>12</v>
      </c>
      <c r="F719" t="s">
        <v>13</v>
      </c>
      <c r="G719" t="s">
        <v>19</v>
      </c>
      <c r="H719">
        <v>8571</v>
      </c>
      <c r="I719" t="s">
        <v>1474</v>
      </c>
      <c r="J719" t="s">
        <v>1475</v>
      </c>
      <c r="K719" t="s">
        <v>17</v>
      </c>
      <c r="L719" t="str">
        <f t="shared" si="11"/>
        <v xml:space="preserve">{ longitude: -63.6060559306724, latitude: 44.6559753125601, stopType: 'Bus Stop Accessible', gotime: \'8571\', location: \'WINDSOR ST  OPP CORK ST\' }, </v>
      </c>
    </row>
    <row r="720" spans="1:12" x14ac:dyDescent="0.25">
      <c r="A720">
        <v>-63.604460560657401</v>
      </c>
      <c r="B720">
        <v>44.6550642772022</v>
      </c>
      <c r="C720">
        <v>1209</v>
      </c>
      <c r="D720" t="s">
        <v>22</v>
      </c>
      <c r="E720" t="s">
        <v>12</v>
      </c>
      <c r="F720" t="s">
        <v>13</v>
      </c>
      <c r="G720" t="s">
        <v>19</v>
      </c>
      <c r="H720">
        <v>8572</v>
      </c>
      <c r="I720" t="s">
        <v>1476</v>
      </c>
      <c r="J720" t="s">
        <v>1477</v>
      </c>
      <c r="K720" t="s">
        <v>17</v>
      </c>
      <c r="L720" t="str">
        <f t="shared" si="11"/>
        <v xml:space="preserve">{ longitude: -63.6044605606574, latitude: 44.6550642772022, stopType: 'Bus Stop Shelter Accessible', gotime: \'8572\', location: \'WINDSOR ST  OPP LONDON ST\' }, </v>
      </c>
    </row>
    <row r="721" spans="1:12" x14ac:dyDescent="0.25">
      <c r="A721">
        <v>-63.609693171739401</v>
      </c>
      <c r="B721">
        <v>44.658243315763798</v>
      </c>
      <c r="C721">
        <v>1210</v>
      </c>
      <c r="D721" t="s">
        <v>29</v>
      </c>
      <c r="E721" t="s">
        <v>12</v>
      </c>
      <c r="F721" t="s">
        <v>13</v>
      </c>
      <c r="G721" t="s">
        <v>19</v>
      </c>
      <c r="H721">
        <v>8573</v>
      </c>
      <c r="I721" t="s">
        <v>1478</v>
      </c>
      <c r="J721" t="s">
        <v>1479</v>
      </c>
      <c r="K721" t="s">
        <v>17</v>
      </c>
      <c r="L721" t="str">
        <f t="shared" si="11"/>
        <v xml:space="preserve">{ longitude: -63.6096931717394, latitude: 44.6582433157638, stopType: 'Bus Stop Accessible', gotime: \'8573\', location: \'WINDSOR ST   OPP WILLOW PARK\' }, </v>
      </c>
    </row>
    <row r="722" spans="1:12" x14ac:dyDescent="0.25">
      <c r="A722">
        <v>-63.607663043074197</v>
      </c>
      <c r="B722">
        <v>44.657085851863798</v>
      </c>
      <c r="C722">
        <v>1211</v>
      </c>
      <c r="D722" t="s">
        <v>22</v>
      </c>
      <c r="E722" t="s">
        <v>12</v>
      </c>
      <c r="F722" t="s">
        <v>13</v>
      </c>
      <c r="G722" t="s">
        <v>19</v>
      </c>
      <c r="H722">
        <v>8574</v>
      </c>
      <c r="I722" t="s">
        <v>1480</v>
      </c>
      <c r="J722" t="s">
        <v>1481</v>
      </c>
      <c r="K722" t="s">
        <v>17</v>
      </c>
      <c r="L722" t="str">
        <f t="shared" si="11"/>
        <v xml:space="preserve">{ longitude: -63.6076630430742, latitude: 44.6570858518638, stopType: 'Bus Stop Shelter Accessible', gotime: \'8574\', location: \'WINDSOR ST  OPP WINDSOR PARK\' }, </v>
      </c>
    </row>
    <row r="723" spans="1:12" x14ac:dyDescent="0.25">
      <c r="A723">
        <v>-63.511714229600003</v>
      </c>
      <c r="B723">
        <v>44.682161326813102</v>
      </c>
      <c r="C723">
        <v>1212</v>
      </c>
      <c r="D723" t="s">
        <v>11</v>
      </c>
      <c r="E723" t="s">
        <v>12</v>
      </c>
      <c r="F723" t="s">
        <v>25</v>
      </c>
      <c r="G723" t="s">
        <v>26</v>
      </c>
      <c r="H723">
        <v>8575</v>
      </c>
      <c r="I723" t="s">
        <v>1482</v>
      </c>
      <c r="J723" t="s">
        <v>1483</v>
      </c>
      <c r="K723" t="s">
        <v>17</v>
      </c>
      <c r="L723" t="str">
        <f t="shared" si="11"/>
        <v xml:space="preserve">{ longitude: -63.5117142296, latitude: 44.6821613268131, stopType: 'Bus Stop Non-Standard', gotime: \'8575\', location: \'WINDWARD AVE FS LEA ST CIVIC 34\' }, </v>
      </c>
    </row>
    <row r="724" spans="1:12" x14ac:dyDescent="0.25">
      <c r="A724">
        <v>-63.510381373332002</v>
      </c>
      <c r="B724">
        <v>44.682065366988198</v>
      </c>
      <c r="C724">
        <v>1213</v>
      </c>
      <c r="D724" t="s">
        <v>11</v>
      </c>
      <c r="E724" t="s">
        <v>12</v>
      </c>
      <c r="F724" t="s">
        <v>13</v>
      </c>
      <c r="G724" t="s">
        <v>14</v>
      </c>
      <c r="H724">
        <v>8576</v>
      </c>
      <c r="I724" t="s">
        <v>1484</v>
      </c>
      <c r="J724" t="s">
        <v>1485</v>
      </c>
      <c r="K724" t="s">
        <v>17</v>
      </c>
      <c r="L724" t="str">
        <f t="shared" si="11"/>
        <v xml:space="preserve">{ longitude: -63.510381373332, latitude: 44.6820653669882, stopType: 'Bus Stop Non-Standard', gotime: \'8576\', location: \'WINDWARD AVE NS LUCIEN DR\' }, </v>
      </c>
    </row>
    <row r="725" spans="1:12" x14ac:dyDescent="0.25">
      <c r="A725">
        <v>-63.635139034392203</v>
      </c>
      <c r="B725">
        <v>44.644553835813497</v>
      </c>
      <c r="C725">
        <v>1214</v>
      </c>
      <c r="D725" t="s">
        <v>11</v>
      </c>
      <c r="E725" t="s">
        <v>12</v>
      </c>
      <c r="F725" t="s">
        <v>25</v>
      </c>
      <c r="G725" t="s">
        <v>26</v>
      </c>
      <c r="H725">
        <v>8577</v>
      </c>
      <c r="I725" t="s">
        <v>1486</v>
      </c>
      <c r="J725" t="s">
        <v>1487</v>
      </c>
      <c r="K725" t="s">
        <v>17</v>
      </c>
      <c r="L725" t="str">
        <f t="shared" si="11"/>
        <v xml:space="preserve">{ longitude: -63.6351390343922, latitude: 44.6445538358135, stopType: 'Bus Stop Non-Standard', gotime: \'8577\', location: \'WINTER ST NS PIERS AVE\' }, </v>
      </c>
    </row>
    <row r="726" spans="1:12" x14ac:dyDescent="0.25">
      <c r="A726">
        <v>-63.622685002625197</v>
      </c>
      <c r="B726">
        <v>44.635675862395601</v>
      </c>
      <c r="C726">
        <v>1215</v>
      </c>
      <c r="D726" t="s">
        <v>22</v>
      </c>
      <c r="E726" t="s">
        <v>12</v>
      </c>
      <c r="F726" t="s">
        <v>13</v>
      </c>
      <c r="G726" t="s">
        <v>14</v>
      </c>
      <c r="H726">
        <v>8578</v>
      </c>
      <c r="I726" t="s">
        <v>1488</v>
      </c>
      <c r="J726" t="s">
        <v>1489</v>
      </c>
      <c r="K726" t="s">
        <v>17</v>
      </c>
      <c r="L726" t="str">
        <f t="shared" si="11"/>
        <v xml:space="preserve">{ longitude: -63.6226850026252, latitude: 44.6356758623956, stopType: 'Bus Stop Shelter Accessible', gotime: \'8578\', location: \'WITHROD DR AT SULLIVANS TERR\' }, </v>
      </c>
    </row>
    <row r="727" spans="1:12" x14ac:dyDescent="0.25">
      <c r="A727">
        <v>-63.622703077062297</v>
      </c>
      <c r="B727">
        <v>44.6357561893767</v>
      </c>
      <c r="C727">
        <v>1216</v>
      </c>
      <c r="D727" t="s">
        <v>11</v>
      </c>
      <c r="E727" t="s">
        <v>12</v>
      </c>
      <c r="F727" t="s">
        <v>25</v>
      </c>
      <c r="G727" t="s">
        <v>19</v>
      </c>
      <c r="H727">
        <v>8579</v>
      </c>
      <c r="I727" t="s">
        <v>1490</v>
      </c>
      <c r="J727" t="s">
        <v>1491</v>
      </c>
      <c r="K727" t="s">
        <v>17</v>
      </c>
      <c r="L727" t="str">
        <f t="shared" si="11"/>
        <v xml:space="preserve">{ longitude: -63.6227030770623, latitude: 44.6357561893767, stopType: 'Bus Stop Non-Standard', gotime: \'8579\', location: \'WITHROD DR AT CIVIC 5\' }, </v>
      </c>
    </row>
    <row r="728" spans="1:12" x14ac:dyDescent="0.25">
      <c r="A728">
        <v>-63.576960986290203</v>
      </c>
      <c r="B728">
        <v>44.679640594203498</v>
      </c>
      <c r="C728">
        <v>1217</v>
      </c>
      <c r="D728" t="s">
        <v>29</v>
      </c>
      <c r="E728" t="s">
        <v>12</v>
      </c>
      <c r="F728" t="s">
        <v>13</v>
      </c>
      <c r="G728" t="s">
        <v>14</v>
      </c>
      <c r="H728">
        <v>8580</v>
      </c>
      <c r="I728" t="s">
        <v>1492</v>
      </c>
      <c r="J728" t="s">
        <v>1493</v>
      </c>
      <c r="K728" t="s">
        <v>17</v>
      </c>
      <c r="L728" t="str">
        <f t="shared" si="11"/>
        <v xml:space="preserve">{ longitude: -63.5769609862902, latitude: 44.6796405942035, stopType: 'Bus Stop Accessible', gotime: \'8580\', location: \'WOODLAND AVE  FS CLARK ST\' }, </v>
      </c>
    </row>
    <row r="729" spans="1:12" x14ac:dyDescent="0.25">
      <c r="A729">
        <v>-63.574646491075299</v>
      </c>
      <c r="B729">
        <v>44.681721947943601</v>
      </c>
      <c r="C729">
        <v>1218</v>
      </c>
      <c r="D729" t="s">
        <v>11</v>
      </c>
      <c r="E729" t="s">
        <v>12</v>
      </c>
      <c r="F729" t="s">
        <v>13</v>
      </c>
      <c r="G729" t="s">
        <v>14</v>
      </c>
      <c r="H729">
        <v>8581</v>
      </c>
      <c r="I729" t="s">
        <v>1494</v>
      </c>
      <c r="J729" s="1" t="s">
        <v>1495</v>
      </c>
      <c r="K729" t="s">
        <v>17</v>
      </c>
      <c r="L729" t="str">
        <f t="shared" si="11"/>
        <v xml:space="preserve">{ longitude: -63.5746464910753, latitude: 44.6817219479436, stopType: 'Bus Stop Non-Standard', gotime: \'8581\', location: \'WOODLAND AVE  FS LAURIER ST\' }, </v>
      </c>
    </row>
    <row r="730" spans="1:12" x14ac:dyDescent="0.25">
      <c r="A730">
        <v>-63.574243791807703</v>
      </c>
      <c r="B730">
        <v>44.681819931003602</v>
      </c>
      <c r="C730">
        <v>1219</v>
      </c>
      <c r="D730" t="s">
        <v>29</v>
      </c>
      <c r="E730" t="s">
        <v>12</v>
      </c>
      <c r="F730" t="s">
        <v>13</v>
      </c>
      <c r="G730" t="s">
        <v>14</v>
      </c>
      <c r="H730">
        <v>8582</v>
      </c>
      <c r="I730" t="s">
        <v>1496</v>
      </c>
      <c r="J730" t="s">
        <v>1497</v>
      </c>
      <c r="K730" t="s">
        <v>17</v>
      </c>
      <c r="L730" t="str">
        <f t="shared" si="11"/>
        <v xml:space="preserve">{ longitude: -63.5742437918077, latitude: 44.6818199310036, stopType: 'Bus Stop Accessible', gotime: \'8582\', location: \'WOODLAND AVE  FS OPP LAURIER ST\' }, </v>
      </c>
    </row>
    <row r="731" spans="1:12" x14ac:dyDescent="0.25">
      <c r="A731">
        <v>-63.575956734271102</v>
      </c>
      <c r="B731">
        <v>44.680659700809201</v>
      </c>
      <c r="C731">
        <v>1220</v>
      </c>
      <c r="D731" t="s">
        <v>11</v>
      </c>
      <c r="E731" t="s">
        <v>12</v>
      </c>
      <c r="F731" t="s">
        <v>13</v>
      </c>
      <c r="G731" t="s">
        <v>14</v>
      </c>
      <c r="H731">
        <v>8583</v>
      </c>
      <c r="I731" t="s">
        <v>1498</v>
      </c>
      <c r="J731" t="s">
        <v>1499</v>
      </c>
      <c r="K731" t="s">
        <v>17</v>
      </c>
      <c r="L731" t="str">
        <f t="shared" si="11"/>
        <v xml:space="preserve">{ longitude: -63.5759567342711, latitude: 44.6806597008092, stopType: 'Bus Stop Non-Standard', gotime: \'8583\', location: \'WOODLAND AVE  FS PINE HILL  RD\' }, </v>
      </c>
    </row>
    <row r="732" spans="1:12" x14ac:dyDescent="0.25">
      <c r="A732">
        <v>-63.577083588163802</v>
      </c>
      <c r="B732">
        <v>44.679720422645303</v>
      </c>
      <c r="C732">
        <v>1221</v>
      </c>
      <c r="D732" t="s">
        <v>11</v>
      </c>
      <c r="E732" t="s">
        <v>12</v>
      </c>
      <c r="F732" t="s">
        <v>25</v>
      </c>
      <c r="G732" t="s">
        <v>26</v>
      </c>
      <c r="H732">
        <v>8584</v>
      </c>
      <c r="I732" t="s">
        <v>1500</v>
      </c>
      <c r="J732" t="s">
        <v>1501</v>
      </c>
      <c r="K732" t="s">
        <v>17</v>
      </c>
      <c r="L732" t="str">
        <f t="shared" si="11"/>
        <v xml:space="preserve">{ longitude: -63.5770835881638, latitude: 44.6797204226453, stopType: 'Bus Stop Non-Standard', gotime: \'8584\', location: \'WOODLAND AVE  FS SHERIDAN ST\' }, </v>
      </c>
    </row>
    <row r="733" spans="1:12" x14ac:dyDescent="0.25">
      <c r="A733">
        <v>-63.5794985326214</v>
      </c>
      <c r="B733">
        <v>44.677768974506797</v>
      </c>
      <c r="C733">
        <v>1222</v>
      </c>
      <c r="D733" t="s">
        <v>11</v>
      </c>
      <c r="E733" t="s">
        <v>12</v>
      </c>
      <c r="F733" t="s">
        <v>25</v>
      </c>
      <c r="G733" t="s">
        <v>26</v>
      </c>
      <c r="H733">
        <v>8585</v>
      </c>
      <c r="I733" t="s">
        <v>1502</v>
      </c>
      <c r="J733" s="1" t="s">
        <v>1503</v>
      </c>
      <c r="K733" t="s">
        <v>17</v>
      </c>
      <c r="L733" t="str">
        <f t="shared" si="11"/>
        <v xml:space="preserve">{ longitude: -63.5794985326214, latitude: 44.6777689745068, stopType: 'Bus Stop Non-Standard', gotime: \'8585\', location: \'WOODLAND AVE  FS SLAYTER ST\' }, </v>
      </c>
    </row>
    <row r="734" spans="1:12" x14ac:dyDescent="0.25">
      <c r="A734">
        <v>-63.575839919737902</v>
      </c>
      <c r="B734">
        <v>44.680541129212898</v>
      </c>
      <c r="C734">
        <v>1223</v>
      </c>
      <c r="D734" t="s">
        <v>29</v>
      </c>
      <c r="E734" t="s">
        <v>12</v>
      </c>
      <c r="F734" t="s">
        <v>13</v>
      </c>
      <c r="G734" t="s">
        <v>14</v>
      </c>
      <c r="H734">
        <v>8586</v>
      </c>
      <c r="I734" t="s">
        <v>1504</v>
      </c>
      <c r="J734" t="s">
        <v>1505</v>
      </c>
      <c r="K734" t="s">
        <v>17</v>
      </c>
      <c r="L734" t="str">
        <f t="shared" si="11"/>
        <v xml:space="preserve">{ longitude: -63.5758399197379, latitude: 44.6805411292129, stopType: 'Bus Stop Accessible', gotime: \'8586\', location: \'WOODLAND AVE  NS FREDERICK ST\' }, </v>
      </c>
    </row>
    <row r="735" spans="1:12" x14ac:dyDescent="0.25">
      <c r="A735">
        <v>-63.579350355598997</v>
      </c>
      <c r="B735">
        <v>44.6777111717726</v>
      </c>
      <c r="C735">
        <v>1224</v>
      </c>
      <c r="D735" t="s">
        <v>29</v>
      </c>
      <c r="E735" t="s">
        <v>12</v>
      </c>
      <c r="F735" t="s">
        <v>13</v>
      </c>
      <c r="G735" t="s">
        <v>14</v>
      </c>
      <c r="H735">
        <v>8587</v>
      </c>
      <c r="I735" t="s">
        <v>1506</v>
      </c>
      <c r="J735" t="s">
        <v>1507</v>
      </c>
      <c r="K735" t="s">
        <v>17</v>
      </c>
      <c r="L735" t="str">
        <f t="shared" si="11"/>
        <v xml:space="preserve">{ longitude: -63.579350355599, latitude: 44.6777111717726, stopType: 'Bus Stop Accessible', gotime: \'8587\', location: \'WOODLAND AVE  NS SLAYTER ST\' }, </v>
      </c>
    </row>
    <row r="736" spans="1:12" x14ac:dyDescent="0.25">
      <c r="A736">
        <v>-63.5281750381249</v>
      </c>
      <c r="B736">
        <v>44.676947761208503</v>
      </c>
      <c r="C736">
        <v>1225</v>
      </c>
      <c r="D736" t="s">
        <v>29</v>
      </c>
      <c r="E736" t="s">
        <v>12</v>
      </c>
      <c r="F736" t="s">
        <v>25</v>
      </c>
      <c r="G736" t="s">
        <v>26</v>
      </c>
      <c r="H736">
        <v>8588</v>
      </c>
      <c r="I736" t="s">
        <v>1508</v>
      </c>
      <c r="J736" t="s">
        <v>1509</v>
      </c>
      <c r="K736" t="s">
        <v>17</v>
      </c>
      <c r="L736" t="str">
        <f t="shared" si="11"/>
        <v xml:space="preserve">{ longitude: -63.5281750381249, latitude: 44.6769477612085, stopType: 'Bus Stop Accessible', gotime: \'8588\', location: \'WOODLAWN RD FS GUYSBOROUGH AVE\' }, </v>
      </c>
    </row>
    <row r="737" spans="1:12" x14ac:dyDescent="0.25">
      <c r="A737">
        <v>-63.531898729228402</v>
      </c>
      <c r="B737">
        <v>44.671480555181802</v>
      </c>
      <c r="C737">
        <v>1226</v>
      </c>
      <c r="D737" t="s">
        <v>29</v>
      </c>
      <c r="E737" t="s">
        <v>12</v>
      </c>
      <c r="F737" t="s">
        <v>25</v>
      </c>
      <c r="G737" t="s">
        <v>26</v>
      </c>
      <c r="H737">
        <v>8589</v>
      </c>
      <c r="I737" t="s">
        <v>1510</v>
      </c>
      <c r="J737" t="s">
        <v>1511</v>
      </c>
      <c r="K737" t="s">
        <v>17</v>
      </c>
      <c r="L737" t="str">
        <f t="shared" si="11"/>
        <v xml:space="preserve">{ longitude: -63.5318987292284, latitude: 44.6714805551818, stopType: 'Bus Stop Accessible', gotime: \'8589\', location: \'WOODLAWN RD FS PORTLAND ST\' }, </v>
      </c>
    </row>
    <row r="738" spans="1:12" x14ac:dyDescent="0.25">
      <c r="A738">
        <v>-63.549399921836702</v>
      </c>
      <c r="B738">
        <v>44.734985350688703</v>
      </c>
      <c r="C738">
        <v>1227</v>
      </c>
      <c r="D738" t="s">
        <v>11</v>
      </c>
      <c r="E738" t="s">
        <v>12</v>
      </c>
      <c r="F738" t="s">
        <v>25</v>
      </c>
      <c r="G738" t="s">
        <v>26</v>
      </c>
      <c r="H738">
        <v>8438</v>
      </c>
      <c r="I738" t="s">
        <v>1512</v>
      </c>
      <c r="J738" t="s">
        <v>1513</v>
      </c>
      <c r="K738" t="s">
        <v>17</v>
      </c>
      <c r="L738" t="str">
        <f t="shared" si="11"/>
        <v xml:space="preserve">{ longitude: -63.5493999218367, latitude: 44.7349853506887, stopType: 'Bus Stop Non-Standard', gotime: \'8438\', location: \'WAVERLEY RD FS CIVIC 928\' }, </v>
      </c>
    </row>
    <row r="739" spans="1:12" x14ac:dyDescent="0.25">
      <c r="A739">
        <v>-63.549497083265301</v>
      </c>
      <c r="B739">
        <v>44.735220149940901</v>
      </c>
      <c r="C739">
        <v>1228</v>
      </c>
      <c r="D739" t="s">
        <v>11</v>
      </c>
      <c r="E739" t="s">
        <v>12</v>
      </c>
      <c r="F739" t="s">
        <v>25</v>
      </c>
      <c r="G739" t="s">
        <v>26</v>
      </c>
      <c r="H739">
        <v>8439</v>
      </c>
      <c r="I739" t="s">
        <v>1514</v>
      </c>
      <c r="J739" t="s">
        <v>1515</v>
      </c>
      <c r="K739" t="s">
        <v>17</v>
      </c>
      <c r="L739" t="str">
        <f t="shared" si="11"/>
        <v xml:space="preserve">{ longitude: -63.5494970832653, latitude: 44.7352201499409, stopType: 'Bus Stop Non-Standard', gotime: \'8439\', location: \'WAVERLEY RD FS CIVIC 933\' }, </v>
      </c>
    </row>
    <row r="740" spans="1:12" x14ac:dyDescent="0.25">
      <c r="A740">
        <v>-63.549483328587399</v>
      </c>
      <c r="B740">
        <v>44.705224176332898</v>
      </c>
      <c r="C740">
        <v>1229</v>
      </c>
      <c r="D740" t="s">
        <v>22</v>
      </c>
      <c r="E740" t="s">
        <v>12</v>
      </c>
      <c r="F740" t="s">
        <v>25</v>
      </c>
      <c r="G740" t="s">
        <v>26</v>
      </c>
      <c r="H740">
        <v>8440</v>
      </c>
      <c r="I740" t="s">
        <v>1516</v>
      </c>
      <c r="J740" t="s">
        <v>1517</v>
      </c>
      <c r="K740" t="s">
        <v>17</v>
      </c>
      <c r="L740" t="str">
        <f t="shared" si="11"/>
        <v xml:space="preserve">{ longitude: -63.5494833285874, latitude: 44.7052241763329, stopType: 'Bus Stop Shelter Accessible', gotime: \'8440\', location: \'WAVERLEY RD FS LETHBRIDGE AVE\' }, </v>
      </c>
    </row>
    <row r="741" spans="1:12" x14ac:dyDescent="0.25">
      <c r="A741">
        <v>-63.5478262904616</v>
      </c>
      <c r="B741">
        <v>44.698532605203297</v>
      </c>
      <c r="C741">
        <v>1230</v>
      </c>
      <c r="D741" t="s">
        <v>22</v>
      </c>
      <c r="E741" t="s">
        <v>12</v>
      </c>
      <c r="F741" t="s">
        <v>25</v>
      </c>
      <c r="G741" t="s">
        <v>26</v>
      </c>
      <c r="H741">
        <v>8441</v>
      </c>
      <c r="I741" t="s">
        <v>1518</v>
      </c>
      <c r="J741" s="1" t="s">
        <v>1519</v>
      </c>
      <c r="K741" t="s">
        <v>17</v>
      </c>
      <c r="L741" t="str">
        <f t="shared" si="11"/>
        <v xml:space="preserve">{ longitude: -63.5478262904616, latitude: 44.6985326052033, stopType: 'Bus Stop Shelter Accessible', gotime: \'8441\', location: \'WAVERLEY RD FS LOCKS RD\' }, </v>
      </c>
    </row>
    <row r="742" spans="1:12" x14ac:dyDescent="0.25">
      <c r="A742">
        <v>-63.546637311700799</v>
      </c>
      <c r="B742">
        <v>44.693625501527997</v>
      </c>
      <c r="C742">
        <v>1231</v>
      </c>
      <c r="D742" t="s">
        <v>11</v>
      </c>
      <c r="E742" t="s">
        <v>12</v>
      </c>
      <c r="F742" t="s">
        <v>13</v>
      </c>
      <c r="G742" t="s">
        <v>14</v>
      </c>
      <c r="H742">
        <v>8442</v>
      </c>
      <c r="I742" t="s">
        <v>1520</v>
      </c>
      <c r="J742" t="s">
        <v>1521</v>
      </c>
      <c r="K742" t="s">
        <v>17</v>
      </c>
      <c r="L742" t="str">
        <f t="shared" si="11"/>
        <v xml:space="preserve">{ longitude: -63.5466373117008, latitude: 44.693625501528, stopType: 'Bus Stop Non-Standard', gotime: \'8442\', location: \'WAVERLEY RD FS MIC MAC DR\' }, </v>
      </c>
    </row>
    <row r="743" spans="1:12" x14ac:dyDescent="0.25">
      <c r="A743">
        <v>-63.7159687115672</v>
      </c>
      <c r="B743">
        <v>44.715812188702202</v>
      </c>
      <c r="C743">
        <v>1232</v>
      </c>
      <c r="D743" t="s">
        <v>11</v>
      </c>
      <c r="E743" t="s">
        <v>12</v>
      </c>
      <c r="F743" t="s">
        <v>1060</v>
      </c>
      <c r="G743" t="s">
        <v>19</v>
      </c>
      <c r="H743">
        <v>6067</v>
      </c>
      <c r="I743" t="s">
        <v>1522</v>
      </c>
      <c r="J743" t="s">
        <v>1523</v>
      </c>
      <c r="K743" t="s">
        <v>17</v>
      </c>
      <c r="L743" t="str">
        <f t="shared" si="11"/>
        <v xml:space="preserve">{ longitude: -63.7159687115672, latitude: 44.7158121887022, stopType: 'Bus Stop Non-Standard', gotime: \'6067\', location: \'BLUEWATER &lt;FS&gt; SEAWAY DISTRIBUTORS\' }, </v>
      </c>
    </row>
    <row r="744" spans="1:12" x14ac:dyDescent="0.25">
      <c r="A744">
        <v>-63.7157776794703</v>
      </c>
      <c r="B744">
        <v>44.716872837892197</v>
      </c>
      <c r="C744">
        <v>1233</v>
      </c>
      <c r="D744" t="s">
        <v>11</v>
      </c>
      <c r="E744" t="s">
        <v>12</v>
      </c>
      <c r="F744" t="s">
        <v>1060</v>
      </c>
      <c r="G744" t="s">
        <v>1063</v>
      </c>
      <c r="H744">
        <v>6168</v>
      </c>
      <c r="I744" t="s">
        <v>1524</v>
      </c>
      <c r="J744" t="s">
        <v>1525</v>
      </c>
      <c r="K744" t="s">
        <v>17</v>
      </c>
      <c r="L744" t="str">
        <f t="shared" si="11"/>
        <v xml:space="preserve">{ longitude: -63.7157776794703, latitude: 44.7168728378922, stopType: 'Bus Stop Non-Standard', gotime: \'6168\', location: \'BLUEWATER RD &lt;OP&gt; CIVIC 223\' }, </v>
      </c>
    </row>
    <row r="745" spans="1:12" x14ac:dyDescent="0.25">
      <c r="A745">
        <v>-63.570413245882001</v>
      </c>
      <c r="B745">
        <v>44.642590053230201</v>
      </c>
      <c r="C745">
        <v>1234</v>
      </c>
      <c r="D745" t="s">
        <v>29</v>
      </c>
      <c r="E745" t="s">
        <v>12</v>
      </c>
      <c r="F745" t="s">
        <v>1091</v>
      </c>
      <c r="G745" t="s">
        <v>1526</v>
      </c>
      <c r="H745">
        <v>8825</v>
      </c>
      <c r="I745" t="s">
        <v>1527</v>
      </c>
      <c r="J745" t="s">
        <v>1528</v>
      </c>
      <c r="K745" t="s">
        <v>17</v>
      </c>
      <c r="L745" t="str">
        <f t="shared" si="11"/>
        <v xml:space="preserve">{ longitude: -63.570413245882, latitude: 44.6425900532302, stopType: 'Bus Stop Accessible', gotime: \'8825\', location: \'HOLLIS ST &lt;SB&gt; &lt;AT&gt; CIVIC 1332\' }, </v>
      </c>
    </row>
    <row r="746" spans="1:12" x14ac:dyDescent="0.25">
      <c r="A746">
        <v>-63.709942587782997</v>
      </c>
      <c r="B746">
        <v>44.722709398914503</v>
      </c>
      <c r="C746">
        <v>1235</v>
      </c>
      <c r="D746" t="s">
        <v>103</v>
      </c>
      <c r="E746" t="s">
        <v>1529</v>
      </c>
      <c r="F746" t="s">
        <v>1060</v>
      </c>
      <c r="G746" t="s">
        <v>65</v>
      </c>
      <c r="H746">
        <v>6231</v>
      </c>
      <c r="I746" t="s">
        <v>1530</v>
      </c>
      <c r="J746" t="s">
        <v>1531</v>
      </c>
      <c r="K746" t="s">
        <v>17</v>
      </c>
      <c r="L746" t="str">
        <f t="shared" si="11"/>
        <v xml:space="preserve">{ longitude: -63.709942587783, latitude: 44.7227093989145, stopType: 'Bus Stop Inaccessible', gotime: \'6231\', location: \'BLUEWATER RD &lt;AT&gt; CIVIC 112\' }, </v>
      </c>
    </row>
    <row r="747" spans="1:12" x14ac:dyDescent="0.25">
      <c r="A747">
        <v>-63.596730195792603</v>
      </c>
      <c r="B747">
        <v>44.650061355545802</v>
      </c>
      <c r="C747">
        <v>1236</v>
      </c>
      <c r="D747" t="s">
        <v>29</v>
      </c>
      <c r="E747" t="s">
        <v>1529</v>
      </c>
      <c r="F747" t="s">
        <v>1060</v>
      </c>
      <c r="G747" t="s">
        <v>1532</v>
      </c>
      <c r="H747">
        <v>6412</v>
      </c>
      <c r="I747" t="s">
        <v>1533</v>
      </c>
      <c r="J747" t="s">
        <v>1534</v>
      </c>
      <c r="K747" t="s">
        <v>17</v>
      </c>
      <c r="L747" t="str">
        <f t="shared" si="11"/>
        <v xml:space="preserve">{ longitude: -63.5967301957926, latitude: 44.6500613555458, stopType: 'Bus Stop Accessible', gotime: \'6412\', location: \'CHEBUCTO RD &lt;OP&gt; SAINT MATTHIAS ST\' }, </v>
      </c>
    </row>
    <row r="748" spans="1:12" x14ac:dyDescent="0.25">
      <c r="A748">
        <v>-63.696295860402799</v>
      </c>
      <c r="B748">
        <v>44.726421027742298</v>
      </c>
      <c r="C748">
        <v>1237</v>
      </c>
      <c r="D748" t="s">
        <v>29</v>
      </c>
      <c r="E748" t="s">
        <v>1529</v>
      </c>
      <c r="F748" t="s">
        <v>1060</v>
      </c>
      <c r="G748" t="s">
        <v>1532</v>
      </c>
      <c r="H748">
        <v>6717</v>
      </c>
      <c r="I748" t="s">
        <v>1535</v>
      </c>
      <c r="J748" t="s">
        <v>1536</v>
      </c>
      <c r="K748" t="s">
        <v>17</v>
      </c>
      <c r="L748" t="str">
        <f t="shared" si="11"/>
        <v xml:space="preserve">{ longitude: -63.6962958604028, latitude: 44.7264210277423, stopType: 'Bus Stop Accessible', gotime: \'6717\', location: \'INNOVATION DR &lt;TO BEDFORD&gt;\' }, </v>
      </c>
    </row>
    <row r="749" spans="1:12" x14ac:dyDescent="0.25">
      <c r="A749">
        <v>-63.696294614270201</v>
      </c>
      <c r="B749">
        <v>44.726511015492697</v>
      </c>
      <c r="C749">
        <v>1238</v>
      </c>
      <c r="D749" t="s">
        <v>29</v>
      </c>
      <c r="E749" t="s">
        <v>1529</v>
      </c>
      <c r="F749" t="s">
        <v>1060</v>
      </c>
      <c r="G749" t="s">
        <v>1532</v>
      </c>
      <c r="H749">
        <v>6788</v>
      </c>
      <c r="I749" t="s">
        <v>1537</v>
      </c>
      <c r="J749" t="s">
        <v>1538</v>
      </c>
      <c r="K749" t="s">
        <v>17</v>
      </c>
      <c r="L749" t="str">
        <f t="shared" si="11"/>
        <v xml:space="preserve">{ longitude: -63.6962946142702, latitude: 44.7265110154927, stopType: 'Bus Stop Accessible', gotime: \'6788\', location: \'INNOVATION DR &lt;TO LACEWOOD&gt;\' }, </v>
      </c>
    </row>
    <row r="750" spans="1:12" x14ac:dyDescent="0.25">
      <c r="A750">
        <v>-63.5830094948763</v>
      </c>
      <c r="B750">
        <v>44.6941217971779</v>
      </c>
      <c r="C750">
        <v>1239</v>
      </c>
      <c r="D750" t="s">
        <v>11</v>
      </c>
      <c r="E750" t="s">
        <v>1529</v>
      </c>
      <c r="F750" t="s">
        <v>1060</v>
      </c>
      <c r="G750" t="s">
        <v>1532</v>
      </c>
      <c r="H750">
        <v>6973</v>
      </c>
      <c r="I750" t="s">
        <v>1539</v>
      </c>
      <c r="J750" t="s">
        <v>1540</v>
      </c>
      <c r="K750" t="s">
        <v>17</v>
      </c>
      <c r="L750" t="str">
        <f t="shared" si="11"/>
        <v xml:space="preserve">{ longitude: -63.5830094948763, latitude: 44.6941217971779, stopType: 'Bus Stop Non-Standard', gotime: \'6973\', location: \'ILSLEY AVE &lt;OP&gt; CIV 200 &lt;TO BRIDGE TERMINAL&gt;\' }, </v>
      </c>
    </row>
    <row r="751" spans="1:12" x14ac:dyDescent="0.25">
      <c r="A751">
        <v>-63.715071940047402</v>
      </c>
      <c r="B751">
        <v>44.7186589229212</v>
      </c>
      <c r="C751">
        <v>1240</v>
      </c>
      <c r="D751" t="s">
        <v>11</v>
      </c>
      <c r="E751" t="s">
        <v>1529</v>
      </c>
      <c r="F751" t="s">
        <v>1060</v>
      </c>
      <c r="G751" t="s">
        <v>1532</v>
      </c>
      <c r="H751">
        <v>7217</v>
      </c>
      <c r="I751" t="s">
        <v>1541</v>
      </c>
      <c r="J751" t="s">
        <v>1542</v>
      </c>
      <c r="K751" t="s">
        <v>17</v>
      </c>
      <c r="L751" t="str">
        <f t="shared" si="11"/>
        <v xml:space="preserve">{ longitude: -63.7150719400474, latitude: 44.7186589229212, stopType: 'Bus Stop Non-Standard', gotime: \'7217\', location: \'BLUEWATER RD &lt;AT&gt; CIVIC 217\' }, </v>
      </c>
    </row>
    <row r="752" spans="1:12" x14ac:dyDescent="0.25">
      <c r="A752">
        <v>-63.641370970398597</v>
      </c>
      <c r="B752">
        <v>44.750122292266703</v>
      </c>
      <c r="C752">
        <v>1241</v>
      </c>
      <c r="D752" t="s">
        <v>29</v>
      </c>
      <c r="E752" t="s">
        <v>1529</v>
      </c>
      <c r="F752" t="s">
        <v>1060</v>
      </c>
      <c r="G752" t="s">
        <v>1532</v>
      </c>
      <c r="H752">
        <v>8199</v>
      </c>
      <c r="I752" t="s">
        <v>1543</v>
      </c>
      <c r="J752" t="s">
        <v>1544</v>
      </c>
      <c r="K752" t="s">
        <v>17</v>
      </c>
      <c r="L752" t="str">
        <f t="shared" si="11"/>
        <v xml:space="preserve">{ longitude: -63.6413709703986, latitude: 44.7501222922667, stopType: 'Bus Stop Accessible', gotime: \'8199\', location: \'DAMASCUS RD &lt;AT&gt; VERDI DR\' }, </v>
      </c>
    </row>
    <row r="753" spans="1:12" x14ac:dyDescent="0.25">
      <c r="A753">
        <v>-63.641393961196698</v>
      </c>
      <c r="B753">
        <v>44.750275458561902</v>
      </c>
      <c r="C753">
        <v>1242</v>
      </c>
      <c r="D753" t="s">
        <v>29</v>
      </c>
      <c r="E753" t="s">
        <v>1529</v>
      </c>
      <c r="F753" t="s">
        <v>1060</v>
      </c>
      <c r="G753" t="s">
        <v>1532</v>
      </c>
      <c r="H753">
        <v>8200</v>
      </c>
      <c r="I753" t="s">
        <v>1545</v>
      </c>
      <c r="J753" t="s">
        <v>1546</v>
      </c>
      <c r="K753" t="s">
        <v>17</v>
      </c>
      <c r="L753" t="str">
        <f t="shared" si="11"/>
        <v xml:space="preserve">{ longitude: -63.6413939611967, latitude: 44.7502754585619, stopType: 'Bus Stop Accessible', gotime: \'8200\', location: \'DAMASCUS RD &lt;OP&gt; VERDI DR\' }, </v>
      </c>
    </row>
    <row r="754" spans="1:12" x14ac:dyDescent="0.25">
      <c r="A754">
        <v>-63.660391494649701</v>
      </c>
      <c r="B754">
        <v>44.640926375372302</v>
      </c>
      <c r="C754">
        <v>1243</v>
      </c>
      <c r="D754" t="s">
        <v>11</v>
      </c>
      <c r="E754" t="s">
        <v>1529</v>
      </c>
      <c r="F754" t="s">
        <v>1060</v>
      </c>
      <c r="G754" t="s">
        <v>1532</v>
      </c>
      <c r="H754">
        <v>8691</v>
      </c>
      <c r="I754" t="s">
        <v>1547</v>
      </c>
      <c r="J754" t="s">
        <v>1548</v>
      </c>
      <c r="K754" t="s">
        <v>17</v>
      </c>
      <c r="L754" t="str">
        <f t="shared" si="11"/>
        <v xml:space="preserve">{ longitude: -63.6603914946497, latitude: 44.6409263753723, stopType: 'Bus Stop Non-Standard', gotime: \'8691\', location: \'CHAIN LAKE DR &lt;AT&gt; CIVIC 127\' }, </v>
      </c>
    </row>
    <row r="755" spans="1:12" x14ac:dyDescent="0.25">
      <c r="A755">
        <v>-63.677834336324601</v>
      </c>
      <c r="B755">
        <v>44.682200147897298</v>
      </c>
      <c r="C755">
        <v>1244</v>
      </c>
      <c r="D755" t="s">
        <v>29</v>
      </c>
      <c r="E755" t="s">
        <v>1529</v>
      </c>
      <c r="F755" t="s">
        <v>1060</v>
      </c>
      <c r="G755" t="s">
        <v>1532</v>
      </c>
      <c r="H755">
        <v>8692</v>
      </c>
      <c r="I755" t="s">
        <v>1549</v>
      </c>
      <c r="J755" t="s">
        <v>1550</v>
      </c>
      <c r="K755" t="s">
        <v>17</v>
      </c>
      <c r="L755" t="str">
        <f t="shared" si="11"/>
        <v xml:space="preserve">{ longitude: -63.6778343363246, latitude: 44.6822001478973, stopType: 'Bus Stop Accessible', gotime: \'8692\', location: \'PARKLAND DR &lt;OP&gt; CASTLEPARK GROVE\' }, </v>
      </c>
    </row>
    <row r="756" spans="1:12" x14ac:dyDescent="0.25">
      <c r="A756">
        <v>-63.602291346617498</v>
      </c>
      <c r="B756">
        <v>44.659788947630403</v>
      </c>
      <c r="C756">
        <v>1245</v>
      </c>
      <c r="D756" t="s">
        <v>29</v>
      </c>
      <c r="E756" t="s">
        <v>1529</v>
      </c>
      <c r="F756" t="s">
        <v>1060</v>
      </c>
      <c r="G756" t="s">
        <v>1532</v>
      </c>
      <c r="H756">
        <v>8693</v>
      </c>
      <c r="I756" t="s">
        <v>1551</v>
      </c>
      <c r="J756" t="s">
        <v>1552</v>
      </c>
      <c r="K756" t="s">
        <v>17</v>
      </c>
      <c r="L756" t="str">
        <f t="shared" si="11"/>
        <v xml:space="preserve">{ longitude: -63.6022913466175, latitude: 44.6597889476304, stopType: 'Bus Stop Accessible', gotime: \'8693\', location: \'YOUNG ST &lt;WB&gt; &lt;NS&gt; ROBIE ST\' }, </v>
      </c>
    </row>
    <row r="757" spans="1:12" x14ac:dyDescent="0.25">
      <c r="A757">
        <v>-63.632310053096802</v>
      </c>
      <c r="B757">
        <v>44.658428015899702</v>
      </c>
      <c r="C757">
        <v>1246</v>
      </c>
      <c r="D757" t="s">
        <v>29</v>
      </c>
      <c r="E757" t="s">
        <v>1529</v>
      </c>
      <c r="F757" t="s">
        <v>1060</v>
      </c>
      <c r="G757" t="s">
        <v>1532</v>
      </c>
      <c r="H757">
        <v>9042</v>
      </c>
      <c r="I757" t="s">
        <v>1553</v>
      </c>
      <c r="J757" t="s">
        <v>1554</v>
      </c>
      <c r="K757" t="s">
        <v>17</v>
      </c>
      <c r="L757" t="str">
        <f t="shared" si="11"/>
        <v xml:space="preserve">{ longitude: -63.6323100530968, latitude: 44.6584280158997, stopType: 'Bus Stop Accessible', gotime: \'9042\', location: \'ALMA CR &lt;NS&gt; DUTCH VILLAGE RD\' }, </v>
      </c>
    </row>
    <row r="758" spans="1:12" x14ac:dyDescent="0.25">
      <c r="A758">
        <v>-63.577326571351698</v>
      </c>
      <c r="B758">
        <v>44.649303250034002</v>
      </c>
      <c r="C758">
        <v>1247</v>
      </c>
      <c r="D758" t="s">
        <v>22</v>
      </c>
      <c r="E758" t="s">
        <v>1529</v>
      </c>
      <c r="F758" t="s">
        <v>1060</v>
      </c>
      <c r="G758" t="s">
        <v>1532</v>
      </c>
      <c r="H758">
        <v>9061</v>
      </c>
      <c r="I758" t="s">
        <v>1555</v>
      </c>
      <c r="J758" t="s">
        <v>1556</v>
      </c>
      <c r="K758" t="s">
        <v>17</v>
      </c>
      <c r="L758" t="str">
        <f t="shared" si="11"/>
        <v xml:space="preserve">{ longitude: -63.5773265713517, latitude: 44.649303250034, stopType: 'Bus Stop Shelter Accessible', gotime: \'9061\', location: \'MARKET ST &lt;FS&gt; DUKE ST (MetroX)\' }, </v>
      </c>
    </row>
    <row r="759" spans="1:12" x14ac:dyDescent="0.25">
      <c r="A759">
        <v>-63.543217214918997</v>
      </c>
      <c r="B759">
        <v>44.655711159802401</v>
      </c>
      <c r="C759">
        <v>1248</v>
      </c>
      <c r="D759" t="s">
        <v>11</v>
      </c>
      <c r="E759" t="s">
        <v>12</v>
      </c>
      <c r="F759" t="s">
        <v>1091</v>
      </c>
      <c r="G759" t="s">
        <v>1557</v>
      </c>
      <c r="H759">
        <v>8891</v>
      </c>
      <c r="I759" t="s">
        <v>1558</v>
      </c>
      <c r="J759" t="s">
        <v>1559</v>
      </c>
      <c r="K759" t="s">
        <v>17</v>
      </c>
      <c r="L759" t="str">
        <f t="shared" si="11"/>
        <v xml:space="preserve">{ longitude: -63.543217214919, latitude: 44.6557111598024, stopType: 'Bus Stop Non-Standard', gotime: \'8891\', location: \'MT HOPE AVE &lt;OP&gt; ERIC SPICER\' }, </v>
      </c>
    </row>
    <row r="760" spans="1:12" x14ac:dyDescent="0.25">
      <c r="A760">
        <v>-63.541000050272402</v>
      </c>
      <c r="B760">
        <v>44.656945270868697</v>
      </c>
      <c r="C760">
        <v>1249</v>
      </c>
      <c r="D760" t="s">
        <v>11</v>
      </c>
      <c r="E760" t="s">
        <v>12</v>
      </c>
      <c r="F760" t="s">
        <v>1091</v>
      </c>
      <c r="G760" t="s">
        <v>1557</v>
      </c>
      <c r="H760">
        <v>8893</v>
      </c>
      <c r="I760" t="s">
        <v>1560</v>
      </c>
      <c r="J760" t="s">
        <v>1561</v>
      </c>
      <c r="K760" t="s">
        <v>17</v>
      </c>
      <c r="L760" t="str">
        <f t="shared" si="11"/>
        <v xml:space="preserve">{ longitude: -63.5410000502724, latitude: 44.6569452708687, stopType: 'Bus Stop Non-Standard', gotime: \'8893\', location: \'MT HOPE AVE &lt;OP&gt; NEPTUNE\' }, </v>
      </c>
    </row>
    <row r="761" spans="1:12" x14ac:dyDescent="0.25">
      <c r="A761">
        <v>-63.5404809380613</v>
      </c>
      <c r="B761">
        <v>44.657028504734598</v>
      </c>
      <c r="C761">
        <v>1250</v>
      </c>
      <c r="D761" t="s">
        <v>11</v>
      </c>
      <c r="E761" t="s">
        <v>12</v>
      </c>
      <c r="F761" t="s">
        <v>1091</v>
      </c>
      <c r="G761" t="s">
        <v>1557</v>
      </c>
      <c r="H761">
        <v>8892</v>
      </c>
      <c r="I761" t="s">
        <v>1562</v>
      </c>
      <c r="J761" t="s">
        <v>1563</v>
      </c>
      <c r="K761" t="s">
        <v>17</v>
      </c>
      <c r="L761" t="str">
        <f t="shared" si="11"/>
        <v xml:space="preserve">{ longitude: -63.5404809380613, latitude: 44.6570285047346, stopType: 'Bus Stop Non-Standard', gotime: \'8892\', location: \'MT HOPE AVE &lt;AT&gt; NEPTUNE\' }, </v>
      </c>
    </row>
    <row r="762" spans="1:12" x14ac:dyDescent="0.25">
      <c r="A762">
        <v>-63.545821432280199</v>
      </c>
      <c r="B762">
        <v>44.656857098317801</v>
      </c>
      <c r="C762">
        <v>1251</v>
      </c>
      <c r="D762" t="s">
        <v>11</v>
      </c>
      <c r="E762" t="s">
        <v>12</v>
      </c>
      <c r="F762" t="s">
        <v>1091</v>
      </c>
      <c r="G762" t="s">
        <v>1557</v>
      </c>
      <c r="H762">
        <v>8889</v>
      </c>
      <c r="I762" t="s">
        <v>1564</v>
      </c>
      <c r="J762" t="s">
        <v>1565</v>
      </c>
      <c r="K762" t="s">
        <v>17</v>
      </c>
      <c r="L762" t="str">
        <f t="shared" si="11"/>
        <v xml:space="preserve">{ longitude: -63.5458214322802, latitude: 44.6568570983178, stopType: 'Bus Stop Non-Standard', gotime: \'8889\', location: \'ACADIA ST &lt;FS&gt; RAGUS\' }, </v>
      </c>
    </row>
    <row r="763" spans="1:12" x14ac:dyDescent="0.25">
      <c r="A763">
        <v>-63.540649999795399</v>
      </c>
      <c r="B763">
        <v>44.532466666729498</v>
      </c>
      <c r="C763">
        <v>1252</v>
      </c>
      <c r="D763" t="s">
        <v>11</v>
      </c>
      <c r="E763" t="s">
        <v>12</v>
      </c>
      <c r="F763" t="s">
        <v>1091</v>
      </c>
      <c r="G763" t="s">
        <v>1566</v>
      </c>
      <c r="H763">
        <v>7627</v>
      </c>
      <c r="I763" t="s">
        <v>1567</v>
      </c>
      <c r="J763" t="s">
        <v>1568</v>
      </c>
      <c r="K763" t="s">
        <v>17</v>
      </c>
      <c r="L763" t="str">
        <f t="shared" si="11"/>
        <v xml:space="preserve">{ longitude: -63.5406499997954, latitude: 44.5324666667295, stopType: 'Bus Stop Non-Standard', gotime: \'7627\', location: \'KETCH HARBOUR RD FS HARBOURVIEW \' }, </v>
      </c>
    </row>
    <row r="764" spans="1:12" x14ac:dyDescent="0.25">
      <c r="A764">
        <v>-63.588779182624897</v>
      </c>
      <c r="B764">
        <v>44.672652810316499</v>
      </c>
      <c r="C764">
        <v>1253</v>
      </c>
      <c r="D764" t="s">
        <v>29</v>
      </c>
      <c r="E764" t="s">
        <v>12</v>
      </c>
      <c r="F764" t="s">
        <v>13</v>
      </c>
      <c r="G764" t="s">
        <v>19</v>
      </c>
      <c r="H764">
        <v>8523</v>
      </c>
      <c r="I764" t="s">
        <v>1569</v>
      </c>
      <c r="J764" t="s">
        <v>1570</v>
      </c>
      <c r="K764" t="s">
        <v>17</v>
      </c>
      <c r="L764" t="str">
        <f t="shared" si="11"/>
        <v xml:space="preserve">{ longitude: -63.5887791826249, latitude: 44.6726528103165, stopType: 'Bus Stop Accessible', gotime: \'8523\', location: \'WINDMILL RD  NS ELMWOOD AVE\' }, </v>
      </c>
    </row>
    <row r="765" spans="1:12" x14ac:dyDescent="0.25">
      <c r="A765">
        <v>-63.587136908063698</v>
      </c>
      <c r="B765">
        <v>44.671689142745002</v>
      </c>
      <c r="C765">
        <v>1254</v>
      </c>
      <c r="D765" t="s">
        <v>29</v>
      </c>
      <c r="E765" t="s">
        <v>12</v>
      </c>
      <c r="F765" t="s">
        <v>13</v>
      </c>
      <c r="G765" t="s">
        <v>14</v>
      </c>
      <c r="H765">
        <v>8524</v>
      </c>
      <c r="I765" t="s">
        <v>1571</v>
      </c>
      <c r="J765" t="s">
        <v>1572</v>
      </c>
      <c r="K765" t="s">
        <v>17</v>
      </c>
      <c r="L765" t="str">
        <f t="shared" si="11"/>
        <v xml:space="preserve">{ longitude: -63.5871369080637, latitude: 44.671689142745, stopType: 'Bus Stop Accessible', gotime: \'8524\', location: \'WINDMILL RD  NS HENRY ST\' }, </v>
      </c>
    </row>
    <row r="766" spans="1:12" x14ac:dyDescent="0.25">
      <c r="A766">
        <v>-63.548132203274101</v>
      </c>
      <c r="B766">
        <v>44.649036645276198</v>
      </c>
      <c r="C766">
        <v>1255</v>
      </c>
      <c r="D766" t="s">
        <v>1573</v>
      </c>
      <c r="E766" t="s">
        <v>12</v>
      </c>
      <c r="F766" t="s">
        <v>25</v>
      </c>
      <c r="G766" t="s">
        <v>26</v>
      </c>
      <c r="H766">
        <v>8606</v>
      </c>
      <c r="I766" t="s">
        <v>1574</v>
      </c>
      <c r="J766" t="s">
        <v>1575</v>
      </c>
      <c r="K766" t="s">
        <v>17</v>
      </c>
      <c r="L766" t="str">
        <f t="shared" si="11"/>
        <v xml:space="preserve">{ longitude: -63.5481322032741, latitude: 44.6490366452762, stopType: 'Bus Terminal Accessible', gotime: \'8606\', location: \'WOODSIDE TERMINAL (IB/60)\' }, </v>
      </c>
    </row>
    <row r="767" spans="1:12" x14ac:dyDescent="0.25">
      <c r="A767">
        <v>-63.548204765301698</v>
      </c>
      <c r="B767">
        <v>44.656307147815802</v>
      </c>
      <c r="C767">
        <v>1256</v>
      </c>
      <c r="D767" t="s">
        <v>11</v>
      </c>
      <c r="E767" t="s">
        <v>12</v>
      </c>
      <c r="F767" t="s">
        <v>1091</v>
      </c>
      <c r="G767" t="s">
        <v>1557</v>
      </c>
      <c r="H767">
        <v>8890</v>
      </c>
      <c r="I767" t="s">
        <v>1576</v>
      </c>
      <c r="J767" t="s">
        <v>1577</v>
      </c>
      <c r="K767" t="s">
        <v>17</v>
      </c>
      <c r="L767" t="str">
        <f t="shared" si="11"/>
        <v xml:space="preserve">{ longitude: -63.5482047653017, latitude: 44.6563071478158, stopType: 'Bus Stop Non-Standard', gotime: \'8890\', location: \'ACADIA ST &lt;NS&gt; PLEASANT ST\' }, </v>
      </c>
    </row>
    <row r="768" spans="1:12" x14ac:dyDescent="0.25">
      <c r="A768">
        <v>-63.702409530051</v>
      </c>
      <c r="B768">
        <v>44.726880950651598</v>
      </c>
      <c r="C768">
        <v>1257</v>
      </c>
      <c r="D768" t="s">
        <v>11</v>
      </c>
      <c r="E768" t="s">
        <v>12</v>
      </c>
      <c r="F768" t="s">
        <v>1091</v>
      </c>
      <c r="G768" t="s">
        <v>1557</v>
      </c>
      <c r="H768">
        <v>8886</v>
      </c>
      <c r="I768" t="s">
        <v>1578</v>
      </c>
      <c r="J768" t="s">
        <v>1579</v>
      </c>
      <c r="K768" t="s">
        <v>17</v>
      </c>
      <c r="L768" t="str">
        <f t="shared" si="11"/>
        <v xml:space="preserve">{ longitude: -63.702409530051, latitude: 44.7268809506516, stopType: 'Bus Stop Non-Standard', gotime: \'8886\', location: \'HAMMONDS PLAINS RD &lt;AT&gt; GARY MARTIN\' }, </v>
      </c>
    </row>
    <row r="769" spans="1:12" x14ac:dyDescent="0.25">
      <c r="A769">
        <v>-63.702233333847197</v>
      </c>
      <c r="B769">
        <v>44.726678555228702</v>
      </c>
      <c r="C769">
        <v>1258</v>
      </c>
      <c r="D769" t="s">
        <v>11</v>
      </c>
      <c r="E769" t="s">
        <v>12</v>
      </c>
      <c r="F769" t="s">
        <v>1091</v>
      </c>
      <c r="G769" t="s">
        <v>1557</v>
      </c>
      <c r="H769">
        <v>8887</v>
      </c>
      <c r="I769" t="s">
        <v>1580</v>
      </c>
      <c r="J769" t="s">
        <v>1581</v>
      </c>
      <c r="K769" t="s">
        <v>17</v>
      </c>
      <c r="L769" t="str">
        <f t="shared" si="11"/>
        <v xml:space="preserve">{ longitude: -63.7022333338472, latitude: 44.7266785552287, stopType: 'Bus Stop Non-Standard', gotime: \'8887\', location: \'HAMMONDS PLAINS &lt;OP&gt; GARY MARTIN\' }, </v>
      </c>
    </row>
    <row r="770" spans="1:12" x14ac:dyDescent="0.25">
      <c r="A770">
        <v>-63.682855780772698</v>
      </c>
      <c r="B770">
        <v>44.700493936901502</v>
      </c>
      <c r="C770">
        <v>1259</v>
      </c>
      <c r="D770" t="s">
        <v>29</v>
      </c>
      <c r="E770" t="s">
        <v>12</v>
      </c>
      <c r="F770" t="s">
        <v>1091</v>
      </c>
      <c r="G770" t="s">
        <v>1582</v>
      </c>
      <c r="H770">
        <v>8878</v>
      </c>
      <c r="I770" t="s">
        <v>1583</v>
      </c>
      <c r="J770" t="s">
        <v>1584</v>
      </c>
      <c r="K770" t="s">
        <v>17</v>
      </c>
      <c r="L770" t="str">
        <f t="shared" si="11"/>
        <v xml:space="preserve">{ longitude: -63.6828557807727, latitude: 44.7004939369015, stopType: 'Bus Stop Accessible', gotime: \'8878\', location: \'Larry Uteck &lt;FS&gt; Roundabout\' }, </v>
      </c>
    </row>
    <row r="771" spans="1:12" x14ac:dyDescent="0.25">
      <c r="A771">
        <v>-63.6853430238369</v>
      </c>
      <c r="B771">
        <v>44.848963988597198</v>
      </c>
      <c r="C771">
        <v>1</v>
      </c>
      <c r="D771" t="s">
        <v>103</v>
      </c>
      <c r="E771" t="s">
        <v>12</v>
      </c>
      <c r="F771" t="s">
        <v>25</v>
      </c>
      <c r="G771" t="s">
        <v>1456</v>
      </c>
      <c r="H771">
        <v>8723</v>
      </c>
      <c r="I771" t="s">
        <v>1585</v>
      </c>
      <c r="J771" t="s">
        <v>1586</v>
      </c>
      <c r="K771" t="s">
        <v>17</v>
      </c>
      <c r="L771" t="str">
        <f t="shared" ref="L771:L834" si="12">CONCATENATE( "{ longitude: ", A771, ", latitude: ", B771, ", stopType: '", D771, "', gotime: \'", H771, "\', location: \'", I771, "\' }, ")</f>
        <v xml:space="preserve">{ longitude: -63.6853430238369, latitude: 44.8489639885972, stopType: 'Bus Stop Inaccessible', gotime: \'8723\', location: \'BEAVER BANK RD &lt;FS&gt; KINSAC RD\' }, </v>
      </c>
    </row>
    <row r="772" spans="1:12" x14ac:dyDescent="0.25">
      <c r="A772">
        <v>-63.679261482644499</v>
      </c>
      <c r="B772">
        <v>44.700722451130702</v>
      </c>
      <c r="C772">
        <v>1260</v>
      </c>
      <c r="D772" t="s">
        <v>29</v>
      </c>
      <c r="E772" t="s">
        <v>12</v>
      </c>
      <c r="F772" t="s">
        <v>1091</v>
      </c>
      <c r="G772" t="s">
        <v>1582</v>
      </c>
      <c r="H772">
        <v>8879</v>
      </c>
      <c r="I772" t="s">
        <v>1587</v>
      </c>
      <c r="J772" t="s">
        <v>1588</v>
      </c>
      <c r="K772" t="s">
        <v>17</v>
      </c>
      <c r="L772" t="str">
        <f t="shared" si="12"/>
        <v xml:space="preserve">{ longitude: -63.6792614826445, latitude: 44.7007224511307, stopType: 'Bus Stop Accessible', gotime: \'8879\', location: \'Larry Uteck &lt;AT&gt; Ecole Secondaire du Sommet\' }, </v>
      </c>
    </row>
    <row r="773" spans="1:12" x14ac:dyDescent="0.25">
      <c r="A773">
        <v>-63.675398499870603</v>
      </c>
      <c r="B773">
        <v>44.701917002107798</v>
      </c>
      <c r="C773">
        <v>1261</v>
      </c>
      <c r="D773" t="s">
        <v>29</v>
      </c>
      <c r="E773" t="s">
        <v>12</v>
      </c>
      <c r="F773" t="s">
        <v>1091</v>
      </c>
      <c r="G773" t="s">
        <v>1582</v>
      </c>
      <c r="H773">
        <v>8880</v>
      </c>
      <c r="I773" t="s">
        <v>1589</v>
      </c>
      <c r="J773" t="s">
        <v>1590</v>
      </c>
      <c r="K773" t="s">
        <v>17</v>
      </c>
      <c r="L773" t="str">
        <f t="shared" si="12"/>
        <v xml:space="preserve">{ longitude: -63.6753984998706, latitude: 44.7019170021078, stopType: 'Bus Stop Accessible', gotime: \'8880\', location: \'Larry Uteck&lt;FS&gt; SouthGate\' }, </v>
      </c>
    </row>
    <row r="774" spans="1:12" x14ac:dyDescent="0.25">
      <c r="A774">
        <v>-63.515600032866899</v>
      </c>
      <c r="B774">
        <v>44.885816667205802</v>
      </c>
      <c r="C774">
        <v>1262</v>
      </c>
      <c r="D774" t="s">
        <v>740</v>
      </c>
      <c r="E774" t="s">
        <v>12</v>
      </c>
      <c r="F774" t="s">
        <v>13</v>
      </c>
      <c r="G774" t="s">
        <v>74</v>
      </c>
      <c r="H774">
        <v>8695</v>
      </c>
      <c r="I774" t="s">
        <v>1591</v>
      </c>
      <c r="J774" t="s">
        <v>1592</v>
      </c>
      <c r="K774" t="s">
        <v>1593</v>
      </c>
      <c r="L774" t="str">
        <f t="shared" si="12"/>
        <v xml:space="preserve">{ longitude: -63.5156000328669, latitude: 44.8858166672058, stopType: 'Bus Terminal Non-Standard', gotime: \'8695\', location: \'HIAA TERMINAL STOP\' }, </v>
      </c>
    </row>
    <row r="775" spans="1:12" x14ac:dyDescent="0.25">
      <c r="A775">
        <v>-63.6842333329149</v>
      </c>
      <c r="B775">
        <v>44.854150000015203</v>
      </c>
      <c r="C775">
        <v>2</v>
      </c>
      <c r="D775" t="s">
        <v>103</v>
      </c>
      <c r="E775" t="s">
        <v>12</v>
      </c>
      <c r="F775" t="s">
        <v>25</v>
      </c>
      <c r="G775" t="s">
        <v>1456</v>
      </c>
      <c r="H775">
        <v>8724</v>
      </c>
      <c r="I775" t="s">
        <v>1594</v>
      </c>
      <c r="J775" t="s">
        <v>1595</v>
      </c>
      <c r="K775" t="s">
        <v>17</v>
      </c>
      <c r="L775" t="str">
        <f t="shared" si="12"/>
        <v xml:space="preserve">{ longitude: -63.6842333329149, latitude: 44.8541500000152, stopType: 'Bus Stop Inaccessible', gotime: \'8724\', location: \'BEAVER BANK RD &lt;AT&gt; SPORTSFIELD\' }, </v>
      </c>
    </row>
    <row r="776" spans="1:12" x14ac:dyDescent="0.25">
      <c r="A776">
        <v>-63.521433285450499</v>
      </c>
      <c r="B776">
        <v>44.879799998918301</v>
      </c>
      <c r="C776">
        <v>1263</v>
      </c>
      <c r="D776" t="s">
        <v>11</v>
      </c>
      <c r="E776" t="s">
        <v>12</v>
      </c>
      <c r="F776" t="s">
        <v>13</v>
      </c>
      <c r="G776" t="s">
        <v>74</v>
      </c>
      <c r="H776">
        <v>8697</v>
      </c>
      <c r="I776" t="s">
        <v>1596</v>
      </c>
      <c r="J776" t="s">
        <v>1597</v>
      </c>
      <c r="K776" t="s">
        <v>1593</v>
      </c>
      <c r="L776" t="str">
        <f t="shared" si="12"/>
        <v xml:space="preserve">{ longitude: -63.5214332854505, latitude: 44.8797999989183, stopType: 'Bus Stop Non-Standard', gotime: \'8697\', location: \'BARNES DR &lt;IB&gt; &lt;FS&gt; RED WING DR\' }, </v>
      </c>
    </row>
    <row r="777" spans="1:12" x14ac:dyDescent="0.25">
      <c r="A777">
        <v>-63.524283373591103</v>
      </c>
      <c r="B777">
        <v>44.876950025737202</v>
      </c>
      <c r="C777">
        <v>1264</v>
      </c>
      <c r="D777" t="s">
        <v>11</v>
      </c>
      <c r="E777" t="s">
        <v>12</v>
      </c>
      <c r="F777" t="s">
        <v>13</v>
      </c>
      <c r="G777" t="s">
        <v>74</v>
      </c>
      <c r="H777">
        <v>9015</v>
      </c>
      <c r="I777" t="s">
        <v>1598</v>
      </c>
      <c r="J777" t="s">
        <v>1599</v>
      </c>
      <c r="K777" t="s">
        <v>1593</v>
      </c>
      <c r="L777" t="str">
        <f t="shared" si="12"/>
        <v xml:space="preserve">{ longitude: -63.5242833735911, latitude: 44.8769500257372, stopType: 'Bus Stop Non-Standard', gotime: \'9015\', location: \'BARNES DR &lt;IB&gt; &lt;OP&gt; PARK AND FLY\' }, </v>
      </c>
    </row>
    <row r="778" spans="1:12" x14ac:dyDescent="0.25">
      <c r="A778">
        <v>-63.686114332369101</v>
      </c>
      <c r="B778">
        <v>44.858449417981298</v>
      </c>
      <c r="C778">
        <v>3</v>
      </c>
      <c r="D778" t="s">
        <v>103</v>
      </c>
      <c r="E778" t="s">
        <v>12</v>
      </c>
      <c r="F778" t="s">
        <v>25</v>
      </c>
      <c r="G778" t="s">
        <v>1456</v>
      </c>
      <c r="H778">
        <v>8725</v>
      </c>
      <c r="I778" t="s">
        <v>1600</v>
      </c>
      <c r="J778" t="s">
        <v>1601</v>
      </c>
      <c r="K778" t="s">
        <v>17</v>
      </c>
      <c r="L778" t="str">
        <f t="shared" si="12"/>
        <v xml:space="preserve">{ longitude: -63.6861143323691, latitude: 44.8584494179813, stopType: 'Bus Stop Inaccessible', gotime: \'8725\', location: \'BEAVER BANK RD &lt;AT&gt; CIVIC 1799\' }, </v>
      </c>
    </row>
    <row r="779" spans="1:12" x14ac:dyDescent="0.25">
      <c r="A779">
        <v>-63.527366662722102</v>
      </c>
      <c r="B779">
        <v>44.873833330952898</v>
      </c>
      <c r="C779">
        <v>1265</v>
      </c>
      <c r="D779" t="s">
        <v>11</v>
      </c>
      <c r="E779" t="s">
        <v>12</v>
      </c>
      <c r="F779" t="s">
        <v>13</v>
      </c>
      <c r="G779" t="s">
        <v>74</v>
      </c>
      <c r="H779">
        <v>9012</v>
      </c>
      <c r="I779" t="s">
        <v>1602</v>
      </c>
      <c r="J779" t="s">
        <v>1603</v>
      </c>
      <c r="K779" t="s">
        <v>1593</v>
      </c>
      <c r="L779" t="str">
        <f t="shared" si="12"/>
        <v xml:space="preserve">{ longitude: -63.5273666627221, latitude: 44.8738333309529, stopType: 'Bus Stop Non-Standard', gotime: \'9012\', location: \'BARNES DR &lt;IB&gt; &lt;NS&gt; BALDWIN DR\' }, </v>
      </c>
    </row>
    <row r="780" spans="1:12" x14ac:dyDescent="0.25">
      <c r="A780">
        <v>-63.692988201299798</v>
      </c>
      <c r="B780">
        <v>44.868689335855599</v>
      </c>
      <c r="C780">
        <v>4</v>
      </c>
      <c r="D780" t="s">
        <v>103</v>
      </c>
      <c r="E780" t="s">
        <v>12</v>
      </c>
      <c r="F780" t="s">
        <v>25</v>
      </c>
      <c r="G780" t="s">
        <v>1456</v>
      </c>
      <c r="H780">
        <v>8726</v>
      </c>
      <c r="I780" t="s">
        <v>1604</v>
      </c>
      <c r="J780" t="s">
        <v>1605</v>
      </c>
      <c r="K780" t="s">
        <v>17</v>
      </c>
      <c r="L780" t="str">
        <f t="shared" si="12"/>
        <v xml:space="preserve">{ longitude: -63.6929882012998, latitude: 44.8686893358556, stopType: 'Bus Stop Inaccessible', gotime: \'8726\', location: \'BEAVER BANK RD &lt;FS&gt; DAVIS DR\' }, </v>
      </c>
    </row>
    <row r="781" spans="1:12" x14ac:dyDescent="0.25">
      <c r="A781">
        <v>-63.5437833160411</v>
      </c>
      <c r="B781">
        <v>44.861983327580099</v>
      </c>
      <c r="C781">
        <v>1266</v>
      </c>
      <c r="D781" t="s">
        <v>11</v>
      </c>
      <c r="E781" t="s">
        <v>12</v>
      </c>
      <c r="F781" t="s">
        <v>13</v>
      </c>
      <c r="G781" t="s">
        <v>74</v>
      </c>
      <c r="H781">
        <v>8698</v>
      </c>
      <c r="I781" t="s">
        <v>1606</v>
      </c>
      <c r="J781" t="s">
        <v>1607</v>
      </c>
      <c r="K781" t="s">
        <v>1593</v>
      </c>
      <c r="L781" t="str">
        <f t="shared" si="12"/>
        <v xml:space="preserve">{ longitude: -63.5437833160411, latitude: 44.8619833275801, stopType: 'Bus Stop Non-Standard', gotime: \'8698\', location: \'PRATT AND WHITNEY DR &lt;IB&gt; &lt;AT&gt; HOTELS\' }, </v>
      </c>
    </row>
    <row r="782" spans="1:12" x14ac:dyDescent="0.25">
      <c r="A782">
        <v>-63.695370517676601</v>
      </c>
      <c r="B782">
        <v>44.871215829748401</v>
      </c>
      <c r="C782">
        <v>5</v>
      </c>
      <c r="D782" t="s">
        <v>103</v>
      </c>
      <c r="E782" t="s">
        <v>12</v>
      </c>
      <c r="F782" t="s">
        <v>25</v>
      </c>
      <c r="G782" t="s">
        <v>1456</v>
      </c>
      <c r="H782">
        <v>8727</v>
      </c>
      <c r="I782" t="s">
        <v>1608</v>
      </c>
      <c r="J782" s="1" t="s">
        <v>1609</v>
      </c>
      <c r="K782" t="s">
        <v>17</v>
      </c>
      <c r="L782" t="str">
        <f t="shared" si="12"/>
        <v xml:space="preserve">{ longitude: -63.6953705176766, latitude: 44.8712158297484, stopType: 'Bus Stop Inaccessible', gotime: \'8727\', location: \'BEAVER BANK RD &lt;AT&gt; CIVIC 2155\' }, </v>
      </c>
    </row>
    <row r="783" spans="1:12" x14ac:dyDescent="0.25">
      <c r="A783">
        <v>-63.597620444074202</v>
      </c>
      <c r="B783">
        <v>44.802938688006201</v>
      </c>
      <c r="C783">
        <v>1267</v>
      </c>
      <c r="D783" t="s">
        <v>29</v>
      </c>
      <c r="E783" t="s">
        <v>12</v>
      </c>
      <c r="F783" t="s">
        <v>13</v>
      </c>
      <c r="G783" t="s">
        <v>74</v>
      </c>
      <c r="H783">
        <v>8030</v>
      </c>
      <c r="I783" t="s">
        <v>1610</v>
      </c>
      <c r="J783" t="s">
        <v>1611</v>
      </c>
      <c r="K783" t="s">
        <v>1593</v>
      </c>
      <c r="L783" t="str">
        <f t="shared" si="12"/>
        <v xml:space="preserve">{ longitude: -63.5976204440742, latitude: 44.8029386880062, stopType: 'Bus Stop Accessible', gotime: \'8030\', location: \'FALL RIVER PARK AND RIDE &lt;IB&gt;\' }, </v>
      </c>
    </row>
    <row r="784" spans="1:12" x14ac:dyDescent="0.25">
      <c r="A784">
        <v>-63.697254169424099</v>
      </c>
      <c r="B784">
        <v>44.873495896690201</v>
      </c>
      <c r="C784">
        <v>6</v>
      </c>
      <c r="D784" t="s">
        <v>103</v>
      </c>
      <c r="E784" t="s">
        <v>12</v>
      </c>
      <c r="F784" t="s">
        <v>25</v>
      </c>
      <c r="G784" t="s">
        <v>1456</v>
      </c>
      <c r="H784">
        <v>8728</v>
      </c>
      <c r="I784" t="s">
        <v>1612</v>
      </c>
      <c r="J784" t="s">
        <v>1613</v>
      </c>
      <c r="K784" t="s">
        <v>17</v>
      </c>
      <c r="L784" t="str">
        <f t="shared" si="12"/>
        <v xml:space="preserve">{ longitude: -63.6972541694241, latitude: 44.8734958966902, stopType: 'Bus Stop Inaccessible', gotime: \'8728\', location: \'BEAVER BANK RD &lt;AT&gt; CIVIC 2217\' }, </v>
      </c>
    </row>
    <row r="785" spans="1:12" x14ac:dyDescent="0.25">
      <c r="A785">
        <v>-63.858572819182697</v>
      </c>
      <c r="B785">
        <v>44.702466008939702</v>
      </c>
      <c r="C785">
        <v>1268</v>
      </c>
      <c r="D785" t="s">
        <v>769</v>
      </c>
      <c r="F785" t="s">
        <v>13</v>
      </c>
      <c r="G785" t="s">
        <v>1614</v>
      </c>
      <c r="I785" t="s">
        <v>1615</v>
      </c>
      <c r="J785" t="s">
        <v>1616</v>
      </c>
      <c r="K785" t="s">
        <v>17</v>
      </c>
      <c r="L785" t="str">
        <f t="shared" si="12"/>
        <v xml:space="preserve">{ longitude: -63.8585728191827, latitude: 44.7024660089397, stopType: 'Park and Ride', gotime: \'\', location: \'Hubley Centre\' }, </v>
      </c>
    </row>
    <row r="786" spans="1:12" x14ac:dyDescent="0.25">
      <c r="A786">
        <v>-63.699573562848897</v>
      </c>
      <c r="B786">
        <v>44.879635761514201</v>
      </c>
      <c r="C786">
        <v>7</v>
      </c>
      <c r="D786" t="s">
        <v>103</v>
      </c>
      <c r="E786" t="s">
        <v>12</v>
      </c>
      <c r="F786" t="s">
        <v>25</v>
      </c>
      <c r="G786" t="s">
        <v>1456</v>
      </c>
      <c r="H786">
        <v>8729</v>
      </c>
      <c r="I786" t="s">
        <v>1617</v>
      </c>
      <c r="J786" t="s">
        <v>1618</v>
      </c>
      <c r="K786" t="s">
        <v>17</v>
      </c>
      <c r="L786" t="str">
        <f t="shared" si="12"/>
        <v xml:space="preserve">{ longitude: -63.6995735628489, latitude: 44.8796357615142, stopType: 'Bus Stop Inaccessible', gotime: \'8729\', location: \'BEAVER BANK RD &lt;AT&gt; ESSO STATION\' }, </v>
      </c>
    </row>
    <row r="787" spans="1:12" x14ac:dyDescent="0.25">
      <c r="A787">
        <v>-63.7827779726438</v>
      </c>
      <c r="B787">
        <v>44.672763578074402</v>
      </c>
      <c r="C787">
        <v>1269</v>
      </c>
      <c r="D787" t="s">
        <v>22</v>
      </c>
      <c r="E787" t="s">
        <v>12</v>
      </c>
      <c r="F787" t="s">
        <v>13</v>
      </c>
      <c r="G787" t="s">
        <v>1619</v>
      </c>
      <c r="H787">
        <v>7618</v>
      </c>
      <c r="I787" t="s">
        <v>1620</v>
      </c>
      <c r="J787" t="s">
        <v>1621</v>
      </c>
      <c r="K787" t="s">
        <v>1593</v>
      </c>
      <c r="L787" t="str">
        <f t="shared" si="12"/>
        <v xml:space="preserve">{ longitude: -63.7827779726438, latitude: 44.6727635780744, stopType: 'Bus Stop Shelter Accessible', gotime: \'7618\', location: \'SHELDRAKE LAKE &lt;IB&gt;\' }, </v>
      </c>
    </row>
    <row r="788" spans="1:12" x14ac:dyDescent="0.25">
      <c r="A788">
        <v>-63.701521728147497</v>
      </c>
      <c r="B788">
        <v>44.882125742755797</v>
      </c>
      <c r="C788">
        <v>8</v>
      </c>
      <c r="D788" t="s">
        <v>103</v>
      </c>
      <c r="E788" t="s">
        <v>12</v>
      </c>
      <c r="F788" t="s">
        <v>25</v>
      </c>
      <c r="G788" t="s">
        <v>1456</v>
      </c>
      <c r="H788">
        <v>8730</v>
      </c>
      <c r="I788" t="s">
        <v>1622</v>
      </c>
      <c r="J788" t="s">
        <v>1623</v>
      </c>
      <c r="K788" t="s">
        <v>17</v>
      </c>
      <c r="L788" t="str">
        <f t="shared" si="12"/>
        <v xml:space="preserve">{ longitude: -63.7015217281475, latitude: 44.8821257427558, stopType: 'Bus Stop Inaccessible', gotime: \'8730\', location: \'BEAVER BANK RD &lt;AT&gt; CIVIC 2443\' }, </v>
      </c>
    </row>
    <row r="789" spans="1:12" x14ac:dyDescent="0.25">
      <c r="A789">
        <v>-63.782858505249102</v>
      </c>
      <c r="B789">
        <v>44.672672346948197</v>
      </c>
      <c r="C789">
        <v>1270</v>
      </c>
      <c r="D789" t="s">
        <v>22</v>
      </c>
      <c r="E789" t="s">
        <v>12</v>
      </c>
      <c r="F789" t="s">
        <v>13</v>
      </c>
      <c r="G789" t="s">
        <v>1619</v>
      </c>
      <c r="H789">
        <v>7619</v>
      </c>
      <c r="I789" t="s">
        <v>1624</v>
      </c>
      <c r="J789" t="s">
        <v>1625</v>
      </c>
      <c r="K789" t="s">
        <v>1593</v>
      </c>
      <c r="L789" t="str">
        <f t="shared" si="12"/>
        <v xml:space="preserve">{ longitude: -63.7828585052491, latitude: 44.6726723469482, stopType: 'Bus Stop Shelter Accessible', gotime: \'7619\', location: \'SHELDRAKE LAKE &lt;OB&gt;\' }, </v>
      </c>
    </row>
    <row r="790" spans="1:12" x14ac:dyDescent="0.25">
      <c r="A790">
        <v>-63.703965768487301</v>
      </c>
      <c r="B790">
        <v>44.887043104690299</v>
      </c>
      <c r="C790">
        <v>9</v>
      </c>
      <c r="D790" t="s">
        <v>103</v>
      </c>
      <c r="E790" t="s">
        <v>12</v>
      </c>
      <c r="F790" t="s">
        <v>25</v>
      </c>
      <c r="G790" t="s">
        <v>1456</v>
      </c>
      <c r="H790">
        <v>8731</v>
      </c>
      <c r="I790" t="s">
        <v>1626</v>
      </c>
      <c r="J790" t="s">
        <v>1627</v>
      </c>
      <c r="K790" t="s">
        <v>17</v>
      </c>
      <c r="L790" t="str">
        <f t="shared" si="12"/>
        <v xml:space="preserve">{ longitude: -63.7039657684873, latitude: 44.8870431046903, stopType: 'Bus Stop Inaccessible', gotime: \'8731\', location: \'BEAVER BANK RD &lt;FS&gt; GILBY CRES\' }, </v>
      </c>
    </row>
    <row r="791" spans="1:12" x14ac:dyDescent="0.25">
      <c r="A791">
        <v>-63.782679745301301</v>
      </c>
      <c r="B791">
        <v>44.672394364220303</v>
      </c>
      <c r="C791">
        <v>1271</v>
      </c>
      <c r="D791" t="s">
        <v>769</v>
      </c>
      <c r="E791" t="s">
        <v>12</v>
      </c>
      <c r="F791" t="s">
        <v>13</v>
      </c>
      <c r="G791" t="s">
        <v>1619</v>
      </c>
      <c r="I791" t="s">
        <v>1628</v>
      </c>
      <c r="J791" t="s">
        <v>1629</v>
      </c>
      <c r="K791" t="s">
        <v>1593</v>
      </c>
      <c r="L791" t="str">
        <f t="shared" si="12"/>
        <v xml:space="preserve">{ longitude: -63.7826797453013, latitude: 44.6723943642203, stopType: 'Park and Ride', gotime: \'\', location: \'SHELDRAKE LAKE PARK &amp; RIDE\' }, </v>
      </c>
    </row>
    <row r="792" spans="1:12" x14ac:dyDescent="0.25">
      <c r="A792">
        <v>-63.705228583946798</v>
      </c>
      <c r="B792">
        <v>44.8906854531146</v>
      </c>
      <c r="C792">
        <v>10</v>
      </c>
      <c r="D792" t="s">
        <v>103</v>
      </c>
      <c r="E792" t="s">
        <v>12</v>
      </c>
      <c r="F792" t="s">
        <v>25</v>
      </c>
      <c r="G792" t="s">
        <v>1456</v>
      </c>
      <c r="H792">
        <v>8732</v>
      </c>
      <c r="I792" t="s">
        <v>1630</v>
      </c>
      <c r="J792" t="s">
        <v>1631</v>
      </c>
      <c r="K792" t="s">
        <v>17</v>
      </c>
      <c r="L792" t="str">
        <f t="shared" si="12"/>
        <v xml:space="preserve">{ longitude: -63.7052285839468, latitude: 44.8906854531146, stopType: 'Bus Stop Inaccessible', gotime: \'8732\', location: \'BEAVER BANK RD &lt;AT&gt; CIVIC 2661\' }, </v>
      </c>
    </row>
    <row r="793" spans="1:12" x14ac:dyDescent="0.25">
      <c r="A793">
        <v>-63.575236959711198</v>
      </c>
      <c r="B793">
        <v>44.670999466703996</v>
      </c>
      <c r="C793">
        <v>1272</v>
      </c>
      <c r="D793" t="s">
        <v>1573</v>
      </c>
      <c r="E793" t="s">
        <v>12</v>
      </c>
      <c r="F793" t="s">
        <v>13</v>
      </c>
      <c r="G793" t="s">
        <v>1632</v>
      </c>
      <c r="H793">
        <v>7601</v>
      </c>
      <c r="I793" t="s">
        <v>1633</v>
      </c>
      <c r="J793" t="s">
        <v>1634</v>
      </c>
      <c r="K793" t="s">
        <v>17</v>
      </c>
      <c r="L793" t="str">
        <f t="shared" si="12"/>
        <v xml:space="preserve">{ longitude: -63.5752369597112, latitude: 44.670999466704, stopType: 'Bus Terminal Accessible', gotime: \'7601\', location: \'DARTMOUTH TRANSIT TERMINAL BAY 1\' }, </v>
      </c>
    </row>
    <row r="794" spans="1:12" x14ac:dyDescent="0.25">
      <c r="A794">
        <v>-63.707867334331901</v>
      </c>
      <c r="B794">
        <v>44.898061367734002</v>
      </c>
      <c r="C794">
        <v>11</v>
      </c>
      <c r="D794" t="s">
        <v>103</v>
      </c>
      <c r="E794" t="s">
        <v>12</v>
      </c>
      <c r="F794" t="s">
        <v>25</v>
      </c>
      <c r="G794" t="s">
        <v>1456</v>
      </c>
      <c r="H794">
        <v>8733</v>
      </c>
      <c r="I794" t="s">
        <v>1635</v>
      </c>
      <c r="J794" t="s">
        <v>1636</v>
      </c>
      <c r="K794" t="s">
        <v>17</v>
      </c>
      <c r="L794" t="str">
        <f t="shared" si="12"/>
        <v xml:space="preserve">{ longitude: -63.7078673343319, latitude: 44.898061367734, stopType: 'Bus Stop Inaccessible', gotime: \'8733\', location: \'BEAVER BANK RD &lt;OP&gt; CIVIC 2846\' }, </v>
      </c>
    </row>
    <row r="795" spans="1:12" x14ac:dyDescent="0.25">
      <c r="A795">
        <v>-63.575048520044</v>
      </c>
      <c r="B795">
        <v>44.670888405404597</v>
      </c>
      <c r="C795">
        <v>1273</v>
      </c>
      <c r="D795" t="s">
        <v>1573</v>
      </c>
      <c r="E795" t="s">
        <v>12</v>
      </c>
      <c r="F795" t="s">
        <v>13</v>
      </c>
      <c r="G795" t="s">
        <v>1632</v>
      </c>
      <c r="H795">
        <v>7602</v>
      </c>
      <c r="I795" t="s">
        <v>1637</v>
      </c>
      <c r="J795" t="s">
        <v>1638</v>
      </c>
      <c r="K795" t="s">
        <v>17</v>
      </c>
      <c r="L795" t="str">
        <f t="shared" si="12"/>
        <v xml:space="preserve">{ longitude: -63.575048520044, latitude: 44.6708884054046, stopType: 'Bus Terminal Accessible', gotime: \'7602\', location: \'DARTMOUTH TRANSIT TERMINAL BAY 2\' }, </v>
      </c>
    </row>
    <row r="796" spans="1:12" x14ac:dyDescent="0.25">
      <c r="A796">
        <v>-63.709413074815799</v>
      </c>
      <c r="B796">
        <v>44.903823901694402</v>
      </c>
      <c r="C796">
        <v>12</v>
      </c>
      <c r="D796" t="s">
        <v>103</v>
      </c>
      <c r="E796" t="s">
        <v>12</v>
      </c>
      <c r="F796" t="s">
        <v>25</v>
      </c>
      <c r="G796" t="s">
        <v>1456</v>
      </c>
      <c r="H796">
        <v>8734</v>
      </c>
      <c r="I796" t="s">
        <v>1639</v>
      </c>
      <c r="J796" t="s">
        <v>1640</v>
      </c>
      <c r="K796" t="s">
        <v>17</v>
      </c>
      <c r="L796" t="str">
        <f t="shared" si="12"/>
        <v xml:space="preserve">{ longitude: -63.7094130748158, latitude: 44.9038239016944, stopType: 'Bus Stop Inaccessible', gotime: \'8734\', location: \'BEAVER BANK VILLA\' }, </v>
      </c>
    </row>
    <row r="797" spans="1:12" x14ac:dyDescent="0.25">
      <c r="A797">
        <v>-63.574816894556299</v>
      </c>
      <c r="B797">
        <v>44.6707650889715</v>
      </c>
      <c r="C797">
        <v>1274</v>
      </c>
      <c r="D797" t="s">
        <v>1573</v>
      </c>
      <c r="E797" t="s">
        <v>12</v>
      </c>
      <c r="F797" t="s">
        <v>13</v>
      </c>
      <c r="G797" t="s">
        <v>1632</v>
      </c>
      <c r="H797">
        <v>7603</v>
      </c>
      <c r="I797" t="s">
        <v>1641</v>
      </c>
      <c r="J797" t="s">
        <v>1642</v>
      </c>
      <c r="K797" t="s">
        <v>17</v>
      </c>
      <c r="L797" t="str">
        <f t="shared" si="12"/>
        <v xml:space="preserve">{ longitude: -63.5748168945563, latitude: 44.6707650889715, stopType: 'Bus Terminal Accessible', gotime: \'7603\', location: \'DARTMOUTH TRANSIT TERMINAL BAY 3\' }, </v>
      </c>
    </row>
    <row r="798" spans="1:12" x14ac:dyDescent="0.25">
      <c r="A798">
        <v>-63.707874876202403</v>
      </c>
      <c r="B798">
        <v>44.897750984815097</v>
      </c>
      <c r="C798">
        <v>13</v>
      </c>
      <c r="D798" t="s">
        <v>103</v>
      </c>
      <c r="E798" t="s">
        <v>12</v>
      </c>
      <c r="F798" t="s">
        <v>25</v>
      </c>
      <c r="G798" t="s">
        <v>1456</v>
      </c>
      <c r="H798">
        <v>8735</v>
      </c>
      <c r="I798" t="s">
        <v>1643</v>
      </c>
      <c r="J798" t="s">
        <v>1644</v>
      </c>
      <c r="K798" t="s">
        <v>17</v>
      </c>
      <c r="L798" t="str">
        <f t="shared" si="12"/>
        <v xml:space="preserve">{ longitude: -63.7078748762024, latitude: 44.8977509848151, stopType: 'Bus Stop Inaccessible', gotime: \'8735\', location: \'BEAVER BANK RD &lt;AT&gt; CIVIC 2838\' }, </v>
      </c>
    </row>
    <row r="799" spans="1:12" x14ac:dyDescent="0.25">
      <c r="A799">
        <v>-63.538777134493202</v>
      </c>
      <c r="B799">
        <v>44.670346013835903</v>
      </c>
      <c r="C799">
        <v>1275</v>
      </c>
      <c r="D799" t="s">
        <v>22</v>
      </c>
      <c r="E799" t="s">
        <v>12</v>
      </c>
      <c r="F799" t="s">
        <v>13</v>
      </c>
      <c r="G799" t="s">
        <v>19</v>
      </c>
      <c r="H799">
        <v>8637</v>
      </c>
      <c r="I799" t="s">
        <v>1645</v>
      </c>
      <c r="J799" t="s">
        <v>1646</v>
      </c>
      <c r="K799" t="s">
        <v>17</v>
      </c>
      <c r="L799" t="str">
        <f t="shared" si="12"/>
        <v xml:space="preserve">{ longitude: -63.5387771344932, latitude: 44.6703460138359, stopType: 'Bus Stop Shelter Accessible', gotime: \'8637\', location: \'PEHNORN 159 METROLINK [IB]\' }, </v>
      </c>
    </row>
    <row r="800" spans="1:12" x14ac:dyDescent="0.25">
      <c r="A800">
        <v>-63.705655174617299</v>
      </c>
      <c r="B800">
        <v>44.8920542764454</v>
      </c>
      <c r="C800">
        <v>14</v>
      </c>
      <c r="D800" t="s">
        <v>103</v>
      </c>
      <c r="E800" t="s">
        <v>12</v>
      </c>
      <c r="F800" t="s">
        <v>25</v>
      </c>
      <c r="G800" t="s">
        <v>1456</v>
      </c>
      <c r="H800">
        <v>8736</v>
      </c>
      <c r="I800" t="s">
        <v>1647</v>
      </c>
      <c r="J800" t="s">
        <v>1648</v>
      </c>
      <c r="K800" t="s">
        <v>17</v>
      </c>
      <c r="L800" t="str">
        <f t="shared" si="12"/>
        <v xml:space="preserve">{ longitude: -63.7056551746173, latitude: 44.8920542764454, stopType: 'Bus Stop Inaccessible', gotime: \'8736\', location: \'BEAVER BANK RD &lt;OP&gt; CIVIC 2693\' }, </v>
      </c>
    </row>
    <row r="801" spans="1:12" x14ac:dyDescent="0.25">
      <c r="A801">
        <v>-63.589808020756301</v>
      </c>
      <c r="B801">
        <v>44.658556167540397</v>
      </c>
      <c r="C801">
        <v>1276</v>
      </c>
      <c r="D801" t="s">
        <v>103</v>
      </c>
      <c r="E801" t="s">
        <v>12</v>
      </c>
      <c r="F801" t="s">
        <v>13</v>
      </c>
      <c r="G801" t="s">
        <v>65</v>
      </c>
      <c r="H801">
        <v>8638</v>
      </c>
      <c r="I801" t="s">
        <v>1649</v>
      </c>
      <c r="J801" t="s">
        <v>1650</v>
      </c>
      <c r="K801" t="s">
        <v>17</v>
      </c>
      <c r="L801" t="str">
        <f t="shared" si="12"/>
        <v xml:space="preserve">{ longitude: -63.5898080207563, latitude: 44.6585561675404, stopType: 'Bus Stop Inaccessible', gotime: \'8638\', location: \'MACDONALD BRIDGE EXIT RAMP\' }, </v>
      </c>
    </row>
    <row r="802" spans="1:12" x14ac:dyDescent="0.25">
      <c r="A802">
        <v>-63.704049899706902</v>
      </c>
      <c r="B802">
        <v>44.886523719638298</v>
      </c>
      <c r="C802">
        <v>15</v>
      </c>
      <c r="D802" t="s">
        <v>103</v>
      </c>
      <c r="E802" t="s">
        <v>12</v>
      </c>
      <c r="F802" t="s">
        <v>25</v>
      </c>
      <c r="G802" t="s">
        <v>1456</v>
      </c>
      <c r="H802">
        <v>8737</v>
      </c>
      <c r="I802" t="s">
        <v>1651</v>
      </c>
      <c r="J802" t="s">
        <v>1652</v>
      </c>
      <c r="K802" t="s">
        <v>17</v>
      </c>
      <c r="L802" t="str">
        <f t="shared" si="12"/>
        <v xml:space="preserve">{ longitude: -63.7040498997069, latitude: 44.8865237196383, stopType: 'Bus Stop Inaccessible', gotime: \'8737\', location: \'BEAVER BANK RD &lt;OP&gt; GILBY CRES\' }, </v>
      </c>
    </row>
    <row r="803" spans="1:12" x14ac:dyDescent="0.25">
      <c r="A803">
        <v>-63.577483989410801</v>
      </c>
      <c r="B803">
        <v>44.651302469889103</v>
      </c>
      <c r="C803">
        <v>1277</v>
      </c>
      <c r="D803" t="s">
        <v>29</v>
      </c>
      <c r="E803" t="s">
        <v>12</v>
      </c>
      <c r="F803" t="s">
        <v>25</v>
      </c>
      <c r="G803" t="s">
        <v>19</v>
      </c>
      <c r="H803">
        <v>8639</v>
      </c>
      <c r="I803" t="s">
        <v>1653</v>
      </c>
      <c r="J803" t="s">
        <v>1654</v>
      </c>
      <c r="K803" t="s">
        <v>17</v>
      </c>
      <c r="L803" t="str">
        <f t="shared" si="12"/>
        <v xml:space="preserve">{ longitude: -63.5774839894108, latitude: 44.6513024698891, stopType: 'Bus Stop Accessible', gotime: \'8639\', location: \'COGSWELL ST &lt;EB&gt; FS MARKET ST\' }, </v>
      </c>
    </row>
    <row r="804" spans="1:12" x14ac:dyDescent="0.25">
      <c r="A804">
        <v>-63.701486838423101</v>
      </c>
      <c r="B804">
        <v>44.881806673579703</v>
      </c>
      <c r="C804">
        <v>16</v>
      </c>
      <c r="D804" t="s">
        <v>103</v>
      </c>
      <c r="E804" t="s">
        <v>12</v>
      </c>
      <c r="F804" t="s">
        <v>25</v>
      </c>
      <c r="G804" t="s">
        <v>1456</v>
      </c>
      <c r="H804">
        <v>8737</v>
      </c>
      <c r="I804" t="s">
        <v>1655</v>
      </c>
      <c r="J804" t="s">
        <v>1656</v>
      </c>
      <c r="K804" t="s">
        <v>17</v>
      </c>
      <c r="L804" t="str">
        <f t="shared" si="12"/>
        <v xml:space="preserve">{ longitude: -63.7014868384231, latitude: 44.8818066735797, stopType: 'Bus Stop Inaccessible', gotime: \'8737\', location: \'BEAVER BANK RD &lt;AT&gt; CIVIC 2438\' }, </v>
      </c>
    </row>
    <row r="805" spans="1:12" x14ac:dyDescent="0.25">
      <c r="A805">
        <v>-63.6209655337192</v>
      </c>
      <c r="B805">
        <v>44.648153525983297</v>
      </c>
      <c r="C805">
        <v>1278</v>
      </c>
      <c r="D805" t="s">
        <v>22</v>
      </c>
      <c r="E805" t="s">
        <v>12</v>
      </c>
      <c r="F805" t="s">
        <v>25</v>
      </c>
      <c r="G805" t="s">
        <v>19</v>
      </c>
      <c r="H805">
        <v>8643</v>
      </c>
      <c r="I805" t="s">
        <v>1657</v>
      </c>
      <c r="J805" t="s">
        <v>1658</v>
      </c>
      <c r="K805" t="s">
        <v>17</v>
      </c>
      <c r="L805" t="str">
        <f t="shared" si="12"/>
        <v xml:space="preserve">{ longitude: -63.6209655337192, latitude: 44.6481535259833, stopType: 'Bus Stop Shelter Accessible', gotime: \'8643\', location: \'MUMFORD TERMINAL - Outbound  (IN TERMINAL)\' }, </v>
      </c>
    </row>
    <row r="806" spans="1:12" x14ac:dyDescent="0.25">
      <c r="A806">
        <v>-63.699812779019297</v>
      </c>
      <c r="B806">
        <v>44.879596009704898</v>
      </c>
      <c r="C806">
        <v>17</v>
      </c>
      <c r="D806" t="s">
        <v>103</v>
      </c>
      <c r="E806" t="s">
        <v>12</v>
      </c>
      <c r="F806" t="s">
        <v>25</v>
      </c>
      <c r="G806" t="s">
        <v>1456</v>
      </c>
      <c r="H806">
        <v>8739</v>
      </c>
      <c r="I806" t="s">
        <v>1659</v>
      </c>
      <c r="J806" t="s">
        <v>1660</v>
      </c>
      <c r="K806" t="s">
        <v>17</v>
      </c>
      <c r="L806" t="str">
        <f t="shared" si="12"/>
        <v xml:space="preserve">{ longitude: -63.6998127790193, latitude: 44.8795960097049, stopType: 'Bus Stop Inaccessible', gotime: \'8739\', location: \'BEAVER BANK RD &lt;OP&gt; ESSO STATION\' }, </v>
      </c>
    </row>
    <row r="807" spans="1:12" x14ac:dyDescent="0.25">
      <c r="A807">
        <v>-63.663165379419802</v>
      </c>
      <c r="B807">
        <v>44.754627740149601</v>
      </c>
      <c r="C807">
        <v>1279</v>
      </c>
      <c r="D807" t="s">
        <v>769</v>
      </c>
      <c r="E807" t="s">
        <v>741</v>
      </c>
      <c r="F807" t="s">
        <v>13</v>
      </c>
      <c r="G807" t="s">
        <v>770</v>
      </c>
      <c r="H807" t="s">
        <v>742</v>
      </c>
      <c r="I807" t="s">
        <v>1661</v>
      </c>
      <c r="J807" t="s">
        <v>1662</v>
      </c>
      <c r="K807" t="s">
        <v>17</v>
      </c>
      <c r="L807" t="str">
        <f t="shared" si="12"/>
        <v xml:space="preserve">{ longitude: -63.6631653794198, latitude: 44.7546277401496, stopType: 'Park and Ride', gotime: \' \', location: \'COBEQUID TERMINAL\' }, </v>
      </c>
    </row>
    <row r="808" spans="1:12" x14ac:dyDescent="0.25">
      <c r="A808">
        <v>-63.697591622897399</v>
      </c>
      <c r="B808">
        <v>44.8736276729651</v>
      </c>
      <c r="C808">
        <v>18</v>
      </c>
      <c r="D808" t="s">
        <v>103</v>
      </c>
      <c r="E808" t="s">
        <v>12</v>
      </c>
      <c r="F808" t="s">
        <v>25</v>
      </c>
      <c r="G808" t="s">
        <v>1456</v>
      </c>
      <c r="H808">
        <v>8740</v>
      </c>
      <c r="I808" t="s">
        <v>1663</v>
      </c>
      <c r="J808" t="s">
        <v>1664</v>
      </c>
      <c r="K808" t="s">
        <v>17</v>
      </c>
      <c r="L808" t="str">
        <f t="shared" si="12"/>
        <v xml:space="preserve">{ longitude: -63.6975916228974, latitude: 44.8736276729651, stopType: 'Bus Stop Inaccessible', gotime: \'8740\', location: \'BEAVER BANK RD &lt;AT&gt; CIVIC 2224\' }, </v>
      </c>
    </row>
    <row r="809" spans="1:12" x14ac:dyDescent="0.25">
      <c r="A809">
        <v>-63.546981382564802</v>
      </c>
      <c r="B809">
        <v>44.649376778221303</v>
      </c>
      <c r="C809">
        <v>1280</v>
      </c>
      <c r="D809" t="s">
        <v>769</v>
      </c>
      <c r="E809" t="s">
        <v>741</v>
      </c>
      <c r="F809" t="s">
        <v>13</v>
      </c>
      <c r="G809" t="s">
        <v>770</v>
      </c>
      <c r="H809" t="s">
        <v>742</v>
      </c>
      <c r="I809" t="s">
        <v>1665</v>
      </c>
      <c r="J809" t="s">
        <v>1666</v>
      </c>
      <c r="K809" t="s">
        <v>17</v>
      </c>
      <c r="L809" t="str">
        <f t="shared" si="12"/>
        <v xml:space="preserve">{ longitude: -63.5469813825648, latitude: 44.6493767782213, stopType: 'Park and Ride', gotime: \' \', location: \'WOODSIDE FERRY TERMINAL\' }, </v>
      </c>
    </row>
    <row r="810" spans="1:12" x14ac:dyDescent="0.25">
      <c r="A810">
        <v>-63.694516100797998</v>
      </c>
      <c r="B810">
        <v>44.8698914998444</v>
      </c>
      <c r="C810">
        <v>19</v>
      </c>
      <c r="D810" t="s">
        <v>103</v>
      </c>
      <c r="E810" t="s">
        <v>12</v>
      </c>
      <c r="F810" t="s">
        <v>25</v>
      </c>
      <c r="G810" t="s">
        <v>1456</v>
      </c>
      <c r="H810">
        <v>8741</v>
      </c>
      <c r="I810" t="s">
        <v>1667</v>
      </c>
      <c r="J810" t="s">
        <v>1668</v>
      </c>
      <c r="K810" t="s">
        <v>17</v>
      </c>
      <c r="L810" t="str">
        <f t="shared" si="12"/>
        <v xml:space="preserve">{ longitude: -63.694516100798, latitude: 44.8698914998444, stopType: 'Bus Stop Inaccessible', gotime: \'8741\', location: \'BEAVER BANK RD &lt;AT&gt; CIVIC 2120\' }, </v>
      </c>
    </row>
    <row r="811" spans="1:12" x14ac:dyDescent="0.25">
      <c r="A811">
        <v>-63.622372791236401</v>
      </c>
      <c r="B811">
        <v>44.647899576004001</v>
      </c>
      <c r="C811">
        <v>1281</v>
      </c>
      <c r="D811" t="s">
        <v>769</v>
      </c>
      <c r="E811" t="s">
        <v>741</v>
      </c>
      <c r="F811" t="s">
        <v>13</v>
      </c>
      <c r="G811" t="s">
        <v>770</v>
      </c>
      <c r="H811" t="s">
        <v>742</v>
      </c>
      <c r="I811" t="s">
        <v>1669</v>
      </c>
      <c r="J811" t="s">
        <v>1670</v>
      </c>
      <c r="K811" t="s">
        <v>17</v>
      </c>
      <c r="L811" t="str">
        <f t="shared" si="12"/>
        <v xml:space="preserve">{ longitude: -63.6223727912364, latitude: 44.647899576004, stopType: 'Park and Ride', gotime: \' \', location: \'SEARS - WEST END MALL\' }, </v>
      </c>
    </row>
    <row r="812" spans="1:12" x14ac:dyDescent="0.25">
      <c r="A812">
        <v>-63.693025805073297</v>
      </c>
      <c r="B812">
        <v>44.868547119493499</v>
      </c>
      <c r="C812">
        <v>20</v>
      </c>
      <c r="D812" t="s">
        <v>103</v>
      </c>
      <c r="E812" t="s">
        <v>12</v>
      </c>
      <c r="F812" t="s">
        <v>25</v>
      </c>
      <c r="G812" t="s">
        <v>1456</v>
      </c>
      <c r="H812">
        <v>8742</v>
      </c>
      <c r="I812" t="s">
        <v>1671</v>
      </c>
      <c r="J812" s="1" t="s">
        <v>1672</v>
      </c>
      <c r="K812" t="s">
        <v>17</v>
      </c>
      <c r="L812" t="str">
        <f t="shared" si="12"/>
        <v xml:space="preserve">{ longitude: -63.6930258050733, latitude: 44.8685471194935, stopType: 'Bus Stop Inaccessible', gotime: \'8742\', location: \'BEAVER BANK RD &lt;AT&gt; CIVIC 2072\' }, </v>
      </c>
    </row>
    <row r="813" spans="1:12" x14ac:dyDescent="0.25">
      <c r="A813">
        <v>-63.5701032585931</v>
      </c>
      <c r="B813">
        <v>44.664980194072903</v>
      </c>
      <c r="C813">
        <v>1282</v>
      </c>
      <c r="D813" t="s">
        <v>769</v>
      </c>
      <c r="E813" t="s">
        <v>741</v>
      </c>
      <c r="F813" t="s">
        <v>13</v>
      </c>
      <c r="G813" t="s">
        <v>1673</v>
      </c>
      <c r="H813" t="s">
        <v>742</v>
      </c>
      <c r="I813" t="s">
        <v>1674</v>
      </c>
      <c r="J813" t="s">
        <v>1675</v>
      </c>
      <c r="K813" t="s">
        <v>17</v>
      </c>
      <c r="L813" t="str">
        <f t="shared" si="12"/>
        <v xml:space="preserve">{ longitude: -63.5701032585931, latitude: 44.6649801940729, stopType: 'Park and Ride', gotime: \' \', location: \'DARTMOUTH EVENTS PLAZA\' }, </v>
      </c>
    </row>
    <row r="814" spans="1:12" x14ac:dyDescent="0.25">
      <c r="A814">
        <v>-63.686241392241897</v>
      </c>
      <c r="B814">
        <v>44.858136401642298</v>
      </c>
      <c r="C814">
        <v>21</v>
      </c>
      <c r="D814" t="s">
        <v>103</v>
      </c>
      <c r="E814" t="s">
        <v>12</v>
      </c>
      <c r="F814" t="s">
        <v>25</v>
      </c>
      <c r="G814" t="s">
        <v>1456</v>
      </c>
      <c r="H814">
        <v>8743</v>
      </c>
      <c r="I814" t="s">
        <v>1676</v>
      </c>
      <c r="J814" t="s">
        <v>1677</v>
      </c>
      <c r="K814" t="s">
        <v>17</v>
      </c>
      <c r="L814" t="str">
        <f t="shared" si="12"/>
        <v xml:space="preserve">{ longitude: -63.6862413922419, latitude: 44.8581364016423, stopType: 'Bus Stop Inaccessible', gotime: \'8743\', location: \'BEAVER BANK RD &lt;AT&gt; 1796\' }, </v>
      </c>
    </row>
    <row r="815" spans="1:12" x14ac:dyDescent="0.25">
      <c r="A815">
        <v>-63.619565323801503</v>
      </c>
      <c r="B815">
        <v>44.613763422703599</v>
      </c>
      <c r="C815">
        <v>1283</v>
      </c>
      <c r="D815" t="s">
        <v>769</v>
      </c>
      <c r="E815" t="s">
        <v>741</v>
      </c>
      <c r="F815" t="s">
        <v>13</v>
      </c>
      <c r="G815" t="s">
        <v>1673</v>
      </c>
      <c r="H815" t="s">
        <v>742</v>
      </c>
      <c r="I815" t="s">
        <v>1678</v>
      </c>
      <c r="J815" t="s">
        <v>1679</v>
      </c>
      <c r="K815" t="s">
        <v>17</v>
      </c>
      <c r="L815" t="str">
        <f t="shared" si="12"/>
        <v xml:space="preserve">{ longitude: -63.6195653238015, latitude: 44.6137634227036, stopType: 'Park and Ride', gotime: \' \', location: \'SOUTH CENTRE MALL - DENTITH\' }, </v>
      </c>
    </row>
    <row r="816" spans="1:12" x14ac:dyDescent="0.25">
      <c r="A816">
        <v>-63.685237338536801</v>
      </c>
      <c r="B816">
        <v>44.855743371755501</v>
      </c>
      <c r="C816">
        <v>22</v>
      </c>
      <c r="D816" t="s">
        <v>103</v>
      </c>
      <c r="E816" t="s">
        <v>12</v>
      </c>
      <c r="F816" t="s">
        <v>25</v>
      </c>
      <c r="G816" t="s">
        <v>1456</v>
      </c>
      <c r="H816">
        <v>8744</v>
      </c>
      <c r="I816" t="s">
        <v>1680</v>
      </c>
      <c r="J816" t="s">
        <v>1681</v>
      </c>
      <c r="K816" t="s">
        <v>17</v>
      </c>
      <c r="L816" t="str">
        <f t="shared" si="12"/>
        <v xml:space="preserve">{ longitude: -63.6852373385368, latitude: 44.8557433717555, stopType: 'Bus Stop Inaccessible', gotime: \'8744\', location: \'BEAVER BANK RD &lt;AT&gt; CIVIC 1736\' }, </v>
      </c>
    </row>
    <row r="817" spans="1:12" x14ac:dyDescent="0.25">
      <c r="A817">
        <v>-63.627400159487998</v>
      </c>
      <c r="B817">
        <v>44.6560020699213</v>
      </c>
      <c r="C817">
        <v>1284</v>
      </c>
      <c r="D817" t="s">
        <v>769</v>
      </c>
      <c r="E817" t="s">
        <v>741</v>
      </c>
      <c r="F817" t="s">
        <v>13</v>
      </c>
      <c r="G817" t="s">
        <v>1673</v>
      </c>
      <c r="H817" t="s">
        <v>742</v>
      </c>
      <c r="I817" t="s">
        <v>1682</v>
      </c>
      <c r="J817" t="s">
        <v>1683</v>
      </c>
      <c r="K817" t="s">
        <v>17</v>
      </c>
      <c r="L817" t="str">
        <f t="shared" si="12"/>
        <v xml:space="preserve">{ longitude: -63.627400159488, latitude: 44.6560020699213, stopType: 'Park and Ride', gotime: \' \', location: \'BAYERS RD SHOPPING CTR\' }, </v>
      </c>
    </row>
    <row r="818" spans="1:12" x14ac:dyDescent="0.25">
      <c r="A818">
        <v>-63.685535362483897</v>
      </c>
      <c r="B818">
        <v>44.848889395218102</v>
      </c>
      <c r="C818">
        <v>23</v>
      </c>
      <c r="D818" t="s">
        <v>103</v>
      </c>
      <c r="E818" t="s">
        <v>12</v>
      </c>
      <c r="F818" t="s">
        <v>25</v>
      </c>
      <c r="G818" t="s">
        <v>1456</v>
      </c>
      <c r="H818">
        <v>8745</v>
      </c>
      <c r="I818" t="s">
        <v>1684</v>
      </c>
      <c r="J818" t="s">
        <v>1685</v>
      </c>
      <c r="K818" t="s">
        <v>17</v>
      </c>
      <c r="L818" t="str">
        <f t="shared" si="12"/>
        <v xml:space="preserve">{ longitude: -63.6855353624839, latitude: 44.8488893952181, stopType: 'Bus Stop Inaccessible', gotime: \'8745\', location: \'BEAVER BANK RD &lt;OP&gt; KINSAC RD\' }, </v>
      </c>
    </row>
    <row r="819" spans="1:12" x14ac:dyDescent="0.25">
      <c r="A819">
        <v>-63.634559067892098</v>
      </c>
      <c r="B819">
        <v>44.662123100485701</v>
      </c>
      <c r="C819">
        <v>1285</v>
      </c>
      <c r="D819" t="s">
        <v>769</v>
      </c>
      <c r="E819" t="s">
        <v>741</v>
      </c>
      <c r="F819" t="s">
        <v>13</v>
      </c>
      <c r="G819" t="s">
        <v>1673</v>
      </c>
      <c r="H819" t="s">
        <v>742</v>
      </c>
      <c r="I819" t="s">
        <v>1686</v>
      </c>
      <c r="J819" t="s">
        <v>1687</v>
      </c>
      <c r="K819" t="s">
        <v>17</v>
      </c>
      <c r="L819" t="str">
        <f t="shared" si="12"/>
        <v xml:space="preserve">{ longitude: -63.6345590678921, latitude: 44.6621231004857, stopType: 'Park and Ride', gotime: \' \', location: \'CENTENNIAL ARENA\' }, </v>
      </c>
    </row>
    <row r="820" spans="1:12" x14ac:dyDescent="0.25">
      <c r="A820">
        <v>-63.684900461042702</v>
      </c>
      <c r="B820">
        <v>44.844541714944498</v>
      </c>
      <c r="C820">
        <v>24</v>
      </c>
      <c r="D820" t="s">
        <v>103</v>
      </c>
      <c r="E820" t="s">
        <v>12</v>
      </c>
      <c r="F820" t="s">
        <v>25</v>
      </c>
      <c r="G820" t="s">
        <v>1456</v>
      </c>
      <c r="H820">
        <v>8746</v>
      </c>
      <c r="I820" t="s">
        <v>1688</v>
      </c>
      <c r="J820" t="s">
        <v>1689</v>
      </c>
      <c r="K820" t="s">
        <v>17</v>
      </c>
      <c r="L820" t="str">
        <f t="shared" si="12"/>
        <v xml:space="preserve">{ longitude: -63.6849004610427, latitude: 44.8445417149445, stopType: 'Bus Stop Inaccessible', gotime: \'8746\', location: \'BEAVER BANK RD &lt;NS&gt; ROSLEY RD\' }, </v>
      </c>
    </row>
    <row r="821" spans="1:12" x14ac:dyDescent="0.25">
      <c r="A821">
        <v>-63.5064508262804</v>
      </c>
      <c r="B821">
        <v>44.670484682212297</v>
      </c>
      <c r="C821">
        <v>1286</v>
      </c>
      <c r="D821" t="s">
        <v>740</v>
      </c>
      <c r="E821" t="s">
        <v>741</v>
      </c>
      <c r="F821" t="s">
        <v>13</v>
      </c>
      <c r="G821" t="s">
        <v>1690</v>
      </c>
      <c r="H821" t="s">
        <v>742</v>
      </c>
      <c r="I821" t="s">
        <v>1691</v>
      </c>
      <c r="J821" t="s">
        <v>1692</v>
      </c>
      <c r="K821" t="s">
        <v>17</v>
      </c>
      <c r="L821" t="str">
        <f t="shared" si="12"/>
        <v xml:space="preserve">{ longitude: -63.5064508262804, latitude: 44.6704846822123, stopType: 'Bus Terminal Non-Standard', gotime: \' \', location: \'PORTLAND HILLS TERMINAL\' }, </v>
      </c>
    </row>
    <row r="822" spans="1:12" x14ac:dyDescent="0.25">
      <c r="A822">
        <v>-63.676620544742299</v>
      </c>
      <c r="B822">
        <v>44.764268270825298</v>
      </c>
      <c r="C822">
        <v>25</v>
      </c>
      <c r="D822" t="s">
        <v>29</v>
      </c>
      <c r="E822" t="s">
        <v>12</v>
      </c>
      <c r="F822" t="s">
        <v>25</v>
      </c>
      <c r="G822" t="s">
        <v>26</v>
      </c>
      <c r="H822">
        <v>7327</v>
      </c>
      <c r="I822" t="s">
        <v>1693</v>
      </c>
      <c r="J822" t="s">
        <v>1694</v>
      </c>
      <c r="K822" t="s">
        <v>17</v>
      </c>
      <c r="L822" t="str">
        <f t="shared" si="12"/>
        <v xml:space="preserve">{ longitude: -63.6766205447423, latitude: 44.7642682708253, stopType: 'Bus Stop Accessible', gotime: \'7327\', location: \'SACKVILLE DR NS PINEHILL DR\' }, </v>
      </c>
    </row>
    <row r="823" spans="1:12" x14ac:dyDescent="0.25">
      <c r="A823">
        <v>-63.506757298402199</v>
      </c>
      <c r="B823">
        <v>44.670351722197402</v>
      </c>
      <c r="C823">
        <v>1287</v>
      </c>
      <c r="D823" t="s">
        <v>769</v>
      </c>
      <c r="E823" t="s">
        <v>741</v>
      </c>
      <c r="F823" t="s">
        <v>13</v>
      </c>
      <c r="G823" t="s">
        <v>1690</v>
      </c>
      <c r="H823" t="s">
        <v>742</v>
      </c>
      <c r="I823" t="s">
        <v>1691</v>
      </c>
      <c r="J823" t="s">
        <v>1695</v>
      </c>
      <c r="K823" t="s">
        <v>17</v>
      </c>
      <c r="L823" t="str">
        <f t="shared" si="12"/>
        <v xml:space="preserve">{ longitude: -63.5067572984022, latitude: 44.6703517221974, stopType: 'Park and Ride', gotime: \' \', location: \'PORTLAND HILLS TERMINAL\' }, </v>
      </c>
    </row>
    <row r="824" spans="1:12" x14ac:dyDescent="0.25">
      <c r="A824">
        <v>-63.6770742419979</v>
      </c>
      <c r="B824">
        <v>44.764343537827997</v>
      </c>
      <c r="C824">
        <v>26</v>
      </c>
      <c r="D824" t="s">
        <v>18</v>
      </c>
      <c r="E824" t="s">
        <v>12</v>
      </c>
      <c r="F824" t="s">
        <v>25</v>
      </c>
      <c r="G824" t="s">
        <v>19</v>
      </c>
      <c r="H824">
        <v>7328</v>
      </c>
      <c r="I824" t="s">
        <v>1696</v>
      </c>
      <c r="J824" t="s">
        <v>1697</v>
      </c>
      <c r="K824" t="s">
        <v>17</v>
      </c>
      <c r="L824" t="str">
        <f t="shared" si="12"/>
        <v xml:space="preserve">{ longitude: -63.6770742419979, latitude: 44.764343537828, stopType: 'Bus Stop Shelter Non-Standard', gotime: \'7328\', location: \'SACKVILLE DR OPP PINEHILL DR\' }, </v>
      </c>
    </row>
    <row r="825" spans="1:12" x14ac:dyDescent="0.25">
      <c r="A825">
        <v>-63.6993205502297</v>
      </c>
      <c r="B825">
        <v>44.767753230465402</v>
      </c>
      <c r="C825">
        <v>1288</v>
      </c>
      <c r="D825" t="s">
        <v>740</v>
      </c>
      <c r="E825" t="s">
        <v>741</v>
      </c>
      <c r="F825" t="s">
        <v>13</v>
      </c>
      <c r="G825" t="s">
        <v>1698</v>
      </c>
      <c r="H825" t="s">
        <v>742</v>
      </c>
      <c r="I825" t="s">
        <v>1699</v>
      </c>
      <c r="J825" t="s">
        <v>1700</v>
      </c>
      <c r="K825" t="s">
        <v>17</v>
      </c>
      <c r="L825" t="str">
        <f t="shared" si="12"/>
        <v xml:space="preserve">{ longitude: -63.6993205502297, latitude: 44.7677532304654, stopType: 'Bus Terminal Non-Standard', gotime: \' \', location: \'SACKVILLE TRANSIT TERMINAL\' }, </v>
      </c>
    </row>
    <row r="826" spans="1:12" x14ac:dyDescent="0.25">
      <c r="A826">
        <v>-63.689237154400502</v>
      </c>
      <c r="B826">
        <v>44.769911285933198</v>
      </c>
      <c r="C826">
        <v>27</v>
      </c>
      <c r="D826" t="s">
        <v>29</v>
      </c>
      <c r="E826" t="s">
        <v>12</v>
      </c>
      <c r="F826" t="s">
        <v>25</v>
      </c>
      <c r="G826" t="s">
        <v>19</v>
      </c>
      <c r="H826">
        <v>7329</v>
      </c>
      <c r="I826" t="s">
        <v>1701</v>
      </c>
      <c r="J826" t="s">
        <v>1702</v>
      </c>
      <c r="K826" t="s">
        <v>17</v>
      </c>
      <c r="L826" t="str">
        <f t="shared" si="12"/>
        <v xml:space="preserve">{ longitude: -63.6892371544005, latitude: 44.7699112859332, stopType: 'Bus Stop Accessible', gotime: \'7329\', location: \'SACKVILLE DR NS RIVERSIDE DR\' }, </v>
      </c>
    </row>
    <row r="827" spans="1:12" x14ac:dyDescent="0.25">
      <c r="A827">
        <v>-63.698784713159398</v>
      </c>
      <c r="B827">
        <v>44.768178302695397</v>
      </c>
      <c r="C827">
        <v>1289</v>
      </c>
      <c r="D827" t="s">
        <v>769</v>
      </c>
      <c r="E827" t="s">
        <v>741</v>
      </c>
      <c r="F827" t="s">
        <v>13</v>
      </c>
      <c r="G827" t="s">
        <v>1698</v>
      </c>
      <c r="H827" t="s">
        <v>742</v>
      </c>
      <c r="I827" t="s">
        <v>742</v>
      </c>
      <c r="J827" t="s">
        <v>1703</v>
      </c>
      <c r="K827" t="s">
        <v>17</v>
      </c>
      <c r="L827" t="str">
        <f t="shared" si="12"/>
        <v xml:space="preserve">{ longitude: -63.6987847131594, latitude: 44.7681783026954, stopType: 'Park and Ride', gotime: \' \', location: \' \' }, </v>
      </c>
    </row>
    <row r="828" spans="1:12" x14ac:dyDescent="0.25">
      <c r="A828">
        <v>-63.260854981127203</v>
      </c>
      <c r="B828">
        <v>44.668840077524102</v>
      </c>
      <c r="C828">
        <v>28</v>
      </c>
      <c r="D828" t="s">
        <v>103</v>
      </c>
      <c r="E828" t="s">
        <v>12</v>
      </c>
      <c r="F828" t="s">
        <v>25</v>
      </c>
      <c r="G828" t="s">
        <v>1456</v>
      </c>
      <c r="H828">
        <v>8896</v>
      </c>
      <c r="I828" t="s">
        <v>1704</v>
      </c>
      <c r="J828" t="s">
        <v>1705</v>
      </c>
      <c r="K828" t="s">
        <v>17</v>
      </c>
      <c r="L828" t="str">
        <f t="shared" si="12"/>
        <v xml:space="preserve">{ longitude: -63.2608549811272, latitude: 44.6688400775241, stopType: 'Bus Stop Inaccessible', gotime: \'8896\', location: \'SEAFORTH BACK RD &lt;OP&gt; CIVIC 78\' }, </v>
      </c>
    </row>
    <row r="829" spans="1:12" x14ac:dyDescent="0.25">
      <c r="A829">
        <v>-63.572096567041299</v>
      </c>
      <c r="B829">
        <v>44.687113775281802</v>
      </c>
      <c r="C829">
        <v>1290</v>
      </c>
      <c r="D829" t="s">
        <v>11</v>
      </c>
      <c r="E829" t="s">
        <v>12</v>
      </c>
      <c r="F829" t="s">
        <v>25</v>
      </c>
      <c r="G829" t="s">
        <v>26</v>
      </c>
      <c r="H829">
        <v>8265</v>
      </c>
      <c r="I829" t="s">
        <v>1706</v>
      </c>
      <c r="J829" t="s">
        <v>1707</v>
      </c>
      <c r="K829" t="s">
        <v>17</v>
      </c>
      <c r="L829" t="str">
        <f t="shared" si="12"/>
        <v xml:space="preserve">{ longitude: -63.5720965670413, latitude: 44.6871137752818, stopType: 'Bus Stop Non-Standard', gotime: \'8265\', location: \'SEA KING DR NS LANCASTER DR\' }, </v>
      </c>
    </row>
    <row r="830" spans="1:12" x14ac:dyDescent="0.25">
      <c r="A830">
        <v>-63.257990644225103</v>
      </c>
      <c r="B830">
        <v>44.665988620659903</v>
      </c>
      <c r="C830">
        <v>29</v>
      </c>
      <c r="D830" t="s">
        <v>103</v>
      </c>
      <c r="E830" t="s">
        <v>12</v>
      </c>
      <c r="F830" t="s">
        <v>25</v>
      </c>
      <c r="G830" t="s">
        <v>1456</v>
      </c>
      <c r="H830">
        <v>8897</v>
      </c>
      <c r="I830" t="s">
        <v>1708</v>
      </c>
      <c r="J830" t="s">
        <v>1709</v>
      </c>
      <c r="K830" t="s">
        <v>17</v>
      </c>
      <c r="L830" t="str">
        <f t="shared" si="12"/>
        <v xml:space="preserve">{ longitude: -63.2579906442251, latitude: 44.6659886206599, stopType: 'Bus Stop Inaccessible', gotime: \'8897\', location: \'SEAFORTH BACK RD &lt;NS&gt; HWY 207\' }, </v>
      </c>
    </row>
    <row r="831" spans="1:12" x14ac:dyDescent="0.25">
      <c r="A831">
        <v>-63.576190189809999</v>
      </c>
      <c r="B831">
        <v>44.6859320029033</v>
      </c>
      <c r="C831">
        <v>1291</v>
      </c>
      <c r="D831" t="s">
        <v>29</v>
      </c>
      <c r="E831" t="s">
        <v>12</v>
      </c>
      <c r="F831" t="s">
        <v>25</v>
      </c>
      <c r="G831" t="s">
        <v>19</v>
      </c>
      <c r="H831">
        <v>8266</v>
      </c>
      <c r="I831" t="s">
        <v>1710</v>
      </c>
      <c r="J831" t="s">
        <v>1711</v>
      </c>
      <c r="K831" t="s">
        <v>17</v>
      </c>
      <c r="L831" t="str">
        <f t="shared" si="12"/>
        <v xml:space="preserve">{ longitude: -63.57619018981, latitude: 44.6859320029033, stopType: 'Bus Stop Accessible', gotime: \'8266\', location: \'SEA KING DR OPP CIVIC 8\' }, </v>
      </c>
    </row>
    <row r="832" spans="1:12" x14ac:dyDescent="0.25">
      <c r="A832">
        <v>-63.2559001270496</v>
      </c>
      <c r="B832">
        <v>44.6694107148085</v>
      </c>
      <c r="C832">
        <v>30</v>
      </c>
      <c r="D832" t="s">
        <v>103</v>
      </c>
      <c r="E832" t="s">
        <v>12</v>
      </c>
      <c r="F832" t="s">
        <v>25</v>
      </c>
      <c r="G832" t="s">
        <v>1456</v>
      </c>
      <c r="H832">
        <v>8898</v>
      </c>
      <c r="I832" t="s">
        <v>1712</v>
      </c>
      <c r="J832" t="s">
        <v>1713</v>
      </c>
      <c r="K832" t="s">
        <v>17</v>
      </c>
      <c r="L832" t="str">
        <f t="shared" si="12"/>
        <v xml:space="preserve">{ longitude: -63.2559001270496, latitude: 44.6694107148085, stopType: 'Bus Stop Inaccessible', gotime: \'8898\', location: \'HWY 207 &lt;AT&gt; SEAFORTH HALL\' }, </v>
      </c>
    </row>
    <row r="833" spans="1:12" x14ac:dyDescent="0.25">
      <c r="A833">
        <v>-63.566034734803701</v>
      </c>
      <c r="B833">
        <v>44.696928033201303</v>
      </c>
      <c r="C833">
        <v>1292</v>
      </c>
      <c r="D833" t="s">
        <v>29</v>
      </c>
      <c r="E833" t="s">
        <v>12</v>
      </c>
      <c r="F833" t="s">
        <v>25</v>
      </c>
      <c r="G833" t="s">
        <v>19</v>
      </c>
      <c r="H833">
        <v>8657</v>
      </c>
      <c r="I833" t="s">
        <v>1714</v>
      </c>
      <c r="J833" t="s">
        <v>1715</v>
      </c>
      <c r="K833" t="s">
        <v>17</v>
      </c>
      <c r="L833" t="str">
        <f t="shared" si="12"/>
        <v xml:space="preserve">{ longitude: -63.5660347348037, latitude: 44.6969280332013, stopType: 'Bus Stop Accessible', gotime: \'8657\', location: \'FINNIAN ROW OPP HOME DEPOT\' }, </v>
      </c>
    </row>
    <row r="834" spans="1:12" x14ac:dyDescent="0.25">
      <c r="A834">
        <v>-63.256866667467897</v>
      </c>
      <c r="B834">
        <v>44.673633332707901</v>
      </c>
      <c r="C834">
        <v>31</v>
      </c>
      <c r="D834" t="s">
        <v>103</v>
      </c>
      <c r="E834" t="s">
        <v>12</v>
      </c>
      <c r="F834" t="s">
        <v>25</v>
      </c>
      <c r="G834" t="s">
        <v>1456</v>
      </c>
      <c r="H834">
        <v>8899</v>
      </c>
      <c r="I834" t="s">
        <v>1716</v>
      </c>
      <c r="J834" t="s">
        <v>1717</v>
      </c>
      <c r="K834" t="s">
        <v>17</v>
      </c>
      <c r="L834" t="str">
        <f t="shared" si="12"/>
        <v xml:space="preserve">{ longitude: -63.2568666674679, latitude: 44.6736333327079, stopType: 'Bus Stop Inaccessible', gotime: \'8899\', location: \'HWY 207 &lt;AT&gt; COUNTRY STORE\' }, </v>
      </c>
    </row>
    <row r="835" spans="1:12" x14ac:dyDescent="0.25">
      <c r="A835">
        <v>-63.567515205364501</v>
      </c>
      <c r="B835">
        <v>44.699811033211603</v>
      </c>
      <c r="C835">
        <v>1293</v>
      </c>
      <c r="D835" t="s">
        <v>29</v>
      </c>
      <c r="E835" t="s">
        <v>12</v>
      </c>
      <c r="F835" t="s">
        <v>25</v>
      </c>
      <c r="G835" t="s">
        <v>19</v>
      </c>
      <c r="H835">
        <v>8658</v>
      </c>
      <c r="I835" t="s">
        <v>1718</v>
      </c>
      <c r="J835" t="s">
        <v>1719</v>
      </c>
      <c r="K835" t="s">
        <v>17</v>
      </c>
      <c r="L835" t="str">
        <f t="shared" ref="L835:L898" si="13">CONCATENATE( "{ longitude: ", A835, ", latitude: ", B835, ", stopType: '", D835, "', gotime: \'", H835, "\', location: \'", I835, "\' }, ")</f>
        <v xml:space="preserve">{ longitude: -63.5675152053645, latitude: 44.6998110332116, stopType: 'Bus Stop Accessible', gotime: \'8658\', location: \'LAMONT TERR OPP WALMART\' }, </v>
      </c>
    </row>
    <row r="836" spans="1:12" x14ac:dyDescent="0.25">
      <c r="A836">
        <v>-63.258020211296</v>
      </c>
      <c r="B836">
        <v>44.686414950939898</v>
      </c>
      <c r="C836">
        <v>32</v>
      </c>
      <c r="D836" t="s">
        <v>103</v>
      </c>
      <c r="E836" t="s">
        <v>12</v>
      </c>
      <c r="F836" t="s">
        <v>25</v>
      </c>
      <c r="G836" t="s">
        <v>1456</v>
      </c>
      <c r="H836">
        <v>8900</v>
      </c>
      <c r="I836" t="s">
        <v>1720</v>
      </c>
      <c r="J836" t="s">
        <v>1721</v>
      </c>
      <c r="K836" t="s">
        <v>17</v>
      </c>
      <c r="L836" t="str">
        <f t="shared" si="13"/>
        <v xml:space="preserve">{ longitude: -63.258020211296, latitude: 44.6864149509399, stopType: 'Bus Stop Inaccessible', gotime: \'8900\', location: \'HWY 207 &lt;OP&gt; CIVIC 6459\' }, </v>
      </c>
    </row>
    <row r="837" spans="1:12" x14ac:dyDescent="0.25">
      <c r="A837">
        <v>-63.584174487048998</v>
      </c>
      <c r="B837">
        <v>44.670795779761903</v>
      </c>
      <c r="C837">
        <v>1294</v>
      </c>
      <c r="D837" t="s">
        <v>29</v>
      </c>
      <c r="E837" t="s">
        <v>12</v>
      </c>
      <c r="F837" t="s">
        <v>25</v>
      </c>
      <c r="G837" t="s">
        <v>19</v>
      </c>
      <c r="H837">
        <v>8525</v>
      </c>
      <c r="I837" t="s">
        <v>1722</v>
      </c>
      <c r="J837" t="s">
        <v>1723</v>
      </c>
      <c r="K837" t="s">
        <v>17</v>
      </c>
      <c r="L837" t="str">
        <f t="shared" si="13"/>
        <v xml:space="preserve">{ longitude: -63.584174487049, latitude: 44.6707957797619, stopType: 'Bus Stop Accessible', gotime: \'8525\', location: \'WINDMILL RD  NS JAMIESON DR\' }, </v>
      </c>
    </row>
    <row r="838" spans="1:12" x14ac:dyDescent="0.25">
      <c r="A838">
        <v>-63.258812400199098</v>
      </c>
      <c r="B838">
        <v>44.707925535644598</v>
      </c>
      <c r="C838">
        <v>33</v>
      </c>
      <c r="D838" t="s">
        <v>103</v>
      </c>
      <c r="E838" t="s">
        <v>12</v>
      </c>
      <c r="F838" t="s">
        <v>25</v>
      </c>
      <c r="G838" t="s">
        <v>1456</v>
      </c>
      <c r="H838">
        <v>8901</v>
      </c>
      <c r="I838" t="s">
        <v>1724</v>
      </c>
      <c r="J838" t="s">
        <v>1725</v>
      </c>
      <c r="K838" t="s">
        <v>17</v>
      </c>
      <c r="L838" t="str">
        <f t="shared" si="13"/>
        <v xml:space="preserve">{ longitude: -63.2588124001991, latitude: 44.7079255356446, stopType: 'Bus Stop Inaccessible', gotime: \'8901\', location: \'HWY 207 &lt;NS&gt; &lt;OP&gt; BELLEFONTAINE RD\' }, </v>
      </c>
    </row>
    <row r="839" spans="1:12" x14ac:dyDescent="0.25">
      <c r="A839">
        <v>-63.591065101532799</v>
      </c>
      <c r="B839">
        <v>44.676394125198001</v>
      </c>
      <c r="C839">
        <v>1295</v>
      </c>
      <c r="D839" t="s">
        <v>29</v>
      </c>
      <c r="E839" t="s">
        <v>12</v>
      </c>
      <c r="F839" t="s">
        <v>13</v>
      </c>
      <c r="G839" t="s">
        <v>19</v>
      </c>
      <c r="H839">
        <v>8526</v>
      </c>
      <c r="I839" t="s">
        <v>1726</v>
      </c>
      <c r="J839" t="s">
        <v>1727</v>
      </c>
      <c r="K839" t="s">
        <v>17</v>
      </c>
      <c r="L839" t="str">
        <f t="shared" si="13"/>
        <v xml:space="preserve">{ longitude: -63.5910651015328, latitude: 44.676394125198, stopType: 'Bus Stop Accessible', gotime: \'8526\', location: \'WINDMILL RD  NS NIVENS AVE\' }, </v>
      </c>
    </row>
    <row r="840" spans="1:12" x14ac:dyDescent="0.25">
      <c r="A840">
        <v>-63.2599379833295</v>
      </c>
      <c r="B840">
        <v>44.710984173334097</v>
      </c>
      <c r="C840">
        <v>34</v>
      </c>
      <c r="D840" t="s">
        <v>103</v>
      </c>
      <c r="E840" t="s">
        <v>12</v>
      </c>
      <c r="F840" t="s">
        <v>25</v>
      </c>
      <c r="G840" t="s">
        <v>1456</v>
      </c>
      <c r="H840">
        <v>8902</v>
      </c>
      <c r="I840" t="s">
        <v>1728</v>
      </c>
      <c r="J840" t="s">
        <v>1729</v>
      </c>
      <c r="K840" t="s">
        <v>17</v>
      </c>
      <c r="L840" t="str">
        <f t="shared" si="13"/>
        <v xml:space="preserve">{ longitude: -63.2599379833295, latitude: 44.7109841733341, stopType: 'Bus Stop Inaccessible', gotime: \'8902\', location: \'HWY 207 &lt;AT&gt; PARISH HALL\' }, </v>
      </c>
    </row>
    <row r="841" spans="1:12" x14ac:dyDescent="0.25">
      <c r="A841">
        <v>-63.599258362666298</v>
      </c>
      <c r="B841">
        <v>44.687502236776901</v>
      </c>
      <c r="C841">
        <v>1296</v>
      </c>
      <c r="D841" t="s">
        <v>11</v>
      </c>
      <c r="E841" t="s">
        <v>12</v>
      </c>
      <c r="F841" t="s">
        <v>13</v>
      </c>
      <c r="G841" t="s">
        <v>19</v>
      </c>
      <c r="H841">
        <v>8527</v>
      </c>
      <c r="I841" t="s">
        <v>1730</v>
      </c>
      <c r="J841" t="s">
        <v>1731</v>
      </c>
      <c r="K841" t="s">
        <v>17</v>
      </c>
      <c r="L841" t="str">
        <f t="shared" si="13"/>
        <v xml:space="preserve">{ longitude: -63.5992583626663, latitude: 44.6875022367769, stopType: 'Bus Stop Non-Standard', gotime: \'8527\', location: \'WINDMILL RD  NS PRINCESS MARGARET BLVD\' }, </v>
      </c>
    </row>
    <row r="842" spans="1:12" x14ac:dyDescent="0.25">
      <c r="A842">
        <v>-63.264223539693504</v>
      </c>
      <c r="B842">
        <v>44.717120459832501</v>
      </c>
      <c r="C842">
        <v>35</v>
      </c>
      <c r="D842" t="s">
        <v>103</v>
      </c>
      <c r="E842" t="s">
        <v>12</v>
      </c>
      <c r="F842" t="s">
        <v>25</v>
      </c>
      <c r="G842" t="s">
        <v>1456</v>
      </c>
      <c r="H842">
        <v>8903</v>
      </c>
      <c r="I842" t="s">
        <v>1732</v>
      </c>
      <c r="J842" t="s">
        <v>1733</v>
      </c>
      <c r="K842" t="s">
        <v>17</v>
      </c>
      <c r="L842" t="str">
        <f t="shared" si="13"/>
        <v xml:space="preserve">{ longitude: -63.2642235396935, latitude: 44.7171204598325, stopType: 'Bus Stop Inaccessible', gotime: \'8903\', location: \'HWY 207 &lt;OP&gt; CIVIC 7209\' }, </v>
      </c>
    </row>
    <row r="843" spans="1:12" x14ac:dyDescent="0.25">
      <c r="A843">
        <v>-63.606777016503003</v>
      </c>
      <c r="B843">
        <v>44.700579177631802</v>
      </c>
      <c r="C843">
        <v>1297</v>
      </c>
      <c r="D843" t="s">
        <v>11</v>
      </c>
      <c r="E843" t="s">
        <v>12</v>
      </c>
      <c r="F843" t="s">
        <v>13</v>
      </c>
      <c r="G843" t="s">
        <v>14</v>
      </c>
      <c r="H843">
        <v>8528</v>
      </c>
      <c r="I843" t="s">
        <v>1734</v>
      </c>
      <c r="J843" t="s">
        <v>1735</v>
      </c>
      <c r="K843" t="s">
        <v>17</v>
      </c>
      <c r="L843" t="str">
        <f t="shared" si="13"/>
        <v xml:space="preserve">{ longitude: -63.606777016503, latitude: 44.7005791776318, stopType: 'Bus Stop Non-Standard', gotime: \'8528\', location: \'WINDMILL RD NS RALSTON AVE\' }, </v>
      </c>
    </row>
    <row r="844" spans="1:12" x14ac:dyDescent="0.25">
      <c r="A844">
        <v>-63.272516761161903</v>
      </c>
      <c r="B844">
        <v>44.732160536103898</v>
      </c>
      <c r="C844">
        <v>36</v>
      </c>
      <c r="D844" t="s">
        <v>103</v>
      </c>
      <c r="E844" t="s">
        <v>12</v>
      </c>
      <c r="F844" t="s">
        <v>25</v>
      </c>
      <c r="G844" t="s">
        <v>1456</v>
      </c>
      <c r="H844">
        <v>8904</v>
      </c>
      <c r="I844" t="s">
        <v>1736</v>
      </c>
      <c r="J844" t="s">
        <v>1737</v>
      </c>
      <c r="K844" t="s">
        <v>17</v>
      </c>
      <c r="L844" t="str">
        <f t="shared" si="13"/>
        <v xml:space="preserve">{ longitude: -63.2725167611619, latitude: 44.7321605361039, stopType: 'Bus Stop Inaccessible', gotime: \'8904\', location: \'HWY 207 &lt;OP&gt; LES COLLINS AVE\' }, </v>
      </c>
    </row>
    <row r="845" spans="1:12" x14ac:dyDescent="0.25">
      <c r="A845">
        <v>-63.592601892864003</v>
      </c>
      <c r="B845">
        <v>44.677954479160697</v>
      </c>
      <c r="C845">
        <v>1298</v>
      </c>
      <c r="D845" t="s">
        <v>18</v>
      </c>
      <c r="E845" t="s">
        <v>12</v>
      </c>
      <c r="F845" t="s">
        <v>13</v>
      </c>
      <c r="G845" t="s">
        <v>65</v>
      </c>
      <c r="H845">
        <v>8529</v>
      </c>
      <c r="I845" t="s">
        <v>1738</v>
      </c>
      <c r="J845" t="s">
        <v>1739</v>
      </c>
      <c r="K845" t="s">
        <v>17</v>
      </c>
      <c r="L845" t="str">
        <f t="shared" si="13"/>
        <v xml:space="preserve">{ longitude: -63.592601892864, latitude: 44.6779544791607, stopType: 'Bus Stop Shelter Non-Standard', gotime: \'8529\', location: \'WINDMILL RD NS SUNNYDALE AVE\' }, </v>
      </c>
    </row>
    <row r="846" spans="1:12" x14ac:dyDescent="0.25">
      <c r="A846">
        <v>-63.275908943596697</v>
      </c>
      <c r="B846">
        <v>44.737625984136699</v>
      </c>
      <c r="C846">
        <v>37</v>
      </c>
      <c r="D846" t="s">
        <v>103</v>
      </c>
      <c r="E846" t="s">
        <v>12</v>
      </c>
      <c r="F846" t="s">
        <v>25</v>
      </c>
      <c r="G846" t="s">
        <v>1456</v>
      </c>
      <c r="H846">
        <v>8905</v>
      </c>
      <c r="I846" t="s">
        <v>1740</v>
      </c>
      <c r="J846" t="s">
        <v>1741</v>
      </c>
      <c r="K846" t="s">
        <v>17</v>
      </c>
      <c r="L846" t="str">
        <f t="shared" si="13"/>
        <v xml:space="preserve">{ longitude: -63.2759089435967, latitude: 44.7376259841367, stopType: 'Bus Stop Inaccessible', gotime: \'8905\', location: \'HWY 207 &lt;NS&gt; SHORE RD\' }, </v>
      </c>
    </row>
    <row r="847" spans="1:12" x14ac:dyDescent="0.25">
      <c r="A847">
        <v>-63.600723165289999</v>
      </c>
      <c r="B847">
        <v>44.694750082949703</v>
      </c>
      <c r="C847">
        <v>1299</v>
      </c>
      <c r="D847" t="s">
        <v>11</v>
      </c>
      <c r="E847" t="s">
        <v>12</v>
      </c>
      <c r="F847" t="s">
        <v>13</v>
      </c>
      <c r="G847" t="s">
        <v>14</v>
      </c>
      <c r="H847">
        <v>8530</v>
      </c>
      <c r="I847" t="s">
        <v>1742</v>
      </c>
      <c r="J847" t="s">
        <v>1743</v>
      </c>
      <c r="K847" t="s">
        <v>17</v>
      </c>
      <c r="L847" t="str">
        <f t="shared" si="13"/>
        <v xml:space="preserve">{ longitude: -63.60072316529, latitude: 44.6947500829497, stopType: 'Bus Stop Non-Standard', gotime: \'8530\', location: \'WINDMILL RD NS VICTORIA RD\' }, </v>
      </c>
    </row>
    <row r="848" spans="1:12" x14ac:dyDescent="0.25">
      <c r="A848">
        <v>-63.283056250470999</v>
      </c>
      <c r="B848">
        <v>44.744089822339198</v>
      </c>
      <c r="C848">
        <v>38</v>
      </c>
      <c r="D848" t="s">
        <v>103</v>
      </c>
      <c r="E848" t="s">
        <v>12</v>
      </c>
      <c r="F848" t="s">
        <v>25</v>
      </c>
      <c r="G848" t="s">
        <v>1456</v>
      </c>
      <c r="H848">
        <v>8909</v>
      </c>
      <c r="I848" t="s">
        <v>1744</v>
      </c>
      <c r="J848" t="s">
        <v>1745</v>
      </c>
      <c r="K848" t="s">
        <v>17</v>
      </c>
      <c r="L848" t="str">
        <f t="shared" si="13"/>
        <v xml:space="preserve">{ longitude: -63.283056250471, latitude: 44.7440898223392, stopType: 'Bus Stop Inaccessible', gotime: \'8909\', location: \'LAKEVIEW SHOPPING CENTRE &lt;IB&gt;\' }, </v>
      </c>
    </row>
    <row r="849" spans="1:12" x14ac:dyDescent="0.25">
      <c r="A849">
        <v>-63.590216580548699</v>
      </c>
      <c r="B849">
        <v>44.674686959968</v>
      </c>
      <c r="C849">
        <v>1300</v>
      </c>
      <c r="D849" t="s">
        <v>29</v>
      </c>
      <c r="E849" t="s">
        <v>12</v>
      </c>
      <c r="F849" t="s">
        <v>13</v>
      </c>
      <c r="G849" t="s">
        <v>19</v>
      </c>
      <c r="H849">
        <v>8531</v>
      </c>
      <c r="I849" t="s">
        <v>1746</v>
      </c>
      <c r="J849" t="s">
        <v>1747</v>
      </c>
      <c r="K849" t="s">
        <v>17</v>
      </c>
      <c r="L849" t="str">
        <f t="shared" si="13"/>
        <v xml:space="preserve">{ longitude: -63.5902165805487, latitude: 44.674686959968, stopType: 'Bus Stop Accessible', gotime: \'8531\', location: \'WINDMILL RD NS WALLACE ST\' }, </v>
      </c>
    </row>
    <row r="850" spans="1:12" x14ac:dyDescent="0.25">
      <c r="A850">
        <v>-63.293258269563999</v>
      </c>
      <c r="B850">
        <v>44.747150719525003</v>
      </c>
      <c r="C850">
        <v>39</v>
      </c>
      <c r="D850" t="s">
        <v>103</v>
      </c>
      <c r="E850" t="s">
        <v>12</v>
      </c>
      <c r="F850" t="s">
        <v>25</v>
      </c>
      <c r="G850" t="s">
        <v>1456</v>
      </c>
      <c r="H850">
        <v>8910</v>
      </c>
      <c r="I850" t="s">
        <v>1748</v>
      </c>
      <c r="J850" t="s">
        <v>1749</v>
      </c>
      <c r="K850" t="s">
        <v>17</v>
      </c>
      <c r="L850" t="str">
        <f t="shared" si="13"/>
        <v xml:space="preserve">{ longitude: -63.293258269564, latitude: 44.747150719525, stopType: 'Bus Stop Inaccessible', gotime: \'8910\', location: \'HWY 7 &lt;NS&gt; LORIANN DR\' }, </v>
      </c>
    </row>
    <row r="851" spans="1:12" x14ac:dyDescent="0.25">
      <c r="A851">
        <v>-63.6056609678215</v>
      </c>
      <c r="B851">
        <v>44.6986655682757</v>
      </c>
      <c r="C851">
        <v>1301</v>
      </c>
      <c r="D851" t="s">
        <v>22</v>
      </c>
      <c r="E851" t="s">
        <v>12</v>
      </c>
      <c r="F851" t="s">
        <v>13</v>
      </c>
      <c r="G851" t="s">
        <v>19</v>
      </c>
      <c r="H851">
        <v>8532</v>
      </c>
      <c r="I851" t="s">
        <v>1750</v>
      </c>
      <c r="J851" t="s">
        <v>1751</v>
      </c>
      <c r="K851" t="s">
        <v>17</v>
      </c>
      <c r="L851" t="str">
        <f t="shared" si="13"/>
        <v xml:space="preserve">{ longitude: -63.6056609678215, latitude: 44.6986655682757, stopType: 'Bus Stop Shelter Accessible', gotime: \'8532\', location: \'WINDMILL RD NS WRIGHT AVE\' }, </v>
      </c>
    </row>
    <row r="852" spans="1:12" x14ac:dyDescent="0.25">
      <c r="A852">
        <v>-63.300163003404002</v>
      </c>
      <c r="B852">
        <v>44.747318723714898</v>
      </c>
      <c r="C852">
        <v>40</v>
      </c>
      <c r="D852" t="s">
        <v>103</v>
      </c>
      <c r="E852" t="s">
        <v>12</v>
      </c>
      <c r="F852" t="s">
        <v>25</v>
      </c>
      <c r="G852" t="s">
        <v>1456</v>
      </c>
      <c r="H852">
        <v>8911</v>
      </c>
      <c r="I852" t="s">
        <v>1752</v>
      </c>
      <c r="J852" t="s">
        <v>1753</v>
      </c>
      <c r="K852" t="s">
        <v>17</v>
      </c>
      <c r="L852" t="str">
        <f t="shared" si="13"/>
        <v xml:space="preserve">{ longitude: -63.300163003404, latitude: 44.7473187237149, stopType: 'Bus Stop Inaccessible', gotime: \'8911\', location: \'HWY 7 &lt;FS&gt; COVE RD\' }, </v>
      </c>
    </row>
    <row r="853" spans="1:12" x14ac:dyDescent="0.25">
      <c r="A853">
        <v>-63.612494203748497</v>
      </c>
      <c r="B853">
        <v>44.703470713173097</v>
      </c>
      <c r="C853">
        <v>1302</v>
      </c>
      <c r="D853" t="s">
        <v>103</v>
      </c>
      <c r="E853" t="s">
        <v>12</v>
      </c>
      <c r="F853" t="s">
        <v>13</v>
      </c>
      <c r="G853" t="s">
        <v>65</v>
      </c>
      <c r="H853">
        <v>8533</v>
      </c>
      <c r="I853" t="s">
        <v>1754</v>
      </c>
      <c r="J853" t="s">
        <v>1755</v>
      </c>
      <c r="K853" t="s">
        <v>17</v>
      </c>
      <c r="L853" t="str">
        <f t="shared" si="13"/>
        <v xml:space="preserve">{ longitude: -63.6124942037485, latitude: 44.7034707131731, stopType: 'Bus Stop Inaccessible', gotime: \'8533\', location: \'WINDMILL RD  OPP AKERLEY BLVD\' }, </v>
      </c>
    </row>
    <row r="854" spans="1:12" x14ac:dyDescent="0.25">
      <c r="A854">
        <v>-63.301154768607702</v>
      </c>
      <c r="B854">
        <v>44.743388334081402</v>
      </c>
      <c r="C854">
        <v>41</v>
      </c>
      <c r="D854" t="s">
        <v>103</v>
      </c>
      <c r="E854" t="s">
        <v>12</v>
      </c>
      <c r="F854" t="s">
        <v>25</v>
      </c>
      <c r="G854" t="s">
        <v>1456</v>
      </c>
      <c r="H854">
        <v>8912</v>
      </c>
      <c r="I854" t="s">
        <v>1756</v>
      </c>
      <c r="J854" t="s">
        <v>1757</v>
      </c>
      <c r="K854" t="s">
        <v>17</v>
      </c>
      <c r="L854" t="str">
        <f t="shared" si="13"/>
        <v xml:space="preserve">{ longitude: -63.3011547686077, latitude: 44.7433883340814, stopType: 'Bus Stop Inaccessible', gotime: \'8912\', location: \'HWY 7 &lt;AT&gt; CIVIC 4787\' }, </v>
      </c>
    </row>
    <row r="855" spans="1:12" x14ac:dyDescent="0.25">
      <c r="A855">
        <v>-63.574575451978802</v>
      </c>
      <c r="B855">
        <v>44.670629786145298</v>
      </c>
      <c r="C855">
        <v>1303</v>
      </c>
      <c r="D855" t="s">
        <v>1573</v>
      </c>
      <c r="E855" t="s">
        <v>12</v>
      </c>
      <c r="F855" t="s">
        <v>13</v>
      </c>
      <c r="G855" t="s">
        <v>1632</v>
      </c>
      <c r="H855">
        <v>7604</v>
      </c>
      <c r="I855" t="s">
        <v>1758</v>
      </c>
      <c r="J855" t="s">
        <v>1759</v>
      </c>
      <c r="K855" t="s">
        <v>17</v>
      </c>
      <c r="L855" t="str">
        <f t="shared" si="13"/>
        <v xml:space="preserve">{ longitude: -63.5745754519788, latitude: 44.6706297861453, stopType: 'Bus Terminal Accessible', gotime: \'7604\', location: \'DARTMOUTH TRANSIT TERMINAL BAY 4\' }, </v>
      </c>
    </row>
    <row r="856" spans="1:12" x14ac:dyDescent="0.25">
      <c r="A856">
        <v>-63.305684367652503</v>
      </c>
      <c r="B856">
        <v>44.738810406991703</v>
      </c>
      <c r="C856">
        <v>42</v>
      </c>
      <c r="D856" t="s">
        <v>103</v>
      </c>
      <c r="E856" t="s">
        <v>12</v>
      </c>
      <c r="F856" t="s">
        <v>25</v>
      </c>
      <c r="G856" t="s">
        <v>1456</v>
      </c>
      <c r="H856">
        <v>8913</v>
      </c>
      <c r="I856" t="s">
        <v>1760</v>
      </c>
      <c r="J856" t="s">
        <v>1761</v>
      </c>
      <c r="K856" t="s">
        <v>17</v>
      </c>
      <c r="L856" t="str">
        <f t="shared" si="13"/>
        <v xml:space="preserve">{ longitude: -63.3056843676525, latitude: 44.7388104069917, stopType: 'Bus Stop Inaccessible', gotime: \'8913\', location: \'HWY 7 &lt;FS&gt; LAURIE LANE\' }, </v>
      </c>
    </row>
    <row r="857" spans="1:12" x14ac:dyDescent="0.25">
      <c r="A857">
        <v>-63.574304131724602</v>
      </c>
      <c r="B857">
        <v>44.670484716372499</v>
      </c>
      <c r="C857">
        <v>1304</v>
      </c>
      <c r="D857" t="s">
        <v>1573</v>
      </c>
      <c r="E857" t="s">
        <v>12</v>
      </c>
      <c r="F857" t="s">
        <v>13</v>
      </c>
      <c r="G857" t="s">
        <v>1632</v>
      </c>
      <c r="H857">
        <v>7605</v>
      </c>
      <c r="I857" t="s">
        <v>1762</v>
      </c>
      <c r="J857" t="s">
        <v>1763</v>
      </c>
      <c r="K857" t="s">
        <v>17</v>
      </c>
      <c r="L857" t="str">
        <f t="shared" si="13"/>
        <v xml:space="preserve">{ longitude: -63.5743041317246, latitude: 44.6704847163725, stopType: 'Bus Terminal Accessible', gotime: \'7605\', location: \'DARTMOUTH TRANSIT TERMINAL BAY 5\' }, </v>
      </c>
    </row>
    <row r="858" spans="1:12" x14ac:dyDescent="0.25">
      <c r="A858">
        <v>-63.309437982130902</v>
      </c>
      <c r="B858">
        <v>44.737825708489297</v>
      </c>
      <c r="C858">
        <v>43</v>
      </c>
      <c r="D858" t="s">
        <v>103</v>
      </c>
      <c r="E858" t="s">
        <v>12</v>
      </c>
      <c r="F858" t="s">
        <v>25</v>
      </c>
      <c r="G858" t="s">
        <v>1456</v>
      </c>
      <c r="H858">
        <v>8914</v>
      </c>
      <c r="I858" t="s">
        <v>1764</v>
      </c>
      <c r="J858" t="s">
        <v>1765</v>
      </c>
      <c r="K858" t="s">
        <v>17</v>
      </c>
      <c r="L858" t="str">
        <f t="shared" si="13"/>
        <v xml:space="preserve">{ longitude: -63.3094379821309, latitude: 44.7378257084893, stopType: 'Bus Stop Inaccessible', gotime: \'8914\', location: \'HWY 7 &lt;NS&gt; NARROWS LANE\' }, </v>
      </c>
    </row>
    <row r="859" spans="1:12" x14ac:dyDescent="0.25">
      <c r="A859">
        <v>-63.5740695147975</v>
      </c>
      <c r="B859">
        <v>44.670339943547397</v>
      </c>
      <c r="C859">
        <v>1305</v>
      </c>
      <c r="D859" t="s">
        <v>1573</v>
      </c>
      <c r="E859" t="s">
        <v>12</v>
      </c>
      <c r="F859" t="s">
        <v>13</v>
      </c>
      <c r="G859" t="s">
        <v>1632</v>
      </c>
      <c r="H859">
        <v>7606</v>
      </c>
      <c r="I859" t="s">
        <v>1766</v>
      </c>
      <c r="J859" t="s">
        <v>1767</v>
      </c>
      <c r="K859" t="s">
        <v>17</v>
      </c>
      <c r="L859" t="str">
        <f t="shared" si="13"/>
        <v xml:space="preserve">{ longitude: -63.5740695147975, latitude: 44.6703399435474, stopType: 'Bus Terminal Accessible', gotime: \'7606\', location: \'DARTMOUTH TRANSIT TERMINAL BAY 6\' }, </v>
      </c>
    </row>
    <row r="860" spans="1:12" x14ac:dyDescent="0.25">
      <c r="A860">
        <v>-63.319517644421801</v>
      </c>
      <c r="B860">
        <v>44.739936476778198</v>
      </c>
      <c r="C860">
        <v>44</v>
      </c>
      <c r="D860" t="s">
        <v>103</v>
      </c>
      <c r="E860" t="s">
        <v>12</v>
      </c>
      <c r="F860" t="s">
        <v>25</v>
      </c>
      <c r="G860" t="s">
        <v>1456</v>
      </c>
      <c r="H860">
        <v>8915</v>
      </c>
      <c r="I860" t="s">
        <v>1768</v>
      </c>
      <c r="J860" t="s">
        <v>1769</v>
      </c>
      <c r="K860" t="s">
        <v>17</v>
      </c>
      <c r="L860" t="str">
        <f t="shared" si="13"/>
        <v xml:space="preserve">{ longitude: -63.3195176444218, latitude: 44.7399364767782, stopType: 'Bus Stop Inaccessible', gotime: \'8915\', location: \'HWY 7 &lt;AT&gt; CIVIC 4396\' }, </v>
      </c>
    </row>
    <row r="861" spans="1:12" x14ac:dyDescent="0.25">
      <c r="A861">
        <v>-63.573857876497399</v>
      </c>
      <c r="B861">
        <v>44.670219167923499</v>
      </c>
      <c r="C861">
        <v>1306</v>
      </c>
      <c r="D861" t="s">
        <v>1573</v>
      </c>
      <c r="E861" t="s">
        <v>12</v>
      </c>
      <c r="F861" t="s">
        <v>13</v>
      </c>
      <c r="G861" t="s">
        <v>1632</v>
      </c>
      <c r="H861">
        <v>7607</v>
      </c>
      <c r="I861" t="s">
        <v>1770</v>
      </c>
      <c r="J861" t="s">
        <v>1771</v>
      </c>
      <c r="K861" t="s">
        <v>17</v>
      </c>
      <c r="L861" t="str">
        <f t="shared" si="13"/>
        <v xml:space="preserve">{ longitude: -63.5738578764974, latitude: 44.6702191679235, stopType: 'Bus Terminal Accessible', gotime: \'7607\', location: \'DARTMOUTH TRANSIT TERMINAL BAY 7\' }, </v>
      </c>
    </row>
    <row r="862" spans="1:12" x14ac:dyDescent="0.25">
      <c r="A862">
        <v>-63.324890608101903</v>
      </c>
      <c r="B862">
        <v>44.740640758714797</v>
      </c>
      <c r="C862">
        <v>45</v>
      </c>
      <c r="D862" t="s">
        <v>103</v>
      </c>
      <c r="E862" t="s">
        <v>12</v>
      </c>
      <c r="F862" t="s">
        <v>25</v>
      </c>
      <c r="G862" t="s">
        <v>1456</v>
      </c>
      <c r="H862">
        <v>8916</v>
      </c>
      <c r="I862" t="s">
        <v>1772</v>
      </c>
      <c r="J862" t="s">
        <v>1773</v>
      </c>
      <c r="K862" t="s">
        <v>17</v>
      </c>
      <c r="L862" t="str">
        <f t="shared" si="13"/>
        <v xml:space="preserve">{ longitude: -63.3248906081019, latitude: 44.7406407587148, stopType: 'Bus Stop Inaccessible', gotime: \'8916\', location: \'HWY 7 &lt;AT&gt; CIVIC 4295\' }, </v>
      </c>
    </row>
    <row r="863" spans="1:12" x14ac:dyDescent="0.25">
      <c r="A863">
        <v>-63.426843251407</v>
      </c>
      <c r="B863">
        <v>44.726603002033201</v>
      </c>
      <c r="C863">
        <v>1307</v>
      </c>
      <c r="D863" t="s">
        <v>103</v>
      </c>
      <c r="E863" t="s">
        <v>12</v>
      </c>
      <c r="F863" t="s">
        <v>25</v>
      </c>
      <c r="G863" t="s">
        <v>1456</v>
      </c>
      <c r="H863">
        <v>8770</v>
      </c>
      <c r="I863" t="s">
        <v>1774</v>
      </c>
      <c r="J863" t="s">
        <v>1775</v>
      </c>
      <c r="K863" t="s">
        <v>17</v>
      </c>
      <c r="L863" t="str">
        <f t="shared" si="13"/>
        <v xml:space="preserve">{ longitude: -63.426843251407, latitude: 44.7266030020332, stopType: 'Bus Stop Inaccessible', gotime: \'8770\', location: \'BROOKS RD &lt;AT&gt; CIVIC 253\' }, </v>
      </c>
    </row>
    <row r="864" spans="1:12" x14ac:dyDescent="0.25">
      <c r="A864">
        <v>-63.346922610768303</v>
      </c>
      <c r="B864">
        <v>44.739972532384101</v>
      </c>
      <c r="C864">
        <v>46</v>
      </c>
      <c r="D864" t="s">
        <v>103</v>
      </c>
      <c r="E864" t="s">
        <v>12</v>
      </c>
      <c r="F864" t="s">
        <v>25</v>
      </c>
      <c r="G864" t="s">
        <v>1456</v>
      </c>
      <c r="H864">
        <v>8917</v>
      </c>
      <c r="I864" t="s">
        <v>1776</v>
      </c>
      <c r="J864" t="s">
        <v>1777</v>
      </c>
      <c r="K864" t="s">
        <v>17</v>
      </c>
      <c r="L864" t="str">
        <f t="shared" si="13"/>
        <v xml:space="preserve">{ longitude: -63.3469226107683, latitude: 44.7399725323841, stopType: 'Bus Stop Inaccessible', gotime: \'8917\', location: \'HWY 7 &lt;AT&gt; PARKER LANE\' }, </v>
      </c>
    </row>
    <row r="865" spans="1:12" x14ac:dyDescent="0.25">
      <c r="A865">
        <v>-63.597225892122097</v>
      </c>
      <c r="B865">
        <v>44.682650821771297</v>
      </c>
      <c r="C865">
        <v>1308</v>
      </c>
      <c r="D865" t="s">
        <v>29</v>
      </c>
      <c r="E865" t="s">
        <v>12</v>
      </c>
      <c r="F865" t="s">
        <v>13</v>
      </c>
      <c r="G865" t="s">
        <v>19</v>
      </c>
      <c r="H865">
        <v>8534</v>
      </c>
      <c r="I865" t="s">
        <v>1778</v>
      </c>
      <c r="J865" t="s">
        <v>1779</v>
      </c>
      <c r="K865" t="s">
        <v>17</v>
      </c>
      <c r="L865" t="str">
        <f t="shared" si="13"/>
        <v xml:space="preserve">{ longitude: -63.5972258921221, latitude: 44.6826508217713, stopType: 'Bus Stop Accessible', gotime: \'8534\', location: \'WINDMILL RD OPP CIVIC 395\' }, </v>
      </c>
    </row>
    <row r="866" spans="1:12" x14ac:dyDescent="0.25">
      <c r="A866">
        <v>-63.3780283464178</v>
      </c>
      <c r="B866">
        <v>44.737722648277803</v>
      </c>
      <c r="C866">
        <v>47</v>
      </c>
      <c r="D866" t="s">
        <v>103</v>
      </c>
      <c r="E866" t="s">
        <v>12</v>
      </c>
      <c r="F866" t="s">
        <v>25</v>
      </c>
      <c r="G866" t="s">
        <v>1456</v>
      </c>
      <c r="I866" t="s">
        <v>1780</v>
      </c>
      <c r="J866" t="s">
        <v>1781</v>
      </c>
      <c r="K866" t="s">
        <v>17</v>
      </c>
      <c r="L866" t="str">
        <f t="shared" si="13"/>
        <v xml:space="preserve">{ longitude: -63.3780283464178, latitude: 44.7377226482778, stopType: 'Bus Stop Inaccessible', gotime: \'\', location: \'HWY 7 &lt;AT&gt; CIVIC 3351\' }, </v>
      </c>
    </row>
    <row r="867" spans="1:12" x14ac:dyDescent="0.25">
      <c r="A867">
        <v>-63.600068378070297</v>
      </c>
      <c r="B867">
        <v>44.690991509426603</v>
      </c>
      <c r="C867">
        <v>1309</v>
      </c>
      <c r="D867" t="s">
        <v>11</v>
      </c>
      <c r="E867" t="s">
        <v>12</v>
      </c>
      <c r="F867" t="s">
        <v>25</v>
      </c>
      <c r="G867" t="s">
        <v>26</v>
      </c>
      <c r="H867">
        <v>8535</v>
      </c>
      <c r="I867" t="s">
        <v>1782</v>
      </c>
      <c r="J867" t="s">
        <v>1783</v>
      </c>
      <c r="K867" t="s">
        <v>17</v>
      </c>
      <c r="L867" t="str">
        <f t="shared" si="13"/>
        <v xml:space="preserve">{ longitude: -63.6000683780703, latitude: 44.6909915094266, stopType: 'Bus Stop Non-Standard', gotime: \'8535\', location: \'WINDMILL RD  OPP CIVIC 520\' }, </v>
      </c>
    </row>
    <row r="868" spans="1:12" x14ac:dyDescent="0.25">
      <c r="A868">
        <v>-63.381137478768103</v>
      </c>
      <c r="B868">
        <v>44.7389080137444</v>
      </c>
      <c r="C868">
        <v>48</v>
      </c>
      <c r="D868" t="s">
        <v>103</v>
      </c>
      <c r="E868" t="s">
        <v>12</v>
      </c>
      <c r="F868" t="s">
        <v>25</v>
      </c>
      <c r="G868" t="s">
        <v>1456</v>
      </c>
      <c r="H868">
        <v>8918</v>
      </c>
      <c r="I868" t="s">
        <v>1784</v>
      </c>
      <c r="J868" t="s">
        <v>1785</v>
      </c>
      <c r="K868" t="s">
        <v>17</v>
      </c>
      <c r="L868" t="str">
        <f t="shared" si="13"/>
        <v xml:space="preserve">{ longitude: -63.3811374787681, latitude: 44.7389080137444, stopType: 'Bus Stop Inaccessible', gotime: \'8918\', location: \'HWY 7 &lt;AT&gt; CIVIC 3293\' }, </v>
      </c>
    </row>
    <row r="869" spans="1:12" x14ac:dyDescent="0.25">
      <c r="A869">
        <v>-63.600651399068703</v>
      </c>
      <c r="B869">
        <v>44.693362664093897</v>
      </c>
      <c r="C869">
        <v>1310</v>
      </c>
      <c r="D869" t="s">
        <v>11</v>
      </c>
      <c r="E869" t="s">
        <v>12</v>
      </c>
      <c r="F869" t="s">
        <v>13</v>
      </c>
      <c r="G869" t="s">
        <v>14</v>
      </c>
      <c r="H869">
        <v>8536</v>
      </c>
      <c r="I869" t="s">
        <v>1786</v>
      </c>
      <c r="J869" t="s">
        <v>1787</v>
      </c>
      <c r="K869" t="s">
        <v>17</v>
      </c>
      <c r="L869" t="str">
        <f t="shared" si="13"/>
        <v xml:space="preserve">{ longitude: -63.6006513990687, latitude: 44.6933626640939, stopType: 'Bus Stop Non-Standard', gotime: \'8536\', location: \'WINDMILL RD  OPP CIVIC 552\' }, </v>
      </c>
    </row>
    <row r="870" spans="1:12" x14ac:dyDescent="0.25">
      <c r="A870">
        <v>-63.387331199224597</v>
      </c>
      <c r="B870">
        <v>44.738658982478398</v>
      </c>
      <c r="C870">
        <v>49</v>
      </c>
      <c r="D870" t="s">
        <v>103</v>
      </c>
      <c r="E870" t="s">
        <v>12</v>
      </c>
      <c r="F870" t="s">
        <v>25</v>
      </c>
      <c r="G870" t="s">
        <v>1456</v>
      </c>
      <c r="H870">
        <v>8919</v>
      </c>
      <c r="I870" t="s">
        <v>1788</v>
      </c>
      <c r="J870" t="s">
        <v>1789</v>
      </c>
      <c r="K870" t="s">
        <v>17</v>
      </c>
      <c r="L870" t="str">
        <f t="shared" si="13"/>
        <v xml:space="preserve">{ longitude: -63.3873311992246, latitude: 44.7386589824784, stopType: 'Bus Stop Inaccessible', gotime: \'8919\', location: \'HWY 7 &lt;AT&gt; CIVIC 3165\' }, </v>
      </c>
    </row>
    <row r="871" spans="1:12" x14ac:dyDescent="0.25">
      <c r="A871">
        <v>-63.5736792617775</v>
      </c>
      <c r="B871">
        <v>44.670120090397702</v>
      </c>
      <c r="C871">
        <v>1311</v>
      </c>
      <c r="D871" t="s">
        <v>1573</v>
      </c>
      <c r="E871" t="s">
        <v>12</v>
      </c>
      <c r="F871" t="s">
        <v>13</v>
      </c>
      <c r="G871" t="s">
        <v>1632</v>
      </c>
      <c r="H871">
        <v>7608</v>
      </c>
      <c r="I871" t="s">
        <v>1790</v>
      </c>
      <c r="J871" t="s">
        <v>1791</v>
      </c>
      <c r="K871" t="s">
        <v>17</v>
      </c>
      <c r="L871" t="str">
        <f t="shared" si="13"/>
        <v xml:space="preserve">{ longitude: -63.5736792617775, latitude: 44.6701200903977, stopType: 'Bus Terminal Accessible', gotime: \'7608\', location: \'DARTMOUTH TRANSIT TERMINAL BAY 8\' }, </v>
      </c>
    </row>
    <row r="872" spans="1:12" x14ac:dyDescent="0.25">
      <c r="A872">
        <v>-63.3884947627838</v>
      </c>
      <c r="B872">
        <v>44.736342733614599</v>
      </c>
      <c r="C872">
        <v>50</v>
      </c>
      <c r="D872" t="s">
        <v>103</v>
      </c>
      <c r="E872" t="s">
        <v>12</v>
      </c>
      <c r="F872" t="s">
        <v>25</v>
      </c>
      <c r="G872" t="s">
        <v>1456</v>
      </c>
      <c r="H872">
        <v>8920</v>
      </c>
      <c r="I872" t="s">
        <v>1792</v>
      </c>
      <c r="J872" t="s">
        <v>1793</v>
      </c>
      <c r="K872" t="s">
        <v>17</v>
      </c>
      <c r="L872" t="str">
        <f t="shared" si="13"/>
        <v xml:space="preserve">{ longitude: -63.3884947627838, latitude: 44.7363427336146, stopType: 'Bus Stop Inaccessible', gotime: \'8920\', location: \'HWY 7 &lt;AT&gt; CIVIC 3103\' }, </v>
      </c>
    </row>
    <row r="873" spans="1:12" x14ac:dyDescent="0.25">
      <c r="A873">
        <v>-63.573841725417601</v>
      </c>
      <c r="B873">
        <v>44.669976155167198</v>
      </c>
      <c r="C873">
        <v>1312</v>
      </c>
      <c r="D873" t="s">
        <v>1573</v>
      </c>
      <c r="E873" t="s">
        <v>12</v>
      </c>
      <c r="F873" t="s">
        <v>13</v>
      </c>
      <c r="G873" t="s">
        <v>1632</v>
      </c>
      <c r="H873">
        <v>7609</v>
      </c>
      <c r="I873" t="s">
        <v>1794</v>
      </c>
      <c r="J873" t="s">
        <v>1795</v>
      </c>
      <c r="K873" t="s">
        <v>17</v>
      </c>
      <c r="L873" t="str">
        <f t="shared" si="13"/>
        <v xml:space="preserve">{ longitude: -63.5738417254176, latitude: 44.6699761551672, stopType: 'Bus Terminal Accessible', gotime: \'7609\', location: \'DARTMOUTH TRANSIT TERMINAL BAY 9\' }, </v>
      </c>
    </row>
    <row r="874" spans="1:12" x14ac:dyDescent="0.25">
      <c r="A874">
        <v>-63.391015187469797</v>
      </c>
      <c r="B874">
        <v>44.734294040111699</v>
      </c>
      <c r="C874">
        <v>51</v>
      </c>
      <c r="D874" t="s">
        <v>103</v>
      </c>
      <c r="E874" t="s">
        <v>12</v>
      </c>
      <c r="F874" t="s">
        <v>25</v>
      </c>
      <c r="G874" t="s">
        <v>1456</v>
      </c>
      <c r="H874">
        <v>8921</v>
      </c>
      <c r="I874" t="s">
        <v>1796</v>
      </c>
      <c r="J874" t="s">
        <v>1797</v>
      </c>
      <c r="K874" t="s">
        <v>17</v>
      </c>
      <c r="L874" t="str">
        <f t="shared" si="13"/>
        <v xml:space="preserve">{ longitude: -63.3910151874698, latitude: 44.7342940401117, stopType: 'Bus Stop Inaccessible', gotime: \'8921\', location: \'HWY 7 &lt;AT&gt; FIRE HALL\' }, </v>
      </c>
    </row>
    <row r="875" spans="1:12" x14ac:dyDescent="0.25">
      <c r="A875">
        <v>-63.574023637864798</v>
      </c>
      <c r="B875">
        <v>44.670077641298001</v>
      </c>
      <c r="C875">
        <v>1313</v>
      </c>
      <c r="D875" t="s">
        <v>1573</v>
      </c>
      <c r="E875" t="s">
        <v>12</v>
      </c>
      <c r="F875" t="s">
        <v>13</v>
      </c>
      <c r="G875" t="s">
        <v>1632</v>
      </c>
      <c r="H875">
        <v>7610</v>
      </c>
      <c r="I875" t="s">
        <v>1798</v>
      </c>
      <c r="J875" t="s">
        <v>1799</v>
      </c>
      <c r="K875" t="s">
        <v>17</v>
      </c>
      <c r="L875" t="str">
        <f t="shared" si="13"/>
        <v xml:space="preserve">{ longitude: -63.5740236378648, latitude: 44.670077641298, stopType: 'Bus Terminal Accessible', gotime: \'7610\', location: \'DARTMOUTH TRANSIT TERMINAL BAY 10\' }, </v>
      </c>
    </row>
    <row r="876" spans="1:12" x14ac:dyDescent="0.25">
      <c r="A876">
        <v>-63.3939055252808</v>
      </c>
      <c r="B876">
        <v>44.7298752605627</v>
      </c>
      <c r="C876">
        <v>52</v>
      </c>
      <c r="D876" t="s">
        <v>103</v>
      </c>
      <c r="E876" t="s">
        <v>12</v>
      </c>
      <c r="F876" t="s">
        <v>25</v>
      </c>
      <c r="G876" t="s">
        <v>1456</v>
      </c>
      <c r="H876">
        <v>8922</v>
      </c>
      <c r="I876" t="s">
        <v>1800</v>
      </c>
      <c r="J876" t="s">
        <v>1801</v>
      </c>
      <c r="K876" t="s">
        <v>17</v>
      </c>
      <c r="L876" t="str">
        <f t="shared" si="13"/>
        <v xml:space="preserve">{ longitude: -63.3939055252808, latitude: 44.7298752605627, stopType: 'Bus Stop Inaccessible', gotime: \'8922\', location: \'HWY 7 &lt;AT&gt; CIVIC 2911\' }, </v>
      </c>
    </row>
    <row r="877" spans="1:12" x14ac:dyDescent="0.25">
      <c r="A877">
        <v>-63.5742517316435</v>
      </c>
      <c r="B877">
        <v>44.670212835687103</v>
      </c>
      <c r="C877">
        <v>1314</v>
      </c>
      <c r="D877" t="s">
        <v>1573</v>
      </c>
      <c r="E877" t="s">
        <v>12</v>
      </c>
      <c r="F877" t="s">
        <v>13</v>
      </c>
      <c r="G877" t="s">
        <v>1632</v>
      </c>
      <c r="H877">
        <v>7611</v>
      </c>
      <c r="I877" t="s">
        <v>1802</v>
      </c>
      <c r="J877" t="s">
        <v>1803</v>
      </c>
      <c r="K877" t="s">
        <v>17</v>
      </c>
      <c r="L877" t="str">
        <f t="shared" si="13"/>
        <v xml:space="preserve">{ longitude: -63.5742517316435, latitude: 44.6702128356871, stopType: 'Bus Terminal Accessible', gotime: \'7611\', location: \'DARTMOUTH TRANSIT TERMINAL BAY 11\' }, </v>
      </c>
    </row>
    <row r="878" spans="1:12" x14ac:dyDescent="0.25">
      <c r="A878">
        <v>-63.400545064777603</v>
      </c>
      <c r="B878">
        <v>44.721908913238103</v>
      </c>
      <c r="C878">
        <v>53</v>
      </c>
      <c r="D878" t="s">
        <v>103</v>
      </c>
      <c r="E878" t="s">
        <v>12</v>
      </c>
      <c r="F878" t="s">
        <v>25</v>
      </c>
      <c r="G878" t="s">
        <v>1456</v>
      </c>
      <c r="H878">
        <v>8923</v>
      </c>
      <c r="I878" t="s">
        <v>1804</v>
      </c>
      <c r="J878" t="s">
        <v>1805</v>
      </c>
      <c r="K878" t="s">
        <v>17</v>
      </c>
      <c r="L878" t="str">
        <f t="shared" si="13"/>
        <v xml:space="preserve">{ longitude: -63.4005450647776, latitude: 44.7219089132381, stopType: 'Bus Stop Inaccessible', gotime: \'8923\', location: \'HWY 7 &lt;FS&gt; BELL ST\' }, </v>
      </c>
    </row>
    <row r="879" spans="1:12" x14ac:dyDescent="0.25">
      <c r="A879">
        <v>-63.574486575858302</v>
      </c>
      <c r="B879">
        <v>44.6703433243094</v>
      </c>
      <c r="C879">
        <v>1315</v>
      </c>
      <c r="D879" t="s">
        <v>1573</v>
      </c>
      <c r="E879" t="s">
        <v>12</v>
      </c>
      <c r="F879" t="s">
        <v>13</v>
      </c>
      <c r="G879" t="s">
        <v>1632</v>
      </c>
      <c r="H879">
        <v>7612</v>
      </c>
      <c r="I879" t="s">
        <v>1806</v>
      </c>
      <c r="J879" t="s">
        <v>1807</v>
      </c>
      <c r="K879" t="s">
        <v>17</v>
      </c>
      <c r="L879" t="str">
        <f t="shared" si="13"/>
        <v xml:space="preserve">{ longitude: -63.5744865758583, latitude: 44.6703433243094, stopType: 'Bus Terminal Accessible', gotime: \'7612\', location: \'DARTMOUTH TRANSIT TERMINAL BAY 12\' }, </v>
      </c>
    </row>
    <row r="880" spans="1:12" x14ac:dyDescent="0.25">
      <c r="A880">
        <v>-63.526396408963997</v>
      </c>
      <c r="B880">
        <v>44.678462564108202</v>
      </c>
      <c r="C880">
        <v>54</v>
      </c>
      <c r="D880" t="s">
        <v>29</v>
      </c>
      <c r="E880" t="s">
        <v>12</v>
      </c>
      <c r="F880" t="s">
        <v>25</v>
      </c>
      <c r="G880" t="s">
        <v>19</v>
      </c>
      <c r="H880">
        <v>8590</v>
      </c>
      <c r="I880" t="s">
        <v>1808</v>
      </c>
      <c r="J880" t="s">
        <v>1809</v>
      </c>
      <c r="K880" t="s">
        <v>17</v>
      </c>
      <c r="L880" t="str">
        <f t="shared" si="13"/>
        <v xml:space="preserve">{ longitude: -63.526396408964, latitude: 44.6784625641082, stopType: 'Bus Stop Accessible', gotime: \'8590\', location: \'WOODLAWN RD AT CIVIC 54\' }, </v>
      </c>
    </row>
    <row r="881" spans="1:12" x14ac:dyDescent="0.25">
      <c r="A881">
        <v>-63.574744740029701</v>
      </c>
      <c r="B881">
        <v>44.670476380693202</v>
      </c>
      <c r="C881">
        <v>1316</v>
      </c>
      <c r="D881" t="s">
        <v>1573</v>
      </c>
      <c r="E881" t="s">
        <v>12</v>
      </c>
      <c r="F881" t="s">
        <v>13</v>
      </c>
      <c r="G881" t="s">
        <v>1632</v>
      </c>
      <c r="H881">
        <v>7613</v>
      </c>
      <c r="I881" t="s">
        <v>1810</v>
      </c>
      <c r="J881" t="s">
        <v>1811</v>
      </c>
      <c r="K881" t="s">
        <v>17</v>
      </c>
      <c r="L881" t="str">
        <f t="shared" si="13"/>
        <v xml:space="preserve">{ longitude: -63.5747447400297, latitude: 44.6704763806932, stopType: 'Bus Terminal Accessible', gotime: \'7613\', location: \'DARTMOUTH TRANSIT TERMINAL BAY 13\' }, </v>
      </c>
    </row>
    <row r="882" spans="1:12" x14ac:dyDescent="0.25">
      <c r="A882">
        <v>-63.545869711957003</v>
      </c>
      <c r="B882">
        <v>44.656662791996503</v>
      </c>
      <c r="C882">
        <v>55</v>
      </c>
      <c r="D882" t="s">
        <v>29</v>
      </c>
      <c r="E882" t="s">
        <v>12</v>
      </c>
      <c r="F882" t="s">
        <v>13</v>
      </c>
      <c r="G882" t="s">
        <v>14</v>
      </c>
      <c r="H882">
        <v>7270</v>
      </c>
      <c r="I882" t="s">
        <v>1812</v>
      </c>
      <c r="J882" t="s">
        <v>1813</v>
      </c>
      <c r="K882" t="s">
        <v>17</v>
      </c>
      <c r="L882" t="str">
        <f t="shared" si="13"/>
        <v xml:space="preserve">{ longitude: -63.545869711957, latitude: 44.6566627919965, stopType: 'Bus Stop Accessible', gotime: \'7270\', location: \'ACADIA ST AT RAGUS RD\' }, </v>
      </c>
    </row>
    <row r="883" spans="1:12" x14ac:dyDescent="0.25">
      <c r="A883">
        <v>-63.574999340317802</v>
      </c>
      <c r="B883">
        <v>44.670623696108997</v>
      </c>
      <c r="C883">
        <v>1317</v>
      </c>
      <c r="D883" t="s">
        <v>1573</v>
      </c>
      <c r="E883" t="s">
        <v>12</v>
      </c>
      <c r="F883" t="s">
        <v>13</v>
      </c>
      <c r="G883" t="s">
        <v>1632</v>
      </c>
      <c r="H883">
        <v>7614</v>
      </c>
      <c r="I883" t="s">
        <v>1814</v>
      </c>
      <c r="J883" t="s">
        <v>1815</v>
      </c>
      <c r="K883" t="s">
        <v>17</v>
      </c>
      <c r="L883" t="str">
        <f t="shared" si="13"/>
        <v xml:space="preserve">{ longitude: -63.5749993403178, latitude: 44.670623696109, stopType: 'Bus Terminal Accessible', gotime: \'7614\', location: \'DARTMOUTH TRANSIT TERMINAL BAY 14\' }, </v>
      </c>
    </row>
    <row r="884" spans="1:12" x14ac:dyDescent="0.25">
      <c r="A884">
        <v>-63.549257966401001</v>
      </c>
      <c r="B884">
        <v>44.6550830638135</v>
      </c>
      <c r="C884">
        <v>56</v>
      </c>
      <c r="D884" t="s">
        <v>29</v>
      </c>
      <c r="E884" t="s">
        <v>12</v>
      </c>
      <c r="F884" t="s">
        <v>13</v>
      </c>
      <c r="G884" t="s">
        <v>19</v>
      </c>
      <c r="H884">
        <v>7271</v>
      </c>
      <c r="I884" t="s">
        <v>1816</v>
      </c>
      <c r="J884" t="s">
        <v>1817</v>
      </c>
      <c r="K884" t="s">
        <v>17</v>
      </c>
      <c r="L884" t="str">
        <f t="shared" si="13"/>
        <v xml:space="preserve">{ longitude: -63.549257966401, latitude: 44.6550830638135, stopType: 'Bus Stop Accessible', gotime: \'7271\', location: \'ACADIA ST OPP PROFESSIONAL CENTRE\' }, </v>
      </c>
    </row>
    <row r="885" spans="1:12" x14ac:dyDescent="0.25">
      <c r="A885">
        <v>-63.575204308810697</v>
      </c>
      <c r="B885">
        <v>44.670744415597397</v>
      </c>
      <c r="C885">
        <v>1318</v>
      </c>
      <c r="D885" t="s">
        <v>1573</v>
      </c>
      <c r="E885" t="s">
        <v>12</v>
      </c>
      <c r="F885" t="s">
        <v>13</v>
      </c>
      <c r="G885" t="s">
        <v>1632</v>
      </c>
      <c r="H885">
        <v>7615</v>
      </c>
      <c r="I885" t="s">
        <v>1818</v>
      </c>
      <c r="J885" t="s">
        <v>1819</v>
      </c>
      <c r="K885" t="s">
        <v>17</v>
      </c>
      <c r="L885" t="str">
        <f t="shared" si="13"/>
        <v xml:space="preserve">{ longitude: -63.5752043088107, latitude: 44.6707444155974, stopType: 'Bus Terminal Accessible', gotime: \'7615\', location: \'DARTMOUTH TRANSIT TERMINAL BAY 15\' }, </v>
      </c>
    </row>
    <row r="886" spans="1:12" x14ac:dyDescent="0.25">
      <c r="A886">
        <v>-63.543730474757702</v>
      </c>
      <c r="B886">
        <v>44.655281705682697</v>
      </c>
      <c r="C886">
        <v>57</v>
      </c>
      <c r="D886" t="s">
        <v>11</v>
      </c>
      <c r="E886" t="s">
        <v>12</v>
      </c>
      <c r="F886" t="s">
        <v>25</v>
      </c>
      <c r="G886" t="s">
        <v>26</v>
      </c>
      <c r="H886">
        <v>7272</v>
      </c>
      <c r="I886" t="s">
        <v>1820</v>
      </c>
      <c r="J886" t="s">
        <v>1821</v>
      </c>
      <c r="K886" t="s">
        <v>17</v>
      </c>
      <c r="L886" t="str">
        <f t="shared" si="13"/>
        <v xml:space="preserve">{ longitude: -63.5437304747577, latitude: 44.6552817056827, stopType: 'Bus Stop Non-Standard', gotime: \'7272\', location: \'MT HOPE AT ERIC SPICER BLDG\' }, </v>
      </c>
    </row>
    <row r="887" spans="1:12" x14ac:dyDescent="0.25">
      <c r="A887">
        <v>-63.671550895801502</v>
      </c>
      <c r="B887">
        <v>44.7016354384876</v>
      </c>
      <c r="C887">
        <v>1319</v>
      </c>
      <c r="D887" t="s">
        <v>29</v>
      </c>
      <c r="E887" t="s">
        <v>12</v>
      </c>
      <c r="F887" t="s">
        <v>1091</v>
      </c>
      <c r="G887" t="s">
        <v>1582</v>
      </c>
      <c r="H887">
        <v>8881</v>
      </c>
      <c r="I887" t="s">
        <v>1822</v>
      </c>
      <c r="J887" t="s">
        <v>1823</v>
      </c>
      <c r="K887" t="s">
        <v>17</v>
      </c>
      <c r="L887" t="str">
        <f t="shared" si="13"/>
        <v xml:space="preserve">{ longitude: -63.6715508958015, latitude: 44.7016354384876, stopType: 'Bus Stop Accessible', gotime: \'8881\', location: \'Larry Uteck &lt;AT&gt; Civic 324\' }, </v>
      </c>
    </row>
    <row r="888" spans="1:12" x14ac:dyDescent="0.25">
      <c r="A888">
        <v>-63.616830525157901</v>
      </c>
      <c r="B888">
        <v>44.646222725904302</v>
      </c>
      <c r="C888">
        <v>58</v>
      </c>
      <c r="D888" t="s">
        <v>29</v>
      </c>
      <c r="E888" t="s">
        <v>12</v>
      </c>
      <c r="F888" t="s">
        <v>1091</v>
      </c>
      <c r="G888" t="s">
        <v>1582</v>
      </c>
      <c r="H888">
        <v>7273</v>
      </c>
      <c r="I888" t="s">
        <v>1824</v>
      </c>
      <c r="J888" t="s">
        <v>1825</v>
      </c>
      <c r="K888" t="s">
        <v>17</v>
      </c>
      <c r="L888" t="str">
        <f t="shared" si="13"/>
        <v xml:space="preserve">{ longitude: -63.6168305251579, latitude: 44.6462227259043, stopType: 'Bus Stop Accessible', gotime: \'7273\', location: \'MUMFORD RD &lt;SB&gt; &lt;NS&gt; LEPPERT ST\' }, </v>
      </c>
    </row>
    <row r="889" spans="1:12" x14ac:dyDescent="0.25">
      <c r="A889">
        <v>-63.6691568984306</v>
      </c>
      <c r="B889">
        <v>44.700314995409101</v>
      </c>
      <c r="C889">
        <v>1320</v>
      </c>
      <c r="D889" t="s">
        <v>29</v>
      </c>
      <c r="E889" t="s">
        <v>12</v>
      </c>
      <c r="F889" t="s">
        <v>1091</v>
      </c>
      <c r="G889" t="s">
        <v>1582</v>
      </c>
      <c r="H889">
        <v>8882</v>
      </c>
      <c r="I889" t="s">
        <v>1826</v>
      </c>
      <c r="J889" t="s">
        <v>1827</v>
      </c>
      <c r="K889" t="s">
        <v>17</v>
      </c>
      <c r="L889" t="str">
        <f t="shared" si="13"/>
        <v xml:space="preserve">{ longitude: -63.6691568984306, latitude: 44.7003149954091, stopType: 'Bus Stop Accessible', gotime: \'8882\', location: \'Larry Uteck &lt;NS&gt; Starboard\' }, </v>
      </c>
    </row>
    <row r="890" spans="1:12" x14ac:dyDescent="0.25">
      <c r="A890">
        <v>-63.616666403565397</v>
      </c>
      <c r="B890">
        <v>44.646110959026103</v>
      </c>
      <c r="C890">
        <v>59</v>
      </c>
      <c r="D890" t="s">
        <v>22</v>
      </c>
      <c r="E890" t="s">
        <v>12</v>
      </c>
      <c r="F890" t="s">
        <v>13</v>
      </c>
      <c r="G890" t="s">
        <v>1828</v>
      </c>
      <c r="H890">
        <v>7274</v>
      </c>
      <c r="I890" t="s">
        <v>1829</v>
      </c>
      <c r="J890" t="s">
        <v>1830</v>
      </c>
      <c r="K890" t="s">
        <v>17</v>
      </c>
      <c r="L890" t="str">
        <f t="shared" si="13"/>
        <v xml:space="preserve">{ longitude: -63.6166664035654, latitude: 44.6461109590261, stopType: 'Bus Stop Shelter Accessible', gotime: \'7274\', location: \'MUMFORD RD NS LEPPERT ST &lt;EB&gt;\' }, </v>
      </c>
    </row>
    <row r="891" spans="1:12" x14ac:dyDescent="0.25">
      <c r="A891">
        <v>-63.584930195837401</v>
      </c>
      <c r="B891">
        <v>44.638133604107502</v>
      </c>
      <c r="C891">
        <v>1321</v>
      </c>
      <c r="D891" t="s">
        <v>11</v>
      </c>
      <c r="E891" t="s">
        <v>12</v>
      </c>
      <c r="F891" t="s">
        <v>1091</v>
      </c>
      <c r="G891" t="s">
        <v>1582</v>
      </c>
      <c r="H891">
        <v>8883</v>
      </c>
      <c r="I891" t="s">
        <v>1831</v>
      </c>
      <c r="J891" t="s">
        <v>1832</v>
      </c>
      <c r="K891" t="s">
        <v>17</v>
      </c>
      <c r="L891" t="str">
        <f t="shared" si="13"/>
        <v xml:space="preserve">{ longitude: -63.5849301958374, latitude: 44.6381336041075, stopType: 'Bus Stop Non-Standard', gotime: \'8883\', location: \'UNIVERSITY AVE &lt;FS&gt; ROBIE ST\' }, </v>
      </c>
    </row>
    <row r="892" spans="1:12" x14ac:dyDescent="0.25">
      <c r="A892">
        <v>-63.615217871391302</v>
      </c>
      <c r="B892">
        <v>44.645645002507003</v>
      </c>
      <c r="C892">
        <v>60</v>
      </c>
      <c r="D892" t="s">
        <v>29</v>
      </c>
      <c r="E892" t="s">
        <v>12</v>
      </c>
      <c r="F892" t="s">
        <v>13</v>
      </c>
      <c r="G892" t="s">
        <v>19</v>
      </c>
      <c r="H892">
        <v>7275</v>
      </c>
      <c r="I892" t="s">
        <v>1833</v>
      </c>
      <c r="J892" t="s">
        <v>1834</v>
      </c>
      <c r="K892" t="s">
        <v>17</v>
      </c>
      <c r="L892" t="str">
        <f t="shared" si="13"/>
        <v xml:space="preserve">{ longitude: -63.6152178713913, latitude: 44.645645002507, stopType: 'Bus Stop Accessible', gotime: \'7275\', location: \'MUMFORD RD FS CHEBUCTO RD &lt;NB&gt;\' }, </v>
      </c>
    </row>
    <row r="893" spans="1:12" x14ac:dyDescent="0.25">
      <c r="A893">
        <v>-63.572223384607902</v>
      </c>
      <c r="B893">
        <v>44.641406534295001</v>
      </c>
      <c r="C893">
        <v>1322</v>
      </c>
      <c r="D893" t="s">
        <v>11</v>
      </c>
      <c r="E893" t="s">
        <v>12</v>
      </c>
      <c r="F893" t="s">
        <v>1091</v>
      </c>
      <c r="G893" t="s">
        <v>1582</v>
      </c>
      <c r="H893">
        <v>8884</v>
      </c>
      <c r="I893" t="s">
        <v>1835</v>
      </c>
      <c r="J893" t="s">
        <v>1836</v>
      </c>
      <c r="K893" t="s">
        <v>17</v>
      </c>
      <c r="L893" t="str">
        <f t="shared" si="13"/>
        <v xml:space="preserve">{ longitude: -63.5722233846079, latitude: 44.641406534295, stopType: 'Bus Stop Non-Standard', gotime: \'8884\', location: \'MORRIS ST &lt;AT&gt; CIVIC 5234\' }, </v>
      </c>
    </row>
    <row r="894" spans="1:12" x14ac:dyDescent="0.25">
      <c r="A894">
        <v>-63.615552773385303</v>
      </c>
      <c r="B894">
        <v>44.645797982919802</v>
      </c>
      <c r="C894">
        <v>61</v>
      </c>
      <c r="D894" t="s">
        <v>29</v>
      </c>
      <c r="E894" t="s">
        <v>12</v>
      </c>
      <c r="F894" t="s">
        <v>13</v>
      </c>
      <c r="G894" t="s">
        <v>14</v>
      </c>
      <c r="H894">
        <v>7276</v>
      </c>
      <c r="I894" t="s">
        <v>1837</v>
      </c>
      <c r="J894" t="s">
        <v>1838</v>
      </c>
      <c r="K894" t="s">
        <v>17</v>
      </c>
      <c r="L894" t="str">
        <f t="shared" si="13"/>
        <v xml:space="preserve">{ longitude: -63.6155527733853, latitude: 44.6457979829198, stopType: 'Bus Stop Accessible', gotime: \'7276\', location: \'MUMFORD RD FS CHEBUCTO RD [IB]\' }, </v>
      </c>
    </row>
    <row r="895" spans="1:12" x14ac:dyDescent="0.25">
      <c r="A895">
        <v>-63.571852147534301</v>
      </c>
      <c r="B895">
        <v>44.641665921775001</v>
      </c>
      <c r="C895">
        <v>1323</v>
      </c>
      <c r="D895" t="s">
        <v>11</v>
      </c>
      <c r="E895" t="s">
        <v>12</v>
      </c>
      <c r="F895" t="s">
        <v>1091</v>
      </c>
      <c r="G895" t="s">
        <v>1582</v>
      </c>
      <c r="H895">
        <v>8885</v>
      </c>
      <c r="I895" t="s">
        <v>1839</v>
      </c>
      <c r="J895" t="s">
        <v>1840</v>
      </c>
      <c r="K895" t="s">
        <v>17</v>
      </c>
      <c r="L895" t="str">
        <f t="shared" si="13"/>
        <v xml:space="preserve">{ longitude: -63.5718521475343, latitude: 44.641665921775, stopType: 'Bus Stop Non-Standard', gotime: \'8885\', location: \'MORRIS ST &lt;AT&gt; OBRIEN HALL\' }, </v>
      </c>
    </row>
    <row r="896" spans="1:12" x14ac:dyDescent="0.25">
      <c r="A896">
        <v>-63.624222939080703</v>
      </c>
      <c r="B896">
        <v>44.649403781192902</v>
      </c>
      <c r="C896">
        <v>62</v>
      </c>
      <c r="D896" t="s">
        <v>22</v>
      </c>
      <c r="E896" t="s">
        <v>12</v>
      </c>
      <c r="F896" t="s">
        <v>13</v>
      </c>
      <c r="G896" t="s">
        <v>19</v>
      </c>
      <c r="H896">
        <v>7277</v>
      </c>
      <c r="I896" t="s">
        <v>1841</v>
      </c>
      <c r="J896" t="s">
        <v>1842</v>
      </c>
      <c r="K896" t="s">
        <v>17</v>
      </c>
      <c r="L896" t="str">
        <f t="shared" si="13"/>
        <v xml:space="preserve">{ longitude: -63.6242229390807, latitude: 44.6494037811929, stopType: 'Bus Stop Shelter Accessible', gotime: \'7277\', location: \'MUMFORD RD FS OLIVET ST &lt;SB&gt;\' }, </v>
      </c>
    </row>
    <row r="897" spans="1:12" x14ac:dyDescent="0.25">
      <c r="A897">
        <v>-63.668966492399001</v>
      </c>
      <c r="B897">
        <v>44.7003367195151</v>
      </c>
      <c r="C897">
        <v>1324</v>
      </c>
      <c r="D897" t="s">
        <v>29</v>
      </c>
      <c r="E897" t="s">
        <v>12</v>
      </c>
      <c r="F897" t="s">
        <v>1091</v>
      </c>
      <c r="G897" t="s">
        <v>1582</v>
      </c>
      <c r="H897">
        <v>8873</v>
      </c>
      <c r="I897" t="s">
        <v>1843</v>
      </c>
      <c r="J897" t="s">
        <v>1844</v>
      </c>
      <c r="K897" t="s">
        <v>17</v>
      </c>
      <c r="L897" t="str">
        <f t="shared" si="13"/>
        <v xml:space="preserve">{ longitude: -63.668966492399, latitude: 44.7003367195151, stopType: 'Bus Stop Accessible', gotime: \'8873\', location: \'LARRY UTECK BLVD &lt;FS&gt; STARBOARD\' }, </v>
      </c>
    </row>
    <row r="898" spans="1:12" x14ac:dyDescent="0.25">
      <c r="A898">
        <v>-63.626764068417302</v>
      </c>
      <c r="B898">
        <v>44.649043989761601</v>
      </c>
      <c r="C898">
        <v>63</v>
      </c>
      <c r="D898" t="s">
        <v>22</v>
      </c>
      <c r="E898" t="s">
        <v>12</v>
      </c>
      <c r="F898" t="s">
        <v>25</v>
      </c>
      <c r="G898" t="s">
        <v>19</v>
      </c>
      <c r="H898">
        <v>7279</v>
      </c>
      <c r="I898" t="s">
        <v>1845</v>
      </c>
      <c r="J898" t="s">
        <v>1846</v>
      </c>
      <c r="K898" t="s">
        <v>17</v>
      </c>
      <c r="L898" t="str">
        <f t="shared" si="13"/>
        <v xml:space="preserve">{ longitude: -63.6267640684173, latitude: 44.6490439897616, stopType: 'Bus Stop Shelter Accessible', gotime: \'7279\', location: \'MUMFORD RD FS OPP HELMOCK ST\' }, </v>
      </c>
    </row>
    <row r="899" spans="1:12" x14ac:dyDescent="0.25">
      <c r="A899">
        <v>-63.672351050288398</v>
      </c>
      <c r="B899">
        <v>44.701981726637698</v>
      </c>
      <c r="C899">
        <v>1325</v>
      </c>
      <c r="D899" t="s">
        <v>29</v>
      </c>
      <c r="E899" t="s">
        <v>12</v>
      </c>
      <c r="F899" t="s">
        <v>1091</v>
      </c>
      <c r="G899" t="s">
        <v>1582</v>
      </c>
      <c r="H899">
        <v>8874</v>
      </c>
      <c r="I899" t="s">
        <v>1847</v>
      </c>
      <c r="J899" t="s">
        <v>1848</v>
      </c>
      <c r="K899" t="s">
        <v>17</v>
      </c>
      <c r="L899" t="str">
        <f t="shared" ref="L899:L962" si="14">CONCATENATE( "{ longitude: ", A899, ", latitude: ", B899, ", stopType: '", D899, "', gotime: \'", H899, "\', location: \'", I899, "\' }, ")</f>
        <v xml:space="preserve">{ longitude: -63.6723510502884, latitude: 44.7019817266377, stopType: 'Bus Stop Accessible', gotime: \'8874\', location: \'Larry Uteck &lt;AT&gt; Civic 361 (THE GARDENS)\' }, </v>
      </c>
    </row>
    <row r="900" spans="1:12" x14ac:dyDescent="0.25">
      <c r="A900">
        <v>-63.6277405456227</v>
      </c>
      <c r="B900">
        <v>44.649049832198102</v>
      </c>
      <c r="C900">
        <v>64</v>
      </c>
      <c r="D900" t="s">
        <v>29</v>
      </c>
      <c r="E900" t="s">
        <v>12</v>
      </c>
      <c r="F900" t="s">
        <v>13</v>
      </c>
      <c r="G900" t="s">
        <v>14</v>
      </c>
      <c r="H900">
        <v>7280</v>
      </c>
      <c r="I900" t="s">
        <v>1849</v>
      </c>
      <c r="J900" t="s">
        <v>1850</v>
      </c>
      <c r="K900" t="s">
        <v>17</v>
      </c>
      <c r="L900" t="str">
        <f t="shared" si="14"/>
        <v xml:space="preserve">{ longitude: -63.6277405456227, latitude: 44.6490498321981, stopType: 'Bus Stop Accessible', gotime: \'7280\', location: \'MUMFORD RD NS ASHBURN\' }, </v>
      </c>
    </row>
    <row r="901" spans="1:12" x14ac:dyDescent="0.25">
      <c r="A901">
        <v>-63.676013285654399</v>
      </c>
      <c r="B901">
        <v>44.701948763486598</v>
      </c>
      <c r="C901">
        <v>1326</v>
      </c>
      <c r="D901" t="s">
        <v>29</v>
      </c>
      <c r="E901" t="s">
        <v>12</v>
      </c>
      <c r="F901" t="s">
        <v>1091</v>
      </c>
      <c r="G901" t="s">
        <v>1582</v>
      </c>
      <c r="H901">
        <v>8875</v>
      </c>
      <c r="I901" t="s">
        <v>1851</v>
      </c>
      <c r="J901" t="s">
        <v>1852</v>
      </c>
      <c r="K901" t="s">
        <v>17</v>
      </c>
      <c r="L901" t="str">
        <f t="shared" si="14"/>
        <v xml:space="preserve">{ longitude: -63.6760132856544, latitude: 44.7019487634866, stopType: 'Bus Stop Accessible', gotime: \'8875\', location: \'Larry Uteck &lt;NS&gt; Southgate\' }, </v>
      </c>
    </row>
    <row r="902" spans="1:12" x14ac:dyDescent="0.25">
      <c r="A902">
        <v>-63.624463865732501</v>
      </c>
      <c r="B902">
        <v>44.649604973417198</v>
      </c>
      <c r="C902">
        <v>65</v>
      </c>
      <c r="D902" t="s">
        <v>29</v>
      </c>
      <c r="E902" t="s">
        <v>12</v>
      </c>
      <c r="F902" t="s">
        <v>13</v>
      </c>
      <c r="G902" t="s">
        <v>14</v>
      </c>
      <c r="H902">
        <v>7281</v>
      </c>
      <c r="I902" t="s">
        <v>1853</v>
      </c>
      <c r="J902" t="s">
        <v>1854</v>
      </c>
      <c r="K902" t="s">
        <v>17</v>
      </c>
      <c r="L902" t="str">
        <f t="shared" si="14"/>
        <v xml:space="preserve">{ longitude: -63.6244638657325, latitude: 44.6496049734172, stopType: 'Bus Stop Accessible', gotime: \'7281\', location: \'MUMFORD RD NS RALSTON\' }, </v>
      </c>
    </row>
    <row r="903" spans="1:12" x14ac:dyDescent="0.25">
      <c r="A903">
        <v>-63.679416629771197</v>
      </c>
      <c r="B903">
        <v>44.7008331358711</v>
      </c>
      <c r="C903">
        <v>1327</v>
      </c>
      <c r="D903" t="s">
        <v>29</v>
      </c>
      <c r="E903" t="s">
        <v>12</v>
      </c>
      <c r="F903" t="s">
        <v>1091</v>
      </c>
      <c r="G903" t="s">
        <v>1582</v>
      </c>
      <c r="H903">
        <v>8876</v>
      </c>
      <c r="I903" t="s">
        <v>1855</v>
      </c>
      <c r="J903" t="s">
        <v>1856</v>
      </c>
      <c r="K903" t="s">
        <v>17</v>
      </c>
      <c r="L903" t="str">
        <f t="shared" si="14"/>
        <v xml:space="preserve">{ longitude: -63.6794166297712, latitude: 44.7008331358711, stopType: 'Bus Stop Accessible', gotime: \'8876\', location: \'Larry Uteck &lt;OP&gt; Ecole Secondaire du Sommet\' }, </v>
      </c>
    </row>
    <row r="904" spans="1:12" x14ac:dyDescent="0.25">
      <c r="A904">
        <v>-63.618390260573797</v>
      </c>
      <c r="B904">
        <v>44.6467394298096</v>
      </c>
      <c r="C904">
        <v>66</v>
      </c>
      <c r="D904" t="s">
        <v>29</v>
      </c>
      <c r="E904" t="s">
        <v>12</v>
      </c>
      <c r="F904" t="s">
        <v>13</v>
      </c>
      <c r="G904" t="s">
        <v>19</v>
      </c>
      <c r="H904">
        <v>7282</v>
      </c>
      <c r="I904" t="s">
        <v>1857</v>
      </c>
      <c r="J904" t="s">
        <v>1858</v>
      </c>
      <c r="K904" t="s">
        <v>17</v>
      </c>
      <c r="L904" t="str">
        <f t="shared" si="14"/>
        <v xml:space="preserve">{ longitude: -63.6183902605738, latitude: 44.6467394298096, stopType: 'Bus Stop Accessible', gotime: \'7282\', location: \'MUMFORD RD OPP ST AGNES SCHOOL (RT 20 DOWNTOWN)\' }, </v>
      </c>
    </row>
    <row r="905" spans="1:12" x14ac:dyDescent="0.25">
      <c r="A905">
        <v>-63.682683327516003</v>
      </c>
      <c r="B905">
        <v>44.7006671196554</v>
      </c>
      <c r="C905">
        <v>1328</v>
      </c>
      <c r="D905" t="s">
        <v>29</v>
      </c>
      <c r="E905" t="s">
        <v>12</v>
      </c>
      <c r="F905" t="s">
        <v>1091</v>
      </c>
      <c r="G905" t="s">
        <v>1582</v>
      </c>
      <c r="H905">
        <v>8877</v>
      </c>
      <c r="I905" t="s">
        <v>1859</v>
      </c>
      <c r="J905" t="s">
        <v>1860</v>
      </c>
      <c r="K905" t="s">
        <v>17</v>
      </c>
      <c r="L905" t="str">
        <f t="shared" si="14"/>
        <v xml:space="preserve">{ longitude: -63.682683327516, latitude: 44.7006671196554, stopType: 'Bus Stop Accessible', gotime: \'8877\', location: \'Larry Uteck &lt;NS&gt; Roundabout\' }, </v>
      </c>
    </row>
    <row r="906" spans="1:12" x14ac:dyDescent="0.25">
      <c r="A906">
        <v>-63.618251678193701</v>
      </c>
      <c r="B906">
        <v>44.646683371287402</v>
      </c>
      <c r="C906">
        <v>67</v>
      </c>
      <c r="D906" t="s">
        <v>29</v>
      </c>
      <c r="E906" t="s">
        <v>12</v>
      </c>
      <c r="F906" t="s">
        <v>13</v>
      </c>
      <c r="G906" t="s">
        <v>14</v>
      </c>
      <c r="H906">
        <v>7283</v>
      </c>
      <c r="I906" t="s">
        <v>1861</v>
      </c>
      <c r="J906" t="s">
        <v>1862</v>
      </c>
      <c r="K906" t="s">
        <v>17</v>
      </c>
      <c r="L906" t="str">
        <f t="shared" si="14"/>
        <v xml:space="preserve">{ longitude: -63.6182516781937, latitude: 44.6466833712874, stopType: 'Bus Stop Accessible', gotime: \'7283\', location: \'MUMFORD RD OPP ST AGNES SCHOOL\' }, </v>
      </c>
    </row>
    <row r="907" spans="1:12" x14ac:dyDescent="0.25">
      <c r="A907">
        <v>-63.564150000237099</v>
      </c>
      <c r="B907">
        <v>44.562733333469097</v>
      </c>
      <c r="C907">
        <v>1329</v>
      </c>
      <c r="D907" t="s">
        <v>11</v>
      </c>
      <c r="E907" t="s">
        <v>12</v>
      </c>
      <c r="F907" t="s">
        <v>1091</v>
      </c>
      <c r="G907" t="s">
        <v>1566</v>
      </c>
      <c r="H907">
        <v>7620</v>
      </c>
      <c r="I907" t="s">
        <v>1863</v>
      </c>
      <c r="J907" t="s">
        <v>1864</v>
      </c>
      <c r="K907" t="s">
        <v>17</v>
      </c>
      <c r="L907" t="str">
        <f t="shared" si="14"/>
        <v xml:space="preserve">{ longitude: -63.5641500002371, latitude: 44.5627333334691, stopType: 'Bus Stop Non-Standard', gotime: \'7620\', location: \'KETCH HARBOUR RD @ VILLAGE \' }, </v>
      </c>
    </row>
    <row r="908" spans="1:12" x14ac:dyDescent="0.25">
      <c r="A908">
        <v>-63.6212402770932</v>
      </c>
      <c r="B908">
        <v>44.648326636060503</v>
      </c>
      <c r="C908">
        <v>68</v>
      </c>
      <c r="D908" t="s">
        <v>22</v>
      </c>
      <c r="E908" t="s">
        <v>12</v>
      </c>
      <c r="F908" t="s">
        <v>25</v>
      </c>
      <c r="G908" t="s">
        <v>19</v>
      </c>
      <c r="H908">
        <v>7284</v>
      </c>
      <c r="I908" t="s">
        <v>1865</v>
      </c>
      <c r="J908" t="s">
        <v>1866</v>
      </c>
      <c r="K908" t="s">
        <v>17</v>
      </c>
      <c r="L908" t="str">
        <f t="shared" si="14"/>
        <v xml:space="preserve">{ longitude: -63.6212402770932, latitude: 44.6483266360605, stopType: 'Bus Stop Shelter Accessible', gotime: \'7284\', location: \'MUMFORD TERMINAL - Downtown (IN TERMINAL)\' }, </v>
      </c>
    </row>
    <row r="909" spans="1:12" x14ac:dyDescent="0.25">
      <c r="A909">
        <v>-63.563099999776803</v>
      </c>
      <c r="B909">
        <v>44.560166666558999</v>
      </c>
      <c r="C909">
        <v>1330</v>
      </c>
      <c r="D909" t="s">
        <v>11</v>
      </c>
      <c r="E909" t="s">
        <v>12</v>
      </c>
      <c r="F909" t="s">
        <v>1091</v>
      </c>
      <c r="G909" t="s">
        <v>1566</v>
      </c>
      <c r="H909">
        <v>7621</v>
      </c>
      <c r="I909" t="s">
        <v>1867</v>
      </c>
      <c r="J909" t="s">
        <v>1868</v>
      </c>
      <c r="K909" t="s">
        <v>17</v>
      </c>
      <c r="L909" t="str">
        <f t="shared" si="14"/>
        <v xml:space="preserve">{ longitude: -63.5630999997768, latitude: 44.560166666559, stopType: 'Bus Stop Non-Standard', gotime: \'7621\', location: \'KETCH HARBOUR RD @ 139 ( @ MAILBOXES) \' }, </v>
      </c>
    </row>
    <row r="910" spans="1:12" x14ac:dyDescent="0.25">
      <c r="A910">
        <v>-63.621466316138701</v>
      </c>
      <c r="B910">
        <v>44.6483856137068</v>
      </c>
      <c r="C910">
        <v>69</v>
      </c>
      <c r="D910" t="s">
        <v>22</v>
      </c>
      <c r="E910" t="s">
        <v>12</v>
      </c>
      <c r="F910" t="s">
        <v>13</v>
      </c>
      <c r="G910" t="s">
        <v>19</v>
      </c>
      <c r="H910">
        <v>7285</v>
      </c>
      <c r="I910" t="s">
        <v>1869</v>
      </c>
      <c r="J910" t="s">
        <v>1870</v>
      </c>
      <c r="K910" t="s">
        <v>17</v>
      </c>
      <c r="L910" t="str">
        <f t="shared" si="14"/>
        <v xml:space="preserve">{ longitude: -63.6214663161387, latitude: 44.6483856137068, stopType: 'Bus Stop Shelter Accessible', gotime: \'7285\', location: \'MUMFORD TERMINAL - Downtown (ON MUMFORD RD)\' }, </v>
      </c>
    </row>
    <row r="911" spans="1:12" x14ac:dyDescent="0.25">
      <c r="A911">
        <v>-63.557283333552299</v>
      </c>
      <c r="B911">
        <v>44.549550000159599</v>
      </c>
      <c r="C911">
        <v>1331</v>
      </c>
      <c r="D911" t="s">
        <v>11</v>
      </c>
      <c r="E911" t="s">
        <v>12</v>
      </c>
      <c r="F911" t="s">
        <v>1091</v>
      </c>
      <c r="G911" t="s">
        <v>1566</v>
      </c>
      <c r="H911">
        <v>7622</v>
      </c>
      <c r="I911" t="s">
        <v>1871</v>
      </c>
      <c r="J911" t="s">
        <v>1872</v>
      </c>
      <c r="K911" t="s">
        <v>17</v>
      </c>
      <c r="L911" t="str">
        <f t="shared" si="14"/>
        <v xml:space="preserve">{ longitude: -63.5572833335523, latitude: 44.5495500001596, stopType: 'Bus Stop Non-Standard', gotime: \'7622\', location: \'KETCH HARBOUR RD  FS OP ASHLEY \' }, </v>
      </c>
    </row>
    <row r="912" spans="1:12" x14ac:dyDescent="0.25">
      <c r="A912">
        <v>-63.675563760289101</v>
      </c>
      <c r="B912">
        <v>44.782610787513804</v>
      </c>
      <c r="C912">
        <v>70</v>
      </c>
      <c r="D912" t="s">
        <v>29</v>
      </c>
      <c r="E912" t="s">
        <v>12</v>
      </c>
      <c r="F912" t="s">
        <v>25</v>
      </c>
      <c r="G912" t="s">
        <v>26</v>
      </c>
      <c r="H912">
        <v>7286</v>
      </c>
      <c r="I912" t="s">
        <v>1873</v>
      </c>
      <c r="J912" t="s">
        <v>1874</v>
      </c>
      <c r="K912" t="s">
        <v>17</v>
      </c>
      <c r="L912" t="str">
        <f t="shared" si="14"/>
        <v xml:space="preserve">{ longitude: -63.6755637602891, latitude: 44.7826107875138, stopType: 'Bus Stop Accessible', gotime: \'7286\', location: \'NAPPAN FS CIVIC 59\' }, </v>
      </c>
    </row>
    <row r="913" spans="1:12" x14ac:dyDescent="0.25">
      <c r="A913">
        <v>-63.553966666267101</v>
      </c>
      <c r="B913">
        <v>44.545899999455003</v>
      </c>
      <c r="C913">
        <v>1332</v>
      </c>
      <c r="D913" t="s">
        <v>11</v>
      </c>
      <c r="E913" t="s">
        <v>12</v>
      </c>
      <c r="F913" t="s">
        <v>1091</v>
      </c>
      <c r="G913" t="s">
        <v>1566</v>
      </c>
      <c r="H913">
        <v>7623</v>
      </c>
      <c r="I913" t="s">
        <v>1875</v>
      </c>
      <c r="J913" t="s">
        <v>1876</v>
      </c>
      <c r="K913" t="s">
        <v>17</v>
      </c>
      <c r="L913" t="str">
        <f t="shared" si="14"/>
        <v xml:space="preserve">{ longitude: -63.5539666662671, latitude: 44.545899999455, stopType: 'Bus Stop Non-Standard', gotime: \'7623\', location: \'KETCH HARBOUR RD OPP NS KITTIWAKE \' }, </v>
      </c>
    </row>
    <row r="914" spans="1:12" x14ac:dyDescent="0.25">
      <c r="A914">
        <v>-63.6769521668297</v>
      </c>
      <c r="B914">
        <v>44.784501711052201</v>
      </c>
      <c r="C914">
        <v>71</v>
      </c>
      <c r="D914" t="s">
        <v>29</v>
      </c>
      <c r="E914" t="s">
        <v>12</v>
      </c>
      <c r="F914" t="s">
        <v>25</v>
      </c>
      <c r="G914" t="s">
        <v>26</v>
      </c>
      <c r="H914">
        <v>7287</v>
      </c>
      <c r="I914" t="s">
        <v>1877</v>
      </c>
      <c r="J914" t="s">
        <v>1878</v>
      </c>
      <c r="K914" t="s">
        <v>17</v>
      </c>
      <c r="L914" t="str">
        <f t="shared" si="14"/>
        <v xml:space="preserve">{ longitude: -63.6769521668297, latitude: 44.7845017110522, stopType: 'Bus Stop Accessible', gotime: \'7287\', location: \'NAPPAN FS NICTAUX\' }, </v>
      </c>
    </row>
    <row r="915" spans="1:12" x14ac:dyDescent="0.25">
      <c r="A915">
        <v>-63.550233333415299</v>
      </c>
      <c r="B915">
        <v>44.5425999995851</v>
      </c>
      <c r="C915">
        <v>1333</v>
      </c>
      <c r="D915" t="s">
        <v>11</v>
      </c>
      <c r="E915" t="s">
        <v>12</v>
      </c>
      <c r="F915" t="s">
        <v>1091</v>
      </c>
      <c r="G915" t="s">
        <v>1566</v>
      </c>
      <c r="H915">
        <v>7624</v>
      </c>
      <c r="I915" t="s">
        <v>1879</v>
      </c>
      <c r="J915" t="s">
        <v>1880</v>
      </c>
      <c r="K915" t="s">
        <v>17</v>
      </c>
      <c r="L915" t="str">
        <f t="shared" si="14"/>
        <v xml:space="preserve">{ longitude: -63.5502333334153, latitude: 44.5425999995851, stopType: 'Bus Stop Non-Standard', gotime: \'7624\', location: \'KETCH HARBOUR RD OP KESTREL \' }, </v>
      </c>
    </row>
    <row r="916" spans="1:12" x14ac:dyDescent="0.25">
      <c r="A916">
        <v>-63.674987416672401</v>
      </c>
      <c r="B916">
        <v>44.782264641810201</v>
      </c>
      <c r="C916">
        <v>72</v>
      </c>
      <c r="D916" t="s">
        <v>11</v>
      </c>
      <c r="E916" t="s">
        <v>12</v>
      </c>
      <c r="F916" t="s">
        <v>25</v>
      </c>
      <c r="G916" t="s">
        <v>26</v>
      </c>
      <c r="H916">
        <v>7288</v>
      </c>
      <c r="I916" t="s">
        <v>1881</v>
      </c>
      <c r="J916" t="s">
        <v>1882</v>
      </c>
      <c r="K916" t="s">
        <v>17</v>
      </c>
      <c r="L916" t="str">
        <f t="shared" si="14"/>
        <v xml:space="preserve">{ longitude: -63.6749874166724, latitude: 44.7822646418102, stopType: 'Bus Stop Non-Standard', gotime: \'7288\', location: \'NAPPAN NS NEWCOMBE DR\' }, </v>
      </c>
    </row>
    <row r="917" spans="1:12" x14ac:dyDescent="0.25">
      <c r="A917">
        <v>-63.5477166677395</v>
      </c>
      <c r="B917">
        <v>44.539883333178601</v>
      </c>
      <c r="C917">
        <v>1334</v>
      </c>
      <c r="D917" t="s">
        <v>11</v>
      </c>
      <c r="E917" t="s">
        <v>12</v>
      </c>
      <c r="F917" t="s">
        <v>1091</v>
      </c>
      <c r="G917" t="s">
        <v>1566</v>
      </c>
      <c r="H917">
        <v>7625</v>
      </c>
      <c r="I917" t="s">
        <v>1883</v>
      </c>
      <c r="J917" t="s">
        <v>1884</v>
      </c>
      <c r="K917" t="s">
        <v>17</v>
      </c>
      <c r="L917" t="str">
        <f t="shared" si="14"/>
        <v xml:space="preserve">{ longitude: -63.5477166677395, latitude: 44.5398833331786, stopType: 'Bus Stop Non-Standard', gotime: \'7625\', location: \'KETCH HARBOUR RD OP 438 \' }, </v>
      </c>
    </row>
    <row r="918" spans="1:12" x14ac:dyDescent="0.25">
      <c r="A918">
        <v>-63.677011252778598</v>
      </c>
      <c r="B918">
        <v>44.784790122840697</v>
      </c>
      <c r="C918">
        <v>73</v>
      </c>
      <c r="D918" t="s">
        <v>11</v>
      </c>
      <c r="E918" t="s">
        <v>12</v>
      </c>
      <c r="F918" t="s">
        <v>25</v>
      </c>
      <c r="G918" t="s">
        <v>26</v>
      </c>
      <c r="H918">
        <v>7289</v>
      </c>
      <c r="I918" t="s">
        <v>1885</v>
      </c>
      <c r="J918" t="s">
        <v>1886</v>
      </c>
      <c r="K918" t="s">
        <v>17</v>
      </c>
      <c r="L918" t="str">
        <f t="shared" si="14"/>
        <v xml:space="preserve">{ longitude: -63.6770112527786, latitude: 44.7847901228407, stopType: 'Bus Stop Non-Standard', gotime: \'7289\', location: \'NAPPAN NS NICTAUX\' }, </v>
      </c>
    </row>
    <row r="919" spans="1:12" x14ac:dyDescent="0.25">
      <c r="A919">
        <v>-63.545049999609397</v>
      </c>
      <c r="B919">
        <v>44.5363499993475</v>
      </c>
      <c r="C919">
        <v>1335</v>
      </c>
      <c r="D919" t="s">
        <v>11</v>
      </c>
      <c r="E919" t="s">
        <v>12</v>
      </c>
      <c r="F919" t="s">
        <v>1091</v>
      </c>
      <c r="G919" t="s">
        <v>1566</v>
      </c>
      <c r="H919">
        <v>7626</v>
      </c>
      <c r="I919" t="s">
        <v>1887</v>
      </c>
      <c r="J919" t="s">
        <v>1888</v>
      </c>
      <c r="K919" t="s">
        <v>17</v>
      </c>
      <c r="L919" t="str">
        <f t="shared" si="14"/>
        <v xml:space="preserve">{ longitude: -63.5450499996094, latitude: 44.5363499993475, stopType: 'Bus Stop Non-Standard', gotime: \'7626\', location: \'KETCH HARBOUR RD FS BULLFROG  (OP CIVIC 488)\' }, </v>
      </c>
    </row>
    <row r="920" spans="1:12" x14ac:dyDescent="0.25">
      <c r="A920">
        <v>-63.673343196389297</v>
      </c>
      <c r="B920">
        <v>44.782369745923603</v>
      </c>
      <c r="C920">
        <v>74</v>
      </c>
      <c r="D920" t="s">
        <v>103</v>
      </c>
      <c r="E920" t="s">
        <v>12</v>
      </c>
      <c r="F920" t="s">
        <v>25</v>
      </c>
      <c r="G920" t="s">
        <v>65</v>
      </c>
      <c r="H920">
        <v>7290</v>
      </c>
      <c r="I920" t="s">
        <v>1889</v>
      </c>
      <c r="J920" t="s">
        <v>1890</v>
      </c>
      <c r="K920" t="s">
        <v>17</v>
      </c>
      <c r="L920" t="str">
        <f t="shared" si="14"/>
        <v xml:space="preserve">{ longitude: -63.6733431963893, latitude: 44.7823697459236, stopType: 'Bus Stop Inaccessible', gotime: \'7290\', location: \'NICTAUX FS METROPOLITAN\' }, </v>
      </c>
    </row>
    <row r="921" spans="1:12" x14ac:dyDescent="0.25">
      <c r="A921">
        <v>-63.548520476343903</v>
      </c>
      <c r="B921">
        <v>44.649192876949002</v>
      </c>
      <c r="C921">
        <v>1336</v>
      </c>
      <c r="D921" t="s">
        <v>29</v>
      </c>
      <c r="E921" t="s">
        <v>12</v>
      </c>
      <c r="F921" t="s">
        <v>25</v>
      </c>
      <c r="G921" t="s">
        <v>26</v>
      </c>
      <c r="H921">
        <v>8607</v>
      </c>
      <c r="I921" t="s">
        <v>1891</v>
      </c>
      <c r="J921" t="s">
        <v>1892</v>
      </c>
      <c r="K921" t="s">
        <v>17</v>
      </c>
      <c r="L921" t="str">
        <f t="shared" si="14"/>
        <v xml:space="preserve">{ longitude: -63.5485204763439, latitude: 44.649192876949, stopType: 'Bus Stop Accessible', gotime: \'8607\', location: \'WOODSIDE FERRY METROLINK (165)\' }, </v>
      </c>
    </row>
    <row r="922" spans="1:12" x14ac:dyDescent="0.25">
      <c r="A922">
        <v>-63.6733453795485</v>
      </c>
      <c r="B922">
        <v>44.782216769122797</v>
      </c>
      <c r="C922">
        <v>75</v>
      </c>
      <c r="D922" t="s">
        <v>29</v>
      </c>
      <c r="E922" t="s">
        <v>12</v>
      </c>
      <c r="F922" t="s">
        <v>25</v>
      </c>
      <c r="G922" t="s">
        <v>26</v>
      </c>
      <c r="H922">
        <v>7291</v>
      </c>
      <c r="I922" t="s">
        <v>1893</v>
      </c>
      <c r="J922" t="s">
        <v>1894</v>
      </c>
      <c r="K922" t="s">
        <v>17</v>
      </c>
      <c r="L922" t="str">
        <f t="shared" si="14"/>
        <v xml:space="preserve">{ longitude: -63.6733453795485, latitude: 44.7822167691228, stopType: 'Bus Stop Accessible', gotime: \'7291\', location: \'NICTAUX NS METROPOLITAN\' }, </v>
      </c>
    </row>
    <row r="923" spans="1:12" x14ac:dyDescent="0.25">
      <c r="A923">
        <v>-63.599876409356</v>
      </c>
      <c r="B923">
        <v>44.661381884218301</v>
      </c>
      <c r="C923">
        <v>1337</v>
      </c>
      <c r="D923" t="s">
        <v>103</v>
      </c>
      <c r="E923" t="s">
        <v>12</v>
      </c>
      <c r="F923" t="s">
        <v>13</v>
      </c>
      <c r="G923" t="s">
        <v>14</v>
      </c>
      <c r="H923">
        <v>8632</v>
      </c>
      <c r="I923" t="s">
        <v>1895</v>
      </c>
      <c r="J923" t="s">
        <v>1896</v>
      </c>
      <c r="K923" t="s">
        <v>17</v>
      </c>
      <c r="L923" t="str">
        <f t="shared" si="14"/>
        <v xml:space="preserve">{ longitude: -63.599876409356, latitude: 44.6613818842183, stopType: 'Bus Stop Inaccessible', gotime: \'8632\', location: \'YOUNG ST &lt;EB&gt; NS ISLEVILLE ST\' }, </v>
      </c>
    </row>
    <row r="924" spans="1:12" x14ac:dyDescent="0.25">
      <c r="A924">
        <v>-63.715408365398801</v>
      </c>
      <c r="B924">
        <v>44.7899201410508</v>
      </c>
      <c r="C924">
        <v>76</v>
      </c>
      <c r="D924" t="s">
        <v>11</v>
      </c>
      <c r="E924" t="s">
        <v>12</v>
      </c>
      <c r="F924" t="s">
        <v>25</v>
      </c>
      <c r="G924" t="s">
        <v>26</v>
      </c>
      <c r="H924">
        <v>7292</v>
      </c>
      <c r="I924" t="s">
        <v>1897</v>
      </c>
      <c r="J924" t="s">
        <v>1898</v>
      </c>
      <c r="K924" t="s">
        <v>17</v>
      </c>
      <c r="L924" t="str">
        <f t="shared" si="14"/>
        <v xml:space="preserve">{ longitude: -63.7154083653988, latitude: 44.7899201410508, stopType: 'Bus Stop Non-Standard', gotime: \'7292\', location: \'SACKVILLE DR OPP TWIN BROOKS\' }, </v>
      </c>
    </row>
    <row r="925" spans="1:12" x14ac:dyDescent="0.25">
      <c r="A925">
        <v>-63.6042174525654</v>
      </c>
      <c r="B925">
        <v>44.658152527274602</v>
      </c>
      <c r="C925">
        <v>1338</v>
      </c>
      <c r="D925" t="s">
        <v>11</v>
      </c>
      <c r="E925" t="s">
        <v>12</v>
      </c>
      <c r="F925" t="s">
        <v>13</v>
      </c>
      <c r="G925" t="s">
        <v>14</v>
      </c>
      <c r="H925">
        <v>8633</v>
      </c>
      <c r="I925" t="s">
        <v>1899</v>
      </c>
      <c r="J925" t="s">
        <v>1900</v>
      </c>
      <c r="K925" t="s">
        <v>17</v>
      </c>
      <c r="L925" t="str">
        <f t="shared" si="14"/>
        <v xml:space="preserve">{ longitude: -63.6042174525654, latitude: 44.6581525272746, stopType: 'Bus Stop Non-Standard', gotime: \'8633\', location: \'YOUNG ST &lt;WB&gt; NS MONAGHAN\' }, </v>
      </c>
    </row>
    <row r="926" spans="1:12" x14ac:dyDescent="0.25">
      <c r="A926">
        <v>-63.715130599613097</v>
      </c>
      <c r="B926">
        <v>44.789900233259097</v>
      </c>
      <c r="C926">
        <v>77</v>
      </c>
      <c r="D926" t="s">
        <v>11</v>
      </c>
      <c r="E926" t="s">
        <v>12</v>
      </c>
      <c r="F926" t="s">
        <v>25</v>
      </c>
      <c r="G926" t="s">
        <v>26</v>
      </c>
      <c r="H926">
        <v>7293</v>
      </c>
      <c r="I926" t="s">
        <v>1901</v>
      </c>
      <c r="J926" t="s">
        <v>1902</v>
      </c>
      <c r="K926" t="s">
        <v>17</v>
      </c>
      <c r="L926" t="str">
        <f t="shared" si="14"/>
        <v xml:space="preserve">{ longitude: -63.7151305996131, latitude: 44.7899002332591, stopType: 'Bus Stop Non-Standard', gotime: \'7293\', location: \'SACKVILLE DR AT TWIN BROOKS\' }, </v>
      </c>
    </row>
    <row r="927" spans="1:12" x14ac:dyDescent="0.25">
      <c r="A927">
        <v>-63.606295072867802</v>
      </c>
      <c r="B927">
        <v>44.656905959276202</v>
      </c>
      <c r="C927">
        <v>1339</v>
      </c>
      <c r="D927" t="s">
        <v>29</v>
      </c>
      <c r="E927" t="s">
        <v>12</v>
      </c>
      <c r="F927" t="s">
        <v>13</v>
      </c>
      <c r="G927" t="s">
        <v>19</v>
      </c>
      <c r="H927">
        <v>8634</v>
      </c>
      <c r="I927" t="s">
        <v>1903</v>
      </c>
      <c r="J927" t="s">
        <v>1904</v>
      </c>
      <c r="K927" t="s">
        <v>17</v>
      </c>
      <c r="L927" t="str">
        <f t="shared" si="14"/>
        <v xml:space="preserve">{ longitude: -63.6062950728678, latitude: 44.6569059592762, stopType: 'Bus Stop Accessible', gotime: \'8634\', location: \'YOUNG ST &lt;WB&gt; NS WINDSOR ST\' }, </v>
      </c>
    </row>
    <row r="928" spans="1:12" x14ac:dyDescent="0.25">
      <c r="A928">
        <v>-63.6919401164634</v>
      </c>
      <c r="B928">
        <v>44.772756132531498</v>
      </c>
      <c r="C928">
        <v>78</v>
      </c>
      <c r="D928" t="s">
        <v>29</v>
      </c>
      <c r="E928" t="s">
        <v>12</v>
      </c>
      <c r="F928" t="s">
        <v>13</v>
      </c>
      <c r="G928" t="s">
        <v>19</v>
      </c>
      <c r="H928">
        <v>7294</v>
      </c>
      <c r="I928" t="s">
        <v>1905</v>
      </c>
      <c r="J928" t="s">
        <v>1906</v>
      </c>
      <c r="K928" t="s">
        <v>17</v>
      </c>
      <c r="L928" t="str">
        <f t="shared" si="14"/>
        <v xml:space="preserve">{ longitude: -63.6919401164634, latitude: 44.7727561325315, stopType: 'Bus Stop Accessible', gotime: \'7294\', location: \'SACKVILLE DR AT SUPERSTORE\' }, </v>
      </c>
    </row>
    <row r="929" spans="1:12" x14ac:dyDescent="0.25">
      <c r="A929">
        <v>-63.535900000038403</v>
      </c>
      <c r="B929">
        <v>44.524050000308598</v>
      </c>
      <c r="C929">
        <v>1340</v>
      </c>
      <c r="D929" t="s">
        <v>11</v>
      </c>
      <c r="E929" t="s">
        <v>12</v>
      </c>
      <c r="F929" t="s">
        <v>1091</v>
      </c>
      <c r="G929" t="s">
        <v>1566</v>
      </c>
      <c r="H929">
        <v>7628</v>
      </c>
      <c r="I929" t="s">
        <v>1907</v>
      </c>
      <c r="J929" t="s">
        <v>1908</v>
      </c>
      <c r="K929" t="s">
        <v>17</v>
      </c>
      <c r="L929" t="str">
        <f t="shared" si="14"/>
        <v xml:space="preserve">{ longitude: -63.5359000000384, latitude: 44.5240500003086, stopType: 'Bus Stop Non-Standard', gotime: \'7628\', location: \'KETCH HARBOUR RD @ 665 \' }, </v>
      </c>
    </row>
    <row r="930" spans="1:12" x14ac:dyDescent="0.25">
      <c r="A930">
        <v>-63.696592443033502</v>
      </c>
      <c r="B930">
        <v>44.777018938058902</v>
      </c>
      <c r="C930">
        <v>79</v>
      </c>
      <c r="D930" t="s">
        <v>29</v>
      </c>
      <c r="E930" t="s">
        <v>12</v>
      </c>
      <c r="F930" t="s">
        <v>25</v>
      </c>
      <c r="G930" t="s">
        <v>26</v>
      </c>
      <c r="H930">
        <v>7295</v>
      </c>
      <c r="I930" t="s">
        <v>1017</v>
      </c>
      <c r="J930" t="s">
        <v>1909</v>
      </c>
      <c r="K930" t="s">
        <v>17</v>
      </c>
      <c r="L930" t="str">
        <f t="shared" si="14"/>
        <v xml:space="preserve">{ longitude: -63.6965924430335, latitude: 44.7770189380589, stopType: 'Bus Stop Accessible', gotime: \'7295\', location: \'SACKVILLE DR FS BEAVERBANK RD\' }, </v>
      </c>
    </row>
    <row r="931" spans="1:12" x14ac:dyDescent="0.25">
      <c r="A931">
        <v>-63.535316667735003</v>
      </c>
      <c r="B931">
        <v>44.521516667609603</v>
      </c>
      <c r="C931">
        <v>1341</v>
      </c>
      <c r="D931" t="s">
        <v>11</v>
      </c>
      <c r="E931" t="s">
        <v>12</v>
      </c>
      <c r="F931" t="s">
        <v>1091</v>
      </c>
      <c r="G931" t="s">
        <v>1566</v>
      </c>
      <c r="H931">
        <v>7629</v>
      </c>
      <c r="I931" t="s">
        <v>1910</v>
      </c>
      <c r="J931" t="s">
        <v>1911</v>
      </c>
      <c r="K931" t="s">
        <v>17</v>
      </c>
      <c r="L931" t="str">
        <f t="shared" si="14"/>
        <v xml:space="preserve">{ longitude: -63.535316667735, latitude: 44.5215166676096, stopType: 'Bus Stop Non-Standard', gotime: \'7629\', location: \'KETCH HARBOUR RD FS CAMPERDOWN \' }, </v>
      </c>
    </row>
    <row r="932" spans="1:12" x14ac:dyDescent="0.25">
      <c r="A932">
        <v>-63.668046709798901</v>
      </c>
      <c r="B932">
        <v>44.7577780900113</v>
      </c>
      <c r="C932">
        <v>80</v>
      </c>
      <c r="D932" t="s">
        <v>11</v>
      </c>
      <c r="E932" t="s">
        <v>12</v>
      </c>
      <c r="F932" t="s">
        <v>25</v>
      </c>
      <c r="G932" t="s">
        <v>26</v>
      </c>
      <c r="H932">
        <v>7296</v>
      </c>
      <c r="I932" t="s">
        <v>1912</v>
      </c>
      <c r="J932" t="s">
        <v>1913</v>
      </c>
      <c r="K932" t="s">
        <v>17</v>
      </c>
      <c r="L932" t="str">
        <f t="shared" si="14"/>
        <v xml:space="preserve">{ longitude: -63.6680467097989, latitude: 44.7577780900113, stopType: 'Bus Stop Non-Standard', gotime: \'7296\', location: \'SACKVILLE DR FS HILLCREST\' }, </v>
      </c>
    </row>
    <row r="933" spans="1:12" x14ac:dyDescent="0.25">
      <c r="A933">
        <v>-63.535750000104599</v>
      </c>
      <c r="B933">
        <v>44.518750000078199</v>
      </c>
      <c r="C933">
        <v>1342</v>
      </c>
      <c r="D933" t="s">
        <v>11</v>
      </c>
      <c r="E933" t="s">
        <v>12</v>
      </c>
      <c r="F933" t="s">
        <v>1091</v>
      </c>
      <c r="G933" t="s">
        <v>1566</v>
      </c>
      <c r="H933">
        <v>7630</v>
      </c>
      <c r="I933" t="s">
        <v>1914</v>
      </c>
      <c r="J933" t="s">
        <v>1915</v>
      </c>
      <c r="K933" t="s">
        <v>17</v>
      </c>
      <c r="L933" t="str">
        <f t="shared" si="14"/>
        <v xml:space="preserve">{ longitude: -63.5357500001046, latitude: 44.5187500000782, stopType: 'Bus Stop Non-Standard', gotime: \'7630\', location: \'KETCH HARBOUR RD  @ 737 \' }, </v>
      </c>
    </row>
    <row r="934" spans="1:12" x14ac:dyDescent="0.25">
      <c r="A934">
        <v>-63.6942948307356</v>
      </c>
      <c r="B934">
        <v>44.7750588427606</v>
      </c>
      <c r="C934">
        <v>81</v>
      </c>
      <c r="D934" t="s">
        <v>29</v>
      </c>
      <c r="E934" t="s">
        <v>12</v>
      </c>
      <c r="F934" t="s">
        <v>25</v>
      </c>
      <c r="G934" t="s">
        <v>26</v>
      </c>
      <c r="H934">
        <v>7297</v>
      </c>
      <c r="I934" t="s">
        <v>1916</v>
      </c>
      <c r="J934" t="s">
        <v>1917</v>
      </c>
      <c r="K934" t="s">
        <v>17</v>
      </c>
      <c r="L934" t="str">
        <f t="shared" si="14"/>
        <v xml:space="preserve">{ longitude: -63.6942948307356, latitude: 44.7750588427606, stopType: 'Bus Stop Accessible', gotime: \'7297\', location: \'SACKVILLE DR FS IRENE AVE\' }, </v>
      </c>
    </row>
    <row r="935" spans="1:12" x14ac:dyDescent="0.25">
      <c r="A935">
        <v>-63.598055014239499</v>
      </c>
      <c r="B935">
        <v>44.703656195197603</v>
      </c>
      <c r="C935">
        <v>1343</v>
      </c>
      <c r="D935" t="s">
        <v>103</v>
      </c>
      <c r="E935" t="s">
        <v>12</v>
      </c>
      <c r="F935" t="s">
        <v>25</v>
      </c>
      <c r="G935" t="s">
        <v>65</v>
      </c>
      <c r="H935">
        <v>8608</v>
      </c>
      <c r="I935" t="s">
        <v>1918</v>
      </c>
      <c r="J935" t="s">
        <v>1919</v>
      </c>
      <c r="K935" t="s">
        <v>17</v>
      </c>
      <c r="L935" t="str">
        <f t="shared" si="14"/>
        <v xml:space="preserve">{ longitude: -63.5980550142395, latitude: 44.7036561951976, stopType: 'Bus Stop Inaccessible', gotime: \'8608\', location: \'WRIGHT AVE FS BURLEY CT\' }, </v>
      </c>
    </row>
    <row r="936" spans="1:12" x14ac:dyDescent="0.25">
      <c r="A936">
        <v>-63.409772533597902</v>
      </c>
      <c r="B936">
        <v>44.721521083704403</v>
      </c>
      <c r="C936">
        <v>82</v>
      </c>
      <c r="D936" t="s">
        <v>103</v>
      </c>
      <c r="E936" t="s">
        <v>12</v>
      </c>
      <c r="F936" t="s">
        <v>25</v>
      </c>
      <c r="G936" t="s">
        <v>1456</v>
      </c>
      <c r="H936">
        <v>8924</v>
      </c>
      <c r="I936" t="s">
        <v>1920</v>
      </c>
      <c r="J936" t="s">
        <v>1921</v>
      </c>
      <c r="K936" t="s">
        <v>17</v>
      </c>
      <c r="L936" t="str">
        <f t="shared" si="14"/>
        <v xml:space="preserve">{ longitude: -63.4097725335979, latitude: 44.7215210837044, stopType: 'Bus Stop Inaccessible', gotime: \'8924\', location: \'HWY 7 &lt;FS&gt; CIVIC 2505\' }, </v>
      </c>
    </row>
    <row r="937" spans="1:12" x14ac:dyDescent="0.25">
      <c r="A937">
        <v>-63.604115865485397</v>
      </c>
      <c r="B937">
        <v>44.698511082426698</v>
      </c>
      <c r="C937">
        <v>1344</v>
      </c>
      <c r="D937" t="s">
        <v>103</v>
      </c>
      <c r="E937" t="s">
        <v>12</v>
      </c>
      <c r="F937" t="s">
        <v>25</v>
      </c>
      <c r="G937" t="s">
        <v>65</v>
      </c>
      <c r="H937">
        <v>8609</v>
      </c>
      <c r="I937" t="s">
        <v>1922</v>
      </c>
      <c r="J937" t="s">
        <v>1923</v>
      </c>
      <c r="K937" t="s">
        <v>17</v>
      </c>
      <c r="L937" t="str">
        <f t="shared" si="14"/>
        <v xml:space="preserve">{ longitude: -63.6041158654854, latitude: 44.6985110824267, stopType: 'Bus Stop Inaccessible', gotime: \'8609\', location: \'WRIGHT AVE FS WINDMILL RD\' }, </v>
      </c>
    </row>
    <row r="938" spans="1:12" x14ac:dyDescent="0.25">
      <c r="A938">
        <v>-63.416328650679397</v>
      </c>
      <c r="B938">
        <v>44.722327599644501</v>
      </c>
      <c r="C938">
        <v>83</v>
      </c>
      <c r="D938" t="s">
        <v>103</v>
      </c>
      <c r="E938" t="s">
        <v>12</v>
      </c>
      <c r="F938" t="s">
        <v>25</v>
      </c>
      <c r="G938" t="s">
        <v>1456</v>
      </c>
      <c r="H938">
        <v>8925</v>
      </c>
      <c r="I938" t="s">
        <v>1924</v>
      </c>
      <c r="J938" t="s">
        <v>1925</v>
      </c>
      <c r="K938" t="s">
        <v>17</v>
      </c>
      <c r="L938" t="str">
        <f t="shared" si="14"/>
        <v xml:space="preserve">{ longitude: -63.4163286506794, latitude: 44.7223275996445, stopType: 'Bus Stop Inaccessible', gotime: \'8925\', location: \'HWY 7 &lt;NS&gt; CIVIC 2365\' }, </v>
      </c>
    </row>
    <row r="939" spans="1:12" x14ac:dyDescent="0.25">
      <c r="A939">
        <v>-63.5981917126485</v>
      </c>
      <c r="B939">
        <v>44.703792270026298</v>
      </c>
      <c r="C939">
        <v>1345</v>
      </c>
      <c r="D939" t="s">
        <v>103</v>
      </c>
      <c r="E939" t="s">
        <v>12</v>
      </c>
      <c r="F939" t="s">
        <v>25</v>
      </c>
      <c r="G939" t="s">
        <v>65</v>
      </c>
      <c r="H939">
        <v>8610</v>
      </c>
      <c r="I939" t="s">
        <v>1926</v>
      </c>
      <c r="J939" t="s">
        <v>1927</v>
      </c>
      <c r="K939" t="s">
        <v>17</v>
      </c>
      <c r="L939" t="str">
        <f t="shared" si="14"/>
        <v xml:space="preserve">{ longitude: -63.5981917126485, latitude: 44.7037922700263, stopType: 'Bus Stop Inaccessible', gotime: \'8610\', location: \'WRIGHT AVE NS FIELDING AVE\' }, </v>
      </c>
    </row>
    <row r="940" spans="1:12" x14ac:dyDescent="0.25">
      <c r="A940">
        <v>-63.419587164150997</v>
      </c>
      <c r="B940">
        <v>44.726251675050797</v>
      </c>
      <c r="C940">
        <v>84</v>
      </c>
      <c r="D940" t="s">
        <v>103</v>
      </c>
      <c r="E940" t="s">
        <v>12</v>
      </c>
      <c r="F940" t="s">
        <v>25</v>
      </c>
      <c r="G940" t="s">
        <v>1456</v>
      </c>
      <c r="H940">
        <v>8926</v>
      </c>
      <c r="I940" t="s">
        <v>1928</v>
      </c>
      <c r="J940" t="s">
        <v>1929</v>
      </c>
      <c r="K940" t="s">
        <v>17</v>
      </c>
      <c r="L940" t="str">
        <f t="shared" si="14"/>
        <v xml:space="preserve">{ longitude: -63.419587164151, latitude: 44.7262516750508, stopType: 'Bus Stop Inaccessible', gotime: \'8926\', location: \'UPPER PARTRIDGE RIVER RD &lt;OP&gt; CIVIC 102\' }, </v>
      </c>
    </row>
    <row r="941" spans="1:12" x14ac:dyDescent="0.25">
      <c r="A941">
        <v>-63.6018922130486</v>
      </c>
      <c r="B941">
        <v>44.700068022493198</v>
      </c>
      <c r="C941">
        <v>1346</v>
      </c>
      <c r="D941" t="s">
        <v>11</v>
      </c>
      <c r="E941" t="s">
        <v>12</v>
      </c>
      <c r="F941" t="s">
        <v>13</v>
      </c>
      <c r="G941" t="s">
        <v>14</v>
      </c>
      <c r="H941">
        <v>8611</v>
      </c>
      <c r="I941" t="s">
        <v>1930</v>
      </c>
      <c r="J941" t="s">
        <v>1931</v>
      </c>
      <c r="K941" t="s">
        <v>17</v>
      </c>
      <c r="L941" t="str">
        <f t="shared" si="14"/>
        <v xml:space="preserve">{ longitude: -63.6018922130486, latitude: 44.7000680224932, stopType: 'Bus Stop Non-Standard', gotime: \'8611\', location: \'WRIGHT AVE OPP MCCURDY AVE\' }, </v>
      </c>
    </row>
    <row r="942" spans="1:12" x14ac:dyDescent="0.25">
      <c r="A942">
        <v>-63.4208277950314</v>
      </c>
      <c r="B942">
        <v>44.728239768470303</v>
      </c>
      <c r="C942">
        <v>85</v>
      </c>
      <c r="D942" t="s">
        <v>103</v>
      </c>
      <c r="E942" t="s">
        <v>12</v>
      </c>
      <c r="F942" t="s">
        <v>25</v>
      </c>
      <c r="G942" t="s">
        <v>1456</v>
      </c>
      <c r="H942">
        <v>8927</v>
      </c>
      <c r="I942" t="s">
        <v>1932</v>
      </c>
      <c r="J942" s="1" t="s">
        <v>1933</v>
      </c>
      <c r="K942" t="s">
        <v>17</v>
      </c>
      <c r="L942" t="str">
        <f t="shared" si="14"/>
        <v xml:space="preserve">{ longitude: -63.4208277950314, latitude: 44.7282397684703, stopType: 'Bus Stop Inaccessible', gotime: \'8927\', location: \'BROOKS RD &lt;OP&gt; CIVIC 377\' }, </v>
      </c>
    </row>
    <row r="943" spans="1:12" x14ac:dyDescent="0.25">
      <c r="A943">
        <v>-63.581865709367101</v>
      </c>
      <c r="B943">
        <v>44.672442191932397</v>
      </c>
      <c r="C943">
        <v>1347</v>
      </c>
      <c r="D943" t="s">
        <v>29</v>
      </c>
      <c r="E943" t="s">
        <v>12</v>
      </c>
      <c r="F943" t="s">
        <v>25</v>
      </c>
      <c r="G943" t="s">
        <v>19</v>
      </c>
      <c r="H943">
        <v>8612</v>
      </c>
      <c r="I943" t="s">
        <v>1934</v>
      </c>
      <c r="J943" t="s">
        <v>1935</v>
      </c>
      <c r="K943" t="s">
        <v>17</v>
      </c>
      <c r="L943" t="str">
        <f t="shared" si="14"/>
        <v xml:space="preserve">{ longitude: -63.5818657093671, latitude: 44.6724421919324, stopType: 'Bus Stop Accessible', gotime: \'8612\', location: \'WYSE RD FS BOLAND RD\' }, </v>
      </c>
    </row>
    <row r="944" spans="1:12" x14ac:dyDescent="0.25">
      <c r="A944">
        <v>-63.426986343786098</v>
      </c>
      <c r="B944">
        <v>44.726660754749297</v>
      </c>
      <c r="C944">
        <v>86</v>
      </c>
      <c r="D944" t="s">
        <v>103</v>
      </c>
      <c r="E944" t="s">
        <v>12</v>
      </c>
      <c r="F944" t="s">
        <v>25</v>
      </c>
      <c r="G944" t="s">
        <v>1456</v>
      </c>
      <c r="H944">
        <v>8928</v>
      </c>
      <c r="I944" t="s">
        <v>1936</v>
      </c>
      <c r="J944" t="s">
        <v>1937</v>
      </c>
      <c r="K944" t="s">
        <v>17</v>
      </c>
      <c r="L944" t="str">
        <f t="shared" si="14"/>
        <v xml:space="preserve">{ longitude: -63.4269863437861, latitude: 44.7266607547493, stopType: 'Bus Stop Inaccessible', gotime: \'8928\', location: \'BROOKS RD &lt;OP&gt; CIVIC 253\' }, </v>
      </c>
    </row>
    <row r="945" spans="1:12" x14ac:dyDescent="0.25">
      <c r="A945">
        <v>-63.579458043383397</v>
      </c>
      <c r="B945">
        <v>44.670877915372202</v>
      </c>
      <c r="C945">
        <v>1348</v>
      </c>
      <c r="D945" t="s">
        <v>29</v>
      </c>
      <c r="E945" t="s">
        <v>12</v>
      </c>
      <c r="F945" t="s">
        <v>13</v>
      </c>
      <c r="G945" t="s">
        <v>19</v>
      </c>
      <c r="H945">
        <v>8613</v>
      </c>
      <c r="I945" t="s">
        <v>1938</v>
      </c>
      <c r="J945" t="s">
        <v>1939</v>
      </c>
      <c r="K945" t="s">
        <v>17</v>
      </c>
      <c r="L945" t="str">
        <f t="shared" si="14"/>
        <v xml:space="preserve">{ longitude: -63.5794580433834, latitude: 44.6708779153722, stopType: 'Bus Stop Accessible', gotime: \'8613\', location: \'WYSE RD FS DAWSON ST\' }, </v>
      </c>
    </row>
    <row r="946" spans="1:12" x14ac:dyDescent="0.25">
      <c r="A946">
        <v>-63.433706524704398</v>
      </c>
      <c r="B946">
        <v>44.719490922699599</v>
      </c>
      <c r="C946">
        <v>87</v>
      </c>
      <c r="D946" t="s">
        <v>103</v>
      </c>
      <c r="E946" t="s">
        <v>12</v>
      </c>
      <c r="F946" t="s">
        <v>25</v>
      </c>
      <c r="G946" t="s">
        <v>1456</v>
      </c>
      <c r="H946">
        <v>8929</v>
      </c>
      <c r="I946" t="s">
        <v>1940</v>
      </c>
      <c r="J946" t="s">
        <v>1941</v>
      </c>
      <c r="K946" t="s">
        <v>17</v>
      </c>
      <c r="L946" t="str">
        <f t="shared" si="14"/>
        <v xml:space="preserve">{ longitude: -63.4337065247044, latitude: 44.7194909226996, stopType: 'Bus Stop Inaccessible', gotime: \'8929\', location: \'BROOKS RD &lt;AT&gt; EAST PRESTON REC CENTRE\' }, </v>
      </c>
    </row>
    <row r="947" spans="1:12" x14ac:dyDescent="0.25">
      <c r="A947">
        <v>-63.585768753408402</v>
      </c>
      <c r="B947">
        <v>44.675281420387698</v>
      </c>
      <c r="C947">
        <v>1349</v>
      </c>
      <c r="D947" t="s">
        <v>29</v>
      </c>
      <c r="E947" t="s">
        <v>12</v>
      </c>
      <c r="F947" t="s">
        <v>25</v>
      </c>
      <c r="G947" t="s">
        <v>26</v>
      </c>
      <c r="H947">
        <v>8615</v>
      </c>
      <c r="I947" t="s">
        <v>1942</v>
      </c>
      <c r="J947" t="s">
        <v>1943</v>
      </c>
      <c r="K947" t="s">
        <v>17</v>
      </c>
      <c r="L947" t="str">
        <f t="shared" si="14"/>
        <v xml:space="preserve">{ longitude: -63.5857687534084, latitude: 44.6752814203877, stopType: 'Bus Stop Accessible', gotime: \'8615\', location: \'WYSE RD AT CIVIC 254\' }, </v>
      </c>
    </row>
    <row r="948" spans="1:12" x14ac:dyDescent="0.25">
      <c r="A948">
        <v>-63.434530701593602</v>
      </c>
      <c r="B948">
        <v>44.7155280238849</v>
      </c>
      <c r="C948">
        <v>88</v>
      </c>
      <c r="D948" t="s">
        <v>103</v>
      </c>
      <c r="E948" t="s">
        <v>12</v>
      </c>
      <c r="F948" t="s">
        <v>25</v>
      </c>
      <c r="G948" t="s">
        <v>1456</v>
      </c>
      <c r="H948">
        <v>8930</v>
      </c>
      <c r="I948" t="s">
        <v>1944</v>
      </c>
      <c r="J948" t="s">
        <v>1945</v>
      </c>
      <c r="K948" t="s">
        <v>17</v>
      </c>
      <c r="L948" t="str">
        <f t="shared" si="14"/>
        <v xml:space="preserve">{ longitude: -63.4345307015936, latitude: 44.7155280238849, stopType: 'Bus Stop Inaccessible', gotime: \'8930\', location: \'HWY 7 &lt;FS&gt; UPPER GOVERNOR ST\' }, </v>
      </c>
    </row>
    <row r="949" spans="1:12" x14ac:dyDescent="0.25">
      <c r="A949">
        <v>-63.579733774982003</v>
      </c>
      <c r="B949">
        <v>44.6714098620117</v>
      </c>
      <c r="C949">
        <v>1350</v>
      </c>
      <c r="D949" t="s">
        <v>29</v>
      </c>
      <c r="E949" t="s">
        <v>12</v>
      </c>
      <c r="F949" t="s">
        <v>13</v>
      </c>
      <c r="G949" t="s">
        <v>19</v>
      </c>
      <c r="H949">
        <v>8616</v>
      </c>
      <c r="I949" t="s">
        <v>1946</v>
      </c>
      <c r="J949" t="s">
        <v>1947</v>
      </c>
      <c r="K949" t="s">
        <v>17</v>
      </c>
      <c r="L949" t="str">
        <f t="shared" si="14"/>
        <v xml:space="preserve">{ longitude: -63.579733774982, latitude: 44.6714098620117, stopType: 'Bus Stop Accessible', gotime: \'8616\', location: \'WYSE RD NS BOLAND RD\' }, </v>
      </c>
    </row>
    <row r="950" spans="1:12" x14ac:dyDescent="0.25">
      <c r="A950">
        <v>-63.439457894101103</v>
      </c>
      <c r="B950">
        <v>44.7099662427689</v>
      </c>
      <c r="C950">
        <v>89</v>
      </c>
      <c r="D950" t="s">
        <v>103</v>
      </c>
      <c r="E950" t="s">
        <v>12</v>
      </c>
      <c r="F950" t="s">
        <v>25</v>
      </c>
      <c r="G950" t="s">
        <v>1456</v>
      </c>
      <c r="H950">
        <v>8931</v>
      </c>
      <c r="I950" t="s">
        <v>1948</v>
      </c>
      <c r="J950" t="s">
        <v>1949</v>
      </c>
      <c r="K950" t="s">
        <v>17</v>
      </c>
      <c r="L950" t="str">
        <f t="shared" si="14"/>
        <v xml:space="preserve">{ longitude: -63.4394578941011, latitude: 44.7099662427689, stopType: 'Bus Stop Inaccessible', gotime: \'8931\', location: \'HWY 7 &lt;AT&gt; CIVIC 1799\' }, </v>
      </c>
    </row>
    <row r="951" spans="1:12" x14ac:dyDescent="0.25">
      <c r="A951">
        <v>-63.583266487436298</v>
      </c>
      <c r="B951">
        <v>44.673191423191497</v>
      </c>
      <c r="C951">
        <v>1351</v>
      </c>
      <c r="D951" t="s">
        <v>29</v>
      </c>
      <c r="E951" t="s">
        <v>12</v>
      </c>
      <c r="F951" t="s">
        <v>25</v>
      </c>
      <c r="G951" t="s">
        <v>26</v>
      </c>
      <c r="H951">
        <v>8617</v>
      </c>
      <c r="I951" t="s">
        <v>1950</v>
      </c>
      <c r="J951" t="s">
        <v>1951</v>
      </c>
      <c r="K951" t="s">
        <v>17</v>
      </c>
      <c r="L951" t="str">
        <f t="shared" si="14"/>
        <v xml:space="preserve">{ longitude: -63.5832664874363, latitude: 44.6731914231915, stopType: 'Bus Stop Accessible', gotime: \'8617\', location: \'WYSE RD NS JAMIESON ST\' }, </v>
      </c>
    </row>
    <row r="952" spans="1:12" x14ac:dyDescent="0.25">
      <c r="A952">
        <v>-63.465084141953902</v>
      </c>
      <c r="B952">
        <v>44.703448680715503</v>
      </c>
      <c r="C952">
        <v>90</v>
      </c>
      <c r="D952" t="s">
        <v>103</v>
      </c>
      <c r="E952" t="s">
        <v>12</v>
      </c>
      <c r="F952" t="s">
        <v>25</v>
      </c>
      <c r="G952" t="s">
        <v>1456</v>
      </c>
      <c r="H952">
        <v>8932</v>
      </c>
      <c r="I952" t="s">
        <v>1952</v>
      </c>
      <c r="J952" t="s">
        <v>1953</v>
      </c>
      <c r="K952" t="s">
        <v>17</v>
      </c>
      <c r="L952" t="str">
        <f t="shared" si="14"/>
        <v xml:space="preserve">{ longitude: -63.4650841419539, latitude: 44.7034486807155, stopType: 'Bus Stop Inaccessible', gotime: \'8932\', location: \'ROSS RD &lt;FS&gt; &lt;IB&gt; HWY 7\' }, </v>
      </c>
    </row>
    <row r="953" spans="1:12" x14ac:dyDescent="0.25">
      <c r="A953">
        <v>-63.584036460916202</v>
      </c>
      <c r="B953">
        <v>44.673953578885801</v>
      </c>
      <c r="C953">
        <v>1352</v>
      </c>
      <c r="D953" t="s">
        <v>29</v>
      </c>
      <c r="E953" t="s">
        <v>12</v>
      </c>
      <c r="F953" t="s">
        <v>25</v>
      </c>
      <c r="G953" t="s">
        <v>19</v>
      </c>
      <c r="H953">
        <v>8618</v>
      </c>
      <c r="I953" t="s">
        <v>1954</v>
      </c>
      <c r="J953" t="s">
        <v>1955</v>
      </c>
      <c r="K953" t="s">
        <v>17</v>
      </c>
      <c r="L953" t="str">
        <f t="shared" si="14"/>
        <v xml:space="preserve">{ longitude: -63.5840364609162, latitude: 44.6739535788858, stopType: 'Bus Stop Accessible', gotime: \'8618\', location: \'WYSE RD AT CIVIC 200\' }, </v>
      </c>
    </row>
    <row r="954" spans="1:12" x14ac:dyDescent="0.25">
      <c r="A954">
        <v>-63.461454134411497</v>
      </c>
      <c r="B954">
        <v>44.700594038265201</v>
      </c>
      <c r="C954">
        <v>91</v>
      </c>
      <c r="D954" t="s">
        <v>103</v>
      </c>
      <c r="E954" t="s">
        <v>12</v>
      </c>
      <c r="F954" t="s">
        <v>25</v>
      </c>
      <c r="G954" t="s">
        <v>1456</v>
      </c>
      <c r="H954">
        <v>8933</v>
      </c>
      <c r="I954" t="s">
        <v>1956</v>
      </c>
      <c r="J954" s="1" t="s">
        <v>1957</v>
      </c>
      <c r="K954" t="s">
        <v>17</v>
      </c>
      <c r="L954" t="str">
        <f t="shared" si="14"/>
        <v xml:space="preserve">{ longitude: -63.4614541344115, latitude: 44.7005940382652, stopType: 'Bus Stop Inaccessible', gotime: \'8933\', location: \'ROSS RD &lt;AT&gt; CIVIC 27\' }, </v>
      </c>
    </row>
    <row r="955" spans="1:12" x14ac:dyDescent="0.25">
      <c r="A955">
        <v>-63.587464419677801</v>
      </c>
      <c r="B955">
        <v>44.676536944850703</v>
      </c>
      <c r="C955">
        <v>1353</v>
      </c>
      <c r="D955" t="s">
        <v>29</v>
      </c>
      <c r="E955" t="s">
        <v>12</v>
      </c>
      <c r="F955" t="s">
        <v>25</v>
      </c>
      <c r="G955" t="s">
        <v>19</v>
      </c>
      <c r="H955">
        <v>8619</v>
      </c>
      <c r="I955" t="s">
        <v>1958</v>
      </c>
      <c r="J955" t="s">
        <v>1959</v>
      </c>
      <c r="K955" t="s">
        <v>17</v>
      </c>
      <c r="L955" t="str">
        <f t="shared" si="14"/>
        <v xml:space="preserve">{ longitude: -63.5874644196778, latitude: 44.6765369448507, stopType: 'Bus Stop Accessible', gotime: \'8619\', location: \'WYSE RD NS ALBRO LAKE RD\' }, </v>
      </c>
    </row>
    <row r="956" spans="1:12" x14ac:dyDescent="0.25">
      <c r="A956">
        <v>-63.458786177433801</v>
      </c>
      <c r="B956">
        <v>44.695771680594497</v>
      </c>
      <c r="C956">
        <v>92</v>
      </c>
      <c r="D956" t="s">
        <v>103</v>
      </c>
      <c r="E956" t="s">
        <v>12</v>
      </c>
      <c r="F956" t="s">
        <v>25</v>
      </c>
      <c r="G956" t="s">
        <v>1456</v>
      </c>
      <c r="H956">
        <v>8934</v>
      </c>
      <c r="I956" t="s">
        <v>1960</v>
      </c>
      <c r="J956" t="s">
        <v>1961</v>
      </c>
      <c r="K956" t="s">
        <v>17</v>
      </c>
      <c r="L956" t="str">
        <f t="shared" si="14"/>
        <v xml:space="preserve">{ longitude: -63.4587861774338, latitude: 44.6957716805945, stopType: 'Bus Stop Inaccessible', gotime: \'8934\', location: \'ROSS RD &lt;NS&gt; CIVIC 163\' }, </v>
      </c>
    </row>
    <row r="957" spans="1:12" x14ac:dyDescent="0.25">
      <c r="A957">
        <v>-63.585796664635502</v>
      </c>
      <c r="B957">
        <v>44.6751106489927</v>
      </c>
      <c r="C957">
        <v>1354</v>
      </c>
      <c r="D957" t="s">
        <v>22</v>
      </c>
      <c r="E957" t="s">
        <v>12</v>
      </c>
      <c r="F957" t="s">
        <v>25</v>
      </c>
      <c r="G957" t="s">
        <v>26</v>
      </c>
      <c r="H957">
        <v>8620</v>
      </c>
      <c r="I957" t="s">
        <v>1962</v>
      </c>
      <c r="J957" s="1" t="s">
        <v>1963</v>
      </c>
      <c r="K957" t="s">
        <v>17</v>
      </c>
      <c r="L957" t="str">
        <f t="shared" si="14"/>
        <v xml:space="preserve">{ longitude: -63.5857966646355, latitude: 44.6751106489927, stopType: 'Bus Stop Shelter Accessible', gotime: \'8620\', location: \'WYSE RD NS ELMWOOD AVE\' }, </v>
      </c>
    </row>
    <row r="958" spans="1:12" x14ac:dyDescent="0.25">
      <c r="A958">
        <v>-63.455888987809502</v>
      </c>
      <c r="B958">
        <v>44.691191232902803</v>
      </c>
      <c r="C958">
        <v>93</v>
      </c>
      <c r="D958" t="s">
        <v>103</v>
      </c>
      <c r="E958" t="s">
        <v>12</v>
      </c>
      <c r="F958" t="s">
        <v>25</v>
      </c>
      <c r="G958" t="s">
        <v>1456</v>
      </c>
      <c r="H958">
        <v>8935</v>
      </c>
      <c r="I958" t="s">
        <v>1964</v>
      </c>
      <c r="J958" t="s">
        <v>1965</v>
      </c>
      <c r="K958" t="s">
        <v>17</v>
      </c>
      <c r="L958" t="str">
        <f t="shared" si="14"/>
        <v xml:space="preserve">{ longitude: -63.4558889878095, latitude: 44.6911912329028, stopType: 'Bus Stop Inaccessible', gotime: \'8935\', location: \'ROSS RD &lt;AT&gt; CIVIC 277\' }, </v>
      </c>
    </row>
    <row r="959" spans="1:12" x14ac:dyDescent="0.25">
      <c r="A959">
        <v>-63.581881019768801</v>
      </c>
      <c r="B959">
        <v>44.672271320105999</v>
      </c>
      <c r="C959">
        <v>1355</v>
      </c>
      <c r="D959" t="s">
        <v>29</v>
      </c>
      <c r="E959" t="s">
        <v>12</v>
      </c>
      <c r="F959" t="s">
        <v>25</v>
      </c>
      <c r="G959" t="s">
        <v>26</v>
      </c>
      <c r="H959">
        <v>8621</v>
      </c>
      <c r="I959" t="s">
        <v>1966</v>
      </c>
      <c r="J959" t="s">
        <v>1967</v>
      </c>
      <c r="K959" t="s">
        <v>17</v>
      </c>
      <c r="L959" t="str">
        <f t="shared" si="14"/>
        <v xml:space="preserve">{ longitude: -63.5818810197688, latitude: 44.672271320106, stopType: 'Bus Stop Accessible', gotime: \'8621\', location: \'WYSE RD OPP BOLAND RD\' }, </v>
      </c>
    </row>
    <row r="960" spans="1:12" x14ac:dyDescent="0.25">
      <c r="A960">
        <v>-63.453881843574798</v>
      </c>
      <c r="B960">
        <v>44.687720159055402</v>
      </c>
      <c r="C960">
        <v>94</v>
      </c>
      <c r="D960" t="s">
        <v>103</v>
      </c>
      <c r="E960" t="s">
        <v>12</v>
      </c>
      <c r="F960" t="s">
        <v>25</v>
      </c>
      <c r="G960" t="s">
        <v>1456</v>
      </c>
      <c r="H960">
        <v>8936</v>
      </c>
      <c r="I960" t="s">
        <v>1968</v>
      </c>
      <c r="J960" t="s">
        <v>1969</v>
      </c>
      <c r="K960" t="s">
        <v>17</v>
      </c>
      <c r="L960" t="str">
        <f t="shared" si="14"/>
        <v xml:space="preserve">{ longitude: -63.4538818435748, latitude: 44.6877201590554, stopType: 'Bus Stop Inaccessible', gotime: \'8936\', location: \'ROSS RD &lt;AT&gt; CIVIC 371\' }, </v>
      </c>
    </row>
    <row r="961" spans="1:12" x14ac:dyDescent="0.25">
      <c r="A961">
        <v>-63.587268000416401</v>
      </c>
      <c r="B961">
        <v>44.676193385552899</v>
      </c>
      <c r="C961">
        <v>1356</v>
      </c>
      <c r="D961" t="s">
        <v>29</v>
      </c>
      <c r="E961" t="s">
        <v>12</v>
      </c>
      <c r="F961" t="s">
        <v>25</v>
      </c>
      <c r="G961" t="s">
        <v>26</v>
      </c>
      <c r="H961">
        <v>8622</v>
      </c>
      <c r="I961" t="s">
        <v>1970</v>
      </c>
      <c r="J961" t="s">
        <v>1971</v>
      </c>
      <c r="K961" t="s">
        <v>17</v>
      </c>
      <c r="L961" t="str">
        <f t="shared" si="14"/>
        <v xml:space="preserve">{ longitude: -63.5872680004164, latitude: 44.6761933855529, stopType: 'Bus Stop Accessible', gotime: \'8622\', location: \'WYSE RD OPP CHAPPEL  ST\' }, </v>
      </c>
    </row>
    <row r="962" spans="1:12" x14ac:dyDescent="0.25">
      <c r="A962">
        <v>-63.453767377356101</v>
      </c>
      <c r="B962">
        <v>44.684954948969597</v>
      </c>
      <c r="C962">
        <v>95</v>
      </c>
      <c r="D962" t="s">
        <v>103</v>
      </c>
      <c r="E962" t="s">
        <v>12</v>
      </c>
      <c r="F962" t="s">
        <v>25</v>
      </c>
      <c r="G962" t="s">
        <v>1456</v>
      </c>
      <c r="H962">
        <v>8937</v>
      </c>
      <c r="I962" t="s">
        <v>1972</v>
      </c>
      <c r="J962" t="s">
        <v>1973</v>
      </c>
      <c r="K962" t="s">
        <v>17</v>
      </c>
      <c r="L962" t="str">
        <f t="shared" si="14"/>
        <v xml:space="preserve">{ longitude: -63.4537673773561, latitude: 44.6849549489696, stopType: 'Bus Stop Inaccessible', gotime: \'8937\', location: \'ROSS RD &lt;AT&gt; CIVIC 437\' }, </v>
      </c>
    </row>
    <row r="963" spans="1:12" x14ac:dyDescent="0.25">
      <c r="A963">
        <v>-63.5752149658422</v>
      </c>
      <c r="B963">
        <v>44.668435124514403</v>
      </c>
      <c r="C963">
        <v>1357</v>
      </c>
      <c r="D963" t="s">
        <v>22</v>
      </c>
      <c r="E963" t="s">
        <v>12</v>
      </c>
      <c r="F963" t="s">
        <v>13</v>
      </c>
      <c r="G963" t="s">
        <v>19</v>
      </c>
      <c r="H963">
        <v>8623</v>
      </c>
      <c r="I963" t="s">
        <v>1974</v>
      </c>
      <c r="J963" t="s">
        <v>1975</v>
      </c>
      <c r="K963" t="s">
        <v>17</v>
      </c>
      <c r="L963" t="str">
        <f t="shared" ref="L963:L1026" si="15">CONCATENATE( "{ longitude: ", A963, ", latitude: ", B963, ", stopType: '", D963, "', gotime: \'", H963, "\', location: \'", I963, "\' }, ")</f>
        <v xml:space="preserve">{ longitude: -63.5752149658422, latitude: 44.6684351245144, stopType: 'Bus Stop Shelter Accessible', gotime: \'8623\', location: \'WYSE RD OPP THISTLE ST\' }, </v>
      </c>
    </row>
    <row r="964" spans="1:12" x14ac:dyDescent="0.25">
      <c r="A964">
        <v>-63.454186510093301</v>
      </c>
      <c r="B964">
        <v>44.682529987053897</v>
      </c>
      <c r="C964">
        <v>96</v>
      </c>
      <c r="D964" t="s">
        <v>103</v>
      </c>
      <c r="E964" t="s">
        <v>12</v>
      </c>
      <c r="F964" t="s">
        <v>25</v>
      </c>
      <c r="G964" t="s">
        <v>1456</v>
      </c>
      <c r="H964">
        <v>8938</v>
      </c>
      <c r="I964" t="s">
        <v>1976</v>
      </c>
      <c r="J964" t="s">
        <v>1977</v>
      </c>
      <c r="K964" t="s">
        <v>17</v>
      </c>
      <c r="L964" t="str">
        <f t="shared" si="15"/>
        <v xml:space="preserve">{ longitude: -63.4541865100933, latitude: 44.6825299870539, stopType: 'Bus Stop Inaccessible', gotime: \'8938\', location: \'COLE HARBOUR RD &lt;IB&gt; &lt;AT&gt; OLD LAWRENCETOWN RD\' }, </v>
      </c>
    </row>
    <row r="965" spans="1:12" x14ac:dyDescent="0.25">
      <c r="A965">
        <v>-63.575897271818597</v>
      </c>
      <c r="B965">
        <v>44.668830606399801</v>
      </c>
      <c r="C965">
        <v>1358</v>
      </c>
      <c r="D965" t="s">
        <v>29</v>
      </c>
      <c r="E965" t="s">
        <v>12</v>
      </c>
      <c r="F965" t="s">
        <v>13</v>
      </c>
      <c r="G965" t="s">
        <v>19</v>
      </c>
      <c r="H965">
        <v>8624</v>
      </c>
      <c r="I965" t="s">
        <v>1978</v>
      </c>
      <c r="J965" t="s">
        <v>1979</v>
      </c>
      <c r="K965" t="s">
        <v>17</v>
      </c>
      <c r="L965" t="str">
        <f t="shared" si="15"/>
        <v xml:space="preserve">{ longitude: -63.5758972718186, latitude: 44.6688306063998, stopType: 'Bus Stop Accessible', gotime: \'8624\', location: \'WYSE RD SPORTSPLEX METROLINK [OB]\' }, </v>
      </c>
    </row>
    <row r="966" spans="1:12" x14ac:dyDescent="0.25">
      <c r="A966">
        <v>-63.477266458158198</v>
      </c>
      <c r="B966">
        <v>44.672561904173698</v>
      </c>
      <c r="C966">
        <v>97</v>
      </c>
      <c r="D966" t="s">
        <v>103</v>
      </c>
      <c r="E966" t="s">
        <v>12</v>
      </c>
      <c r="F966" t="s">
        <v>25</v>
      </c>
      <c r="G966" t="s">
        <v>1456</v>
      </c>
      <c r="H966">
        <v>8939</v>
      </c>
      <c r="I966" t="s">
        <v>1980</v>
      </c>
      <c r="J966" t="s">
        <v>1981</v>
      </c>
      <c r="K966" t="s">
        <v>17</v>
      </c>
      <c r="L966" t="str">
        <f t="shared" si="15"/>
        <v xml:space="preserve">{ longitude: -63.4772664581582, latitude: 44.6725619041737, stopType: 'Bus Stop Inaccessible', gotime: \'8939\', location: \'COLE HARBOUR RD &lt;IB&gt; &lt;NS&gt; &lt;OP&gt; BISSETT RD\' }, </v>
      </c>
    </row>
    <row r="967" spans="1:12" x14ac:dyDescent="0.25">
      <c r="A967">
        <v>-63.576304292126501</v>
      </c>
      <c r="B967">
        <v>44.669415462292001</v>
      </c>
      <c r="C967">
        <v>1359</v>
      </c>
      <c r="D967" t="s">
        <v>22</v>
      </c>
      <c r="E967" t="s">
        <v>12</v>
      </c>
      <c r="F967" t="s">
        <v>13</v>
      </c>
      <c r="G967" t="s">
        <v>19</v>
      </c>
      <c r="H967">
        <v>8625</v>
      </c>
      <c r="I967" t="s">
        <v>1982</v>
      </c>
      <c r="J967" t="s">
        <v>1983</v>
      </c>
      <c r="K967" t="s">
        <v>17</v>
      </c>
      <c r="L967" t="str">
        <f t="shared" si="15"/>
        <v xml:space="preserve">{ longitude: -63.5763042921265, latitude: 44.669415462292, stopType: 'Bus Stop Shelter Accessible', gotime: \'8625\', location: \'WYSE RD SPORTSPLEX METROLINK [IB]\' }, </v>
      </c>
    </row>
    <row r="968" spans="1:12" x14ac:dyDescent="0.25">
      <c r="A968">
        <v>-63.691669132903698</v>
      </c>
      <c r="B968">
        <v>44.783247008387903</v>
      </c>
      <c r="C968">
        <v>98</v>
      </c>
      <c r="D968" t="s">
        <v>103</v>
      </c>
      <c r="E968" t="s">
        <v>12</v>
      </c>
      <c r="F968" t="s">
        <v>25</v>
      </c>
      <c r="G968" t="s">
        <v>1456</v>
      </c>
      <c r="H968">
        <v>8709</v>
      </c>
      <c r="I968" t="s">
        <v>1984</v>
      </c>
      <c r="J968" t="s">
        <v>1985</v>
      </c>
      <c r="K968" t="s">
        <v>17</v>
      </c>
      <c r="L968" t="str">
        <f t="shared" si="15"/>
        <v xml:space="preserve">{ longitude: -63.6916691329037, latitude: 44.7832470083879, stopType: 'Bus Stop Inaccessible', gotime: \'8709\', location: \'BEAVER BANK RD &lt;FS&gt; GLENDALE DR\' }, </v>
      </c>
    </row>
    <row r="969" spans="1:12" x14ac:dyDescent="0.25">
      <c r="A969">
        <v>-63.5548373038759</v>
      </c>
      <c r="B969">
        <v>44.597127448301499</v>
      </c>
      <c r="C969">
        <v>1360</v>
      </c>
      <c r="D969" t="s">
        <v>11</v>
      </c>
      <c r="E969" t="s">
        <v>12</v>
      </c>
      <c r="F969" t="s">
        <v>25</v>
      </c>
      <c r="G969" t="s">
        <v>26</v>
      </c>
      <c r="H969">
        <v>8627</v>
      </c>
      <c r="I969" t="s">
        <v>1986</v>
      </c>
      <c r="J969" t="s">
        <v>1987</v>
      </c>
      <c r="K969" t="s">
        <v>17</v>
      </c>
      <c r="L969" t="str">
        <f t="shared" si="15"/>
        <v xml:space="preserve">{ longitude: -63.5548373038759, latitude: 44.5971274483015, stopType: 'Bus Stop Non-Standard', gotime: \'8627\', location: \'YORK REDOUBT TURNING LOOP\' }, </v>
      </c>
    </row>
    <row r="970" spans="1:12" x14ac:dyDescent="0.25">
      <c r="A970">
        <v>-63.692279847311902</v>
      </c>
      <c r="B970">
        <v>44.790400695364497</v>
      </c>
      <c r="C970">
        <v>99</v>
      </c>
      <c r="D970" t="s">
        <v>103</v>
      </c>
      <c r="E970" t="s">
        <v>12</v>
      </c>
      <c r="F970" t="s">
        <v>25</v>
      </c>
      <c r="G970" t="s">
        <v>1456</v>
      </c>
      <c r="H970">
        <v>8710</v>
      </c>
      <c r="I970" t="s">
        <v>1988</v>
      </c>
      <c r="J970" t="s">
        <v>1989</v>
      </c>
      <c r="K970" t="s">
        <v>17</v>
      </c>
      <c r="L970" t="str">
        <f t="shared" si="15"/>
        <v xml:space="preserve">{ longitude: -63.6922798473119, latitude: 44.7904006953645, stopType: 'Bus Stop Inaccessible', gotime: \'8710\', location: \'BEAVER BANK RD &lt;FS&gt; STOKIL DR\' }, </v>
      </c>
    </row>
    <row r="971" spans="1:12" x14ac:dyDescent="0.25">
      <c r="A971">
        <v>-63.598996338267597</v>
      </c>
      <c r="B971">
        <v>44.662302998297399</v>
      </c>
      <c r="C971">
        <v>1361</v>
      </c>
      <c r="D971" t="s">
        <v>29</v>
      </c>
      <c r="E971" t="s">
        <v>12</v>
      </c>
      <c r="F971" t="s">
        <v>13</v>
      </c>
      <c r="G971" t="s">
        <v>14</v>
      </c>
      <c r="H971">
        <v>8628</v>
      </c>
      <c r="I971" t="s">
        <v>1990</v>
      </c>
      <c r="J971" t="s">
        <v>1991</v>
      </c>
      <c r="K971" t="s">
        <v>17</v>
      </c>
      <c r="L971" t="str">
        <f t="shared" si="15"/>
        <v xml:space="preserve">{ longitude: -63.5989963382676, latitude: 44.6623029982974, stopType: 'Bus Stop Accessible', gotime: \'8628\', location: \'YOUNG ST &lt;WB&gt;FS GOTTINGEN ST\' }, </v>
      </c>
    </row>
    <row r="972" spans="1:12" x14ac:dyDescent="0.25">
      <c r="A972">
        <v>-63.6898674245367</v>
      </c>
      <c r="B972">
        <v>44.7967233793064</v>
      </c>
      <c r="C972">
        <v>100</v>
      </c>
      <c r="D972" t="s">
        <v>103</v>
      </c>
      <c r="E972" t="s">
        <v>12</v>
      </c>
      <c r="F972" t="s">
        <v>25</v>
      </c>
      <c r="G972" t="s">
        <v>1456</v>
      </c>
      <c r="H972">
        <v>8711</v>
      </c>
      <c r="I972" t="s">
        <v>1992</v>
      </c>
      <c r="J972" t="s">
        <v>1993</v>
      </c>
      <c r="K972" t="s">
        <v>17</v>
      </c>
      <c r="L972" t="str">
        <f t="shared" si="15"/>
        <v xml:space="preserve">{ longitude: -63.6898674245367, latitude: 44.7967233793064, stopType: 'Bus Stop Inaccessible', gotime: \'8711\', location: \'BEAVER BANK RD &lt;AT&gt; CIVIC 273\' }, </v>
      </c>
    </row>
    <row r="973" spans="1:12" x14ac:dyDescent="0.25">
      <c r="A973">
        <v>-63.604748792258903</v>
      </c>
      <c r="B973">
        <v>44.657997938140703</v>
      </c>
      <c r="C973">
        <v>1362</v>
      </c>
      <c r="D973" t="s">
        <v>22</v>
      </c>
      <c r="E973" t="s">
        <v>12</v>
      </c>
      <c r="F973" t="s">
        <v>13</v>
      </c>
      <c r="G973" t="s">
        <v>14</v>
      </c>
      <c r="H973">
        <v>8629</v>
      </c>
      <c r="I973" t="s">
        <v>1994</v>
      </c>
      <c r="J973" t="s">
        <v>1995</v>
      </c>
      <c r="K973" t="s">
        <v>17</v>
      </c>
      <c r="L973" t="str">
        <f t="shared" si="15"/>
        <v xml:space="preserve">{ longitude: -63.6047487922589, latitude: 44.6579979381407, stopType: 'Bus Stop Shelter Accessible', gotime: \'8629\', location: \'YOUNG ST &lt;WB&gt; AT SUPERSTORE\' }, </v>
      </c>
    </row>
    <row r="974" spans="1:12" x14ac:dyDescent="0.25">
      <c r="A974">
        <v>-63.688283332563401</v>
      </c>
      <c r="B974">
        <v>44.799390905918202</v>
      </c>
      <c r="C974">
        <v>101</v>
      </c>
      <c r="D974" t="s">
        <v>103</v>
      </c>
      <c r="E974" t="s">
        <v>12</v>
      </c>
      <c r="F974" t="s">
        <v>25</v>
      </c>
      <c r="G974" t="s">
        <v>1456</v>
      </c>
      <c r="H974">
        <v>8712</v>
      </c>
      <c r="I974" t="s">
        <v>1996</v>
      </c>
      <c r="J974" t="s">
        <v>1997</v>
      </c>
      <c r="K974" t="s">
        <v>17</v>
      </c>
      <c r="L974" t="str">
        <f t="shared" si="15"/>
        <v xml:space="preserve">{ longitude: -63.6882833325634, latitude: 44.7993909059182, stopType: 'Bus Stop Inaccessible', gotime: \'8712\', location: \'BEAVER BANK RD &lt;AT&gt; CIVIC 311\' }, </v>
      </c>
    </row>
    <row r="975" spans="1:12" x14ac:dyDescent="0.25">
      <c r="A975">
        <v>-63.601208311046797</v>
      </c>
      <c r="B975">
        <v>44.660465760090503</v>
      </c>
      <c r="C975">
        <v>1363</v>
      </c>
      <c r="D975" t="s">
        <v>11</v>
      </c>
      <c r="E975" t="s">
        <v>12</v>
      </c>
      <c r="F975" t="s">
        <v>13</v>
      </c>
      <c r="G975" t="s">
        <v>14</v>
      </c>
      <c r="H975">
        <v>8630</v>
      </c>
      <c r="I975" t="s">
        <v>1998</v>
      </c>
      <c r="J975" t="s">
        <v>1999</v>
      </c>
      <c r="K975" t="s">
        <v>17</v>
      </c>
      <c r="L975" t="str">
        <f t="shared" si="15"/>
        <v xml:space="preserve">{ longitude: -63.6012083110468, latitude: 44.6604657600905, stopType: 'Bus Stop Non-Standard', gotime: \'8630\', location: \'YOUNG ST &lt;EB&gt; NS AGRICOLA ST\' }, </v>
      </c>
    </row>
    <row r="976" spans="1:12" x14ac:dyDescent="0.25">
      <c r="A976">
        <v>-63.688224531429398</v>
      </c>
      <c r="B976">
        <v>44.801795431375801</v>
      </c>
      <c r="C976">
        <v>102</v>
      </c>
      <c r="D976" t="s">
        <v>103</v>
      </c>
      <c r="E976" t="s">
        <v>12</v>
      </c>
      <c r="F976" t="s">
        <v>25</v>
      </c>
      <c r="G976" t="s">
        <v>1456</v>
      </c>
      <c r="H976">
        <v>8713</v>
      </c>
      <c r="I976" t="s">
        <v>2000</v>
      </c>
      <c r="J976" t="s">
        <v>2001</v>
      </c>
      <c r="K976" t="s">
        <v>17</v>
      </c>
      <c r="L976" t="str">
        <f t="shared" si="15"/>
        <v xml:space="preserve">{ longitude: -63.6882245314294, latitude: 44.8017954313758, stopType: 'Bus Stop Inaccessible', gotime: \'8713\', location: \'BEAVER BANK RD &lt;AT&gt; CIVIC 345\' }, </v>
      </c>
    </row>
    <row r="977" spans="1:12" x14ac:dyDescent="0.25">
      <c r="A977">
        <v>-63.600974158638302</v>
      </c>
      <c r="B977">
        <v>44.660799517727199</v>
      </c>
      <c r="C977">
        <v>1364</v>
      </c>
      <c r="D977" t="s">
        <v>22</v>
      </c>
      <c r="E977" t="s">
        <v>12</v>
      </c>
      <c r="F977" t="s">
        <v>13</v>
      </c>
      <c r="G977" t="s">
        <v>19</v>
      </c>
      <c r="H977">
        <v>8631</v>
      </c>
      <c r="I977" t="s">
        <v>2002</v>
      </c>
      <c r="J977" t="s">
        <v>2003</v>
      </c>
      <c r="K977" t="s">
        <v>17</v>
      </c>
      <c r="L977" t="str">
        <f t="shared" si="15"/>
        <v xml:space="preserve">{ longitude: -63.6009741586383, latitude: 44.6607995177272, stopType: 'Bus Stop Shelter Accessible', gotime: \'8631\', location: \'YOUNG ST &lt;WB&gt; NS AGRICOLA ST\' }, </v>
      </c>
    </row>
    <row r="978" spans="1:12" x14ac:dyDescent="0.25">
      <c r="A978">
        <v>-63.688128998190102</v>
      </c>
      <c r="B978">
        <v>44.807414220891999</v>
      </c>
      <c r="C978">
        <v>103</v>
      </c>
      <c r="D978" t="s">
        <v>103</v>
      </c>
      <c r="E978" t="s">
        <v>12</v>
      </c>
      <c r="F978" t="s">
        <v>25</v>
      </c>
      <c r="G978" t="s">
        <v>1456</v>
      </c>
      <c r="H978">
        <v>8714</v>
      </c>
      <c r="I978" t="s">
        <v>2004</v>
      </c>
      <c r="J978" t="s">
        <v>2005</v>
      </c>
      <c r="K978" t="s">
        <v>17</v>
      </c>
      <c r="L978" t="str">
        <f t="shared" si="15"/>
        <v xml:space="preserve">{ longitude: -63.6881289981901, latitude: 44.807414220892, stopType: 'Bus Stop Inaccessible', gotime: \'8714\', location: \'BEAVER BANK RD &lt;NS&gt; MAJESTIC AVE\' }, </v>
      </c>
    </row>
    <row r="979" spans="1:12" x14ac:dyDescent="0.25">
      <c r="A979">
        <v>-63.537383333260301</v>
      </c>
      <c r="B979">
        <v>44.514716666549802</v>
      </c>
      <c r="C979">
        <v>1365</v>
      </c>
      <c r="D979" t="s">
        <v>11</v>
      </c>
      <c r="E979" t="s">
        <v>12</v>
      </c>
      <c r="F979" t="s">
        <v>1091</v>
      </c>
      <c r="G979" t="s">
        <v>1566</v>
      </c>
      <c r="H979">
        <v>7631</v>
      </c>
      <c r="I979" t="s">
        <v>2006</v>
      </c>
      <c r="J979" t="s">
        <v>2007</v>
      </c>
      <c r="K979" t="s">
        <v>17</v>
      </c>
      <c r="L979" t="str">
        <f t="shared" si="15"/>
        <v xml:space="preserve">{ longitude: -63.5373833332603, latitude: 44.5147166665498, stopType: 'Bus Stop Non-Standard', gotime: \'7631\', location: \'KETCH HARBOUR RD NS PORTOVISTA \' }, </v>
      </c>
    </row>
    <row r="980" spans="1:12" x14ac:dyDescent="0.25">
      <c r="A980">
        <v>-63.686108657995298</v>
      </c>
      <c r="B980">
        <v>44.813721735072903</v>
      </c>
      <c r="C980">
        <v>104</v>
      </c>
      <c r="D980" t="s">
        <v>103</v>
      </c>
      <c r="E980" t="s">
        <v>12</v>
      </c>
      <c r="F980" t="s">
        <v>25</v>
      </c>
      <c r="G980" t="s">
        <v>1456</v>
      </c>
      <c r="H980">
        <v>8715</v>
      </c>
      <c r="I980" t="s">
        <v>2008</v>
      </c>
      <c r="J980" t="s">
        <v>2009</v>
      </c>
      <c r="K980" t="s">
        <v>17</v>
      </c>
      <c r="L980" t="str">
        <f t="shared" si="15"/>
        <v xml:space="preserve">{ longitude: -63.6861086579953, latitude: 44.8137217350729, stopType: 'Bus Stop Inaccessible', gotime: \'8715\', location: \'BEAVER BANK RD &lt;AT&gt; CIVIC 619\' }, </v>
      </c>
    </row>
    <row r="981" spans="1:12" x14ac:dyDescent="0.25">
      <c r="A981">
        <v>-63.5426333331718</v>
      </c>
      <c r="B981">
        <v>44.5083166675306</v>
      </c>
      <c r="C981">
        <v>1366</v>
      </c>
      <c r="D981" t="s">
        <v>11</v>
      </c>
      <c r="E981" t="s">
        <v>12</v>
      </c>
      <c r="F981" t="s">
        <v>1091</v>
      </c>
      <c r="G981" t="s">
        <v>1566</v>
      </c>
      <c r="H981">
        <v>7632</v>
      </c>
      <c r="I981" t="s">
        <v>2010</v>
      </c>
      <c r="J981" t="s">
        <v>2011</v>
      </c>
      <c r="K981" t="s">
        <v>17</v>
      </c>
      <c r="L981" t="str">
        <f t="shared" si="15"/>
        <v xml:space="preserve">{ longitude: -63.5426333331718, latitude: 44.5083166675306, stopType: 'Bus Stop Non-Standard', gotime: \'7632\', location: \'KETCH HARBOUR RD RD @ DUNCANS COVE SIGN \' }, </v>
      </c>
    </row>
    <row r="982" spans="1:12" x14ac:dyDescent="0.25">
      <c r="A982">
        <v>-63.684381613486302</v>
      </c>
      <c r="B982">
        <v>44.817584695325898</v>
      </c>
      <c r="C982">
        <v>105</v>
      </c>
      <c r="D982" t="s">
        <v>103</v>
      </c>
      <c r="E982" t="s">
        <v>12</v>
      </c>
      <c r="F982" t="s">
        <v>25</v>
      </c>
      <c r="G982" t="s">
        <v>1456</v>
      </c>
      <c r="H982">
        <v>8716</v>
      </c>
      <c r="I982" t="s">
        <v>2012</v>
      </c>
      <c r="J982" t="s">
        <v>2013</v>
      </c>
      <c r="K982" t="s">
        <v>17</v>
      </c>
      <c r="L982" t="str">
        <f t="shared" si="15"/>
        <v xml:space="preserve">{ longitude: -63.6843816134863, latitude: 44.8175846953259, stopType: 'Bus Stop Inaccessible', gotime: \'8716\', location: \'BEAVER BANK RD &lt;AT&gt; CIVIC 743\' }, </v>
      </c>
    </row>
    <row r="983" spans="1:12" x14ac:dyDescent="0.25">
      <c r="A983">
        <v>-63.257033333803903</v>
      </c>
      <c r="B983">
        <v>44.672550000251903</v>
      </c>
      <c r="C983">
        <v>1367</v>
      </c>
      <c r="D983" t="s">
        <v>11</v>
      </c>
      <c r="E983" t="s">
        <v>12</v>
      </c>
      <c r="F983" t="s">
        <v>1091</v>
      </c>
      <c r="G983" t="s">
        <v>1566</v>
      </c>
      <c r="I983" t="s">
        <v>2014</v>
      </c>
      <c r="J983" t="s">
        <v>2015</v>
      </c>
      <c r="K983" t="s">
        <v>17</v>
      </c>
      <c r="L983" t="str">
        <f t="shared" si="15"/>
        <v xml:space="preserve">{ longitude: -63.2570333338039, latitude: 44.6725500002519, stopType: 'Bus Stop Non-Standard', gotime: \'\', location: \'HIGHWAY 207 @  1ST BACK RD\' }, </v>
      </c>
    </row>
    <row r="984" spans="1:12" x14ac:dyDescent="0.25">
      <c r="A984">
        <v>-63.681258662751503</v>
      </c>
      <c r="B984">
        <v>44.821604306777502</v>
      </c>
      <c r="C984">
        <v>106</v>
      </c>
      <c r="D984" t="s">
        <v>103</v>
      </c>
      <c r="E984" t="s">
        <v>12</v>
      </c>
      <c r="F984" t="s">
        <v>25</v>
      </c>
      <c r="G984" t="s">
        <v>1456</v>
      </c>
      <c r="H984">
        <v>8717</v>
      </c>
      <c r="I984" t="s">
        <v>2016</v>
      </c>
      <c r="J984" t="s">
        <v>2017</v>
      </c>
      <c r="K984" t="s">
        <v>17</v>
      </c>
      <c r="L984" t="str">
        <f t="shared" si="15"/>
        <v xml:space="preserve">{ longitude: -63.6812586627515, latitude: 44.8216043067775, stopType: 'Bus Stop Inaccessible', gotime: \'8717\', location: \'BEAVER BANK RD &lt;AT&gt; CIVIC 849\' }, </v>
      </c>
    </row>
    <row r="985" spans="1:12" x14ac:dyDescent="0.25">
      <c r="A985">
        <v>-63.257733332695203</v>
      </c>
      <c r="B985">
        <v>44.6658666667064</v>
      </c>
      <c r="C985">
        <v>1368</v>
      </c>
      <c r="D985" t="s">
        <v>11</v>
      </c>
      <c r="E985" t="s">
        <v>12</v>
      </c>
      <c r="F985" t="s">
        <v>1091</v>
      </c>
      <c r="G985" t="s">
        <v>1566</v>
      </c>
      <c r="I985" t="s">
        <v>2018</v>
      </c>
      <c r="J985" t="s">
        <v>2019</v>
      </c>
      <c r="K985" t="s">
        <v>17</v>
      </c>
      <c r="L985" t="str">
        <f t="shared" si="15"/>
        <v xml:space="preserve">{ longitude: -63.2577333326952, latitude: 44.6658666667064, stopType: 'Bus Stop Non-Standard', gotime: \'\', location: \'HIGHWAY 207 @  2ND BACK RD\' }, </v>
      </c>
    </row>
    <row r="986" spans="1:12" x14ac:dyDescent="0.25">
      <c r="A986">
        <v>-63.680637930951498</v>
      </c>
      <c r="B986">
        <v>44.824328621926803</v>
      </c>
      <c r="C986">
        <v>107</v>
      </c>
      <c r="D986" t="s">
        <v>103</v>
      </c>
      <c r="E986" t="s">
        <v>12</v>
      </c>
      <c r="F986" t="s">
        <v>25</v>
      </c>
      <c r="G986" t="s">
        <v>1456</v>
      </c>
      <c r="H986">
        <v>8718</v>
      </c>
      <c r="I986" t="s">
        <v>2020</v>
      </c>
      <c r="J986" t="s">
        <v>2021</v>
      </c>
      <c r="K986" t="s">
        <v>17</v>
      </c>
      <c r="L986" t="str">
        <f t="shared" si="15"/>
        <v xml:space="preserve">{ longitude: -63.6806379309515, latitude: 44.8243286219268, stopType: 'Bus Stop Inaccessible', gotime: \'8718\', location: \'BEAVER BANK RD &lt;AT&gt; CIVIC 911\' }, </v>
      </c>
    </row>
    <row r="987" spans="1:12" x14ac:dyDescent="0.25">
      <c r="A987">
        <v>-63.566416666255499</v>
      </c>
      <c r="B987">
        <v>44.700208333368202</v>
      </c>
      <c r="C987">
        <v>1369</v>
      </c>
      <c r="D987" t="s">
        <v>29</v>
      </c>
      <c r="E987" t="s">
        <v>12</v>
      </c>
      <c r="F987" t="s">
        <v>13</v>
      </c>
      <c r="G987" t="s">
        <v>74</v>
      </c>
      <c r="H987">
        <v>8659</v>
      </c>
      <c r="I987" t="s">
        <v>2022</v>
      </c>
      <c r="J987" t="s">
        <v>2023</v>
      </c>
      <c r="K987" t="s">
        <v>17</v>
      </c>
      <c r="L987" t="str">
        <f t="shared" si="15"/>
        <v xml:space="preserve">{ longitude: -63.5664166662555, latitude: 44.7002083333682, stopType: 'Bus Stop Accessible', gotime: \'8659\', location: \'COMMODORE DR &lt;FS&gt; LAMONT TERR\' }, </v>
      </c>
    </row>
    <row r="988" spans="1:12" x14ac:dyDescent="0.25">
      <c r="A988">
        <v>-63.680937327117398</v>
      </c>
      <c r="B988">
        <v>44.830593118938097</v>
      </c>
      <c r="C988">
        <v>108</v>
      </c>
      <c r="D988" t="s">
        <v>103</v>
      </c>
      <c r="E988" t="s">
        <v>12</v>
      </c>
      <c r="F988" t="s">
        <v>25</v>
      </c>
      <c r="G988" t="s">
        <v>1456</v>
      </c>
      <c r="H988">
        <v>8719</v>
      </c>
      <c r="I988" t="s">
        <v>2024</v>
      </c>
      <c r="J988" t="s">
        <v>2025</v>
      </c>
      <c r="K988" t="s">
        <v>17</v>
      </c>
      <c r="L988" t="str">
        <f t="shared" si="15"/>
        <v xml:space="preserve">{ longitude: -63.6809373271174, latitude: 44.8305931189381, stopType: 'Bus Stop Inaccessible', gotime: \'8719\', location: \'BEAVER BANK RD &lt;AT&gt; CIVIC 1071\' }, </v>
      </c>
    </row>
    <row r="989" spans="1:12" x14ac:dyDescent="0.25">
      <c r="A989">
        <v>-63.597620444074202</v>
      </c>
      <c r="B989">
        <v>44.802938688006201</v>
      </c>
      <c r="C989">
        <v>1370</v>
      </c>
      <c r="D989" t="s">
        <v>29</v>
      </c>
      <c r="E989" t="s">
        <v>12</v>
      </c>
      <c r="F989" t="s">
        <v>13</v>
      </c>
      <c r="G989" t="s">
        <v>74</v>
      </c>
      <c r="H989">
        <v>8029</v>
      </c>
      <c r="I989" t="s">
        <v>2026</v>
      </c>
      <c r="J989" t="s">
        <v>2027</v>
      </c>
      <c r="K989" t="s">
        <v>1593</v>
      </c>
      <c r="L989" t="str">
        <f t="shared" si="15"/>
        <v xml:space="preserve">{ longitude: -63.5976204440742, latitude: 44.8029386880062, stopType: 'Bus Stop Accessible', gotime: \'8029\', location: \'FALL RIVER PARK AND RIDE &lt;OB&gt;\' }, </v>
      </c>
    </row>
    <row r="990" spans="1:12" x14ac:dyDescent="0.25">
      <c r="A990">
        <v>-63.703704479244301</v>
      </c>
      <c r="B990">
        <v>44.781673740576203</v>
      </c>
      <c r="C990">
        <v>109</v>
      </c>
      <c r="D990" t="s">
        <v>11</v>
      </c>
      <c r="E990" t="s">
        <v>12</v>
      </c>
      <c r="F990" t="s">
        <v>13</v>
      </c>
      <c r="G990" t="s">
        <v>14</v>
      </c>
      <c r="H990">
        <v>7298</v>
      </c>
      <c r="I990" t="s">
        <v>2028</v>
      </c>
      <c r="J990" t="s">
        <v>2029</v>
      </c>
      <c r="K990" t="s">
        <v>17</v>
      </c>
      <c r="L990" t="str">
        <f t="shared" si="15"/>
        <v xml:space="preserve">{ longitude: -63.7037044792443, latitude: 44.7816737405762, stopType: 'Bus Stop Non-Standard', gotime: \'7298\', location: \'SACKVILLE DR FS JUBILEE LN\' }, </v>
      </c>
    </row>
    <row r="991" spans="1:12" x14ac:dyDescent="0.25">
      <c r="A991">
        <v>-63.543600037187602</v>
      </c>
      <c r="B991">
        <v>44.862050039432901</v>
      </c>
      <c r="C991">
        <v>1371</v>
      </c>
      <c r="D991" t="s">
        <v>11</v>
      </c>
      <c r="E991" t="s">
        <v>12</v>
      </c>
      <c r="F991" t="s">
        <v>13</v>
      </c>
      <c r="G991" t="s">
        <v>74</v>
      </c>
      <c r="H991">
        <v>8699</v>
      </c>
      <c r="I991" t="s">
        <v>2030</v>
      </c>
      <c r="J991" t="s">
        <v>2031</v>
      </c>
      <c r="K991" t="s">
        <v>1593</v>
      </c>
      <c r="L991" t="str">
        <f t="shared" si="15"/>
        <v xml:space="preserve">{ longitude: -63.5436000371876, latitude: 44.8620500394329, stopType: 'Bus Stop Non-Standard', gotime: \'8699\', location: \'PRATT AND WHITNEY &lt;OB&gt; &lt;AT&gt; HOTELS\' }, </v>
      </c>
    </row>
    <row r="992" spans="1:12" x14ac:dyDescent="0.25">
      <c r="A992">
        <v>-63.681963109262</v>
      </c>
      <c r="B992">
        <v>44.766124583274603</v>
      </c>
      <c r="C992">
        <v>110</v>
      </c>
      <c r="D992" t="s">
        <v>22</v>
      </c>
      <c r="E992" t="s">
        <v>12</v>
      </c>
      <c r="F992" t="s">
        <v>25</v>
      </c>
      <c r="G992" t="s">
        <v>19</v>
      </c>
      <c r="H992">
        <v>7299</v>
      </c>
      <c r="I992" t="s">
        <v>2032</v>
      </c>
      <c r="J992" t="s">
        <v>2033</v>
      </c>
      <c r="K992" t="s">
        <v>17</v>
      </c>
      <c r="L992" t="str">
        <f t="shared" si="15"/>
        <v xml:space="preserve">{ longitude: -63.681963109262, latitude: 44.7661245832746, stopType: 'Bus Stop Shelter Accessible', gotime: \'7299\', location: \'SACKVILLE DR FS LEASIDE CIVIC 506\' }, </v>
      </c>
    </row>
    <row r="993" spans="1:12" x14ac:dyDescent="0.25">
      <c r="A993">
        <v>-63.527233327830402</v>
      </c>
      <c r="B993">
        <v>44.873383333618499</v>
      </c>
      <c r="C993">
        <v>1372</v>
      </c>
      <c r="D993" t="s">
        <v>11</v>
      </c>
      <c r="E993" t="s">
        <v>12</v>
      </c>
      <c r="F993" t="s">
        <v>13</v>
      </c>
      <c r="G993" t="s">
        <v>74</v>
      </c>
      <c r="H993">
        <v>9011</v>
      </c>
      <c r="I993" t="s">
        <v>2034</v>
      </c>
      <c r="J993" t="s">
        <v>2035</v>
      </c>
      <c r="K993" t="s">
        <v>1593</v>
      </c>
      <c r="L993" t="str">
        <f t="shared" si="15"/>
        <v xml:space="preserve">{ longitude: -63.5272333278304, latitude: 44.8733833336185, stopType: 'Bus Stop Non-Standard', gotime: \'9011\', location: \'BARNES DR &lt;OB&gt; &lt;FS&gt; BALDWIN DR\' }, </v>
      </c>
    </row>
    <row r="994" spans="1:12" x14ac:dyDescent="0.25">
      <c r="A994">
        <v>-63.710737124454603</v>
      </c>
      <c r="B994">
        <v>44.782148330946299</v>
      </c>
      <c r="C994">
        <v>111</v>
      </c>
      <c r="D994" t="s">
        <v>11</v>
      </c>
      <c r="E994" t="s">
        <v>12</v>
      </c>
      <c r="F994" t="s">
        <v>25</v>
      </c>
      <c r="G994" t="s">
        <v>26</v>
      </c>
      <c r="H994">
        <v>7300</v>
      </c>
      <c r="I994" t="s">
        <v>2036</v>
      </c>
      <c r="J994" t="s">
        <v>2037</v>
      </c>
      <c r="K994" t="s">
        <v>17</v>
      </c>
      <c r="L994" t="str">
        <f t="shared" si="15"/>
        <v xml:space="preserve">{ longitude: -63.7107371244546, latitude: 44.7821483309463, stopType: 'Bus Stop Non-Standard', gotime: \'7300\', location: \'SACKVILLE DR FS LUCASVILLE RD\' }, </v>
      </c>
    </row>
    <row r="995" spans="1:12" x14ac:dyDescent="0.25">
      <c r="A995">
        <v>-63.524916666504502</v>
      </c>
      <c r="B995">
        <v>44.875949999081101</v>
      </c>
      <c r="C995">
        <v>1373</v>
      </c>
      <c r="D995" t="s">
        <v>11</v>
      </c>
      <c r="E995" t="s">
        <v>12</v>
      </c>
      <c r="F995" t="s">
        <v>13</v>
      </c>
      <c r="G995" t="s">
        <v>74</v>
      </c>
      <c r="H995">
        <v>9013</v>
      </c>
      <c r="I995" t="s">
        <v>2038</v>
      </c>
      <c r="J995" t="s">
        <v>2039</v>
      </c>
      <c r="K995" t="s">
        <v>1593</v>
      </c>
      <c r="L995" t="str">
        <f t="shared" si="15"/>
        <v xml:space="preserve">{ longitude: -63.5249166665045, latitude: 44.8759499990811, stopType: 'Bus Stop Non-Standard', gotime: \'9013\', location: \'BARNES DR &lt;OB&gt; &lt;OP&gt; PARK AND FLY\' }, </v>
      </c>
    </row>
    <row r="996" spans="1:12" x14ac:dyDescent="0.25">
      <c r="A996">
        <v>-63.707529546718803</v>
      </c>
      <c r="B996">
        <v>44.781315796572997</v>
      </c>
      <c r="C996">
        <v>112</v>
      </c>
      <c r="D996" t="s">
        <v>29</v>
      </c>
      <c r="E996" t="s">
        <v>12</v>
      </c>
      <c r="F996" t="s">
        <v>13</v>
      </c>
      <c r="G996" t="s">
        <v>14</v>
      </c>
      <c r="H996">
        <v>7301</v>
      </c>
      <c r="I996" t="s">
        <v>2040</v>
      </c>
      <c r="J996" t="s">
        <v>2041</v>
      </c>
      <c r="K996" t="s">
        <v>17</v>
      </c>
      <c r="L996" t="str">
        <f t="shared" si="15"/>
        <v xml:space="preserve">{ longitude: -63.7075295467188, latitude: 44.781315796573, stopType: 'Bus Stop Accessible', gotime: \'7301\', location: \'SACKVILLE DR FS MILLWOOD DR\' }, </v>
      </c>
    </row>
    <row r="997" spans="1:12" x14ac:dyDescent="0.25">
      <c r="A997">
        <v>-63.5206833398546</v>
      </c>
      <c r="B997">
        <v>44.879766663138099</v>
      </c>
      <c r="C997">
        <v>1374</v>
      </c>
      <c r="D997" t="s">
        <v>11</v>
      </c>
      <c r="E997" t="s">
        <v>12</v>
      </c>
      <c r="F997" t="s">
        <v>13</v>
      </c>
      <c r="G997" t="s">
        <v>74</v>
      </c>
      <c r="H997">
        <v>9014</v>
      </c>
      <c r="I997" t="s">
        <v>2042</v>
      </c>
      <c r="J997" t="s">
        <v>2043</v>
      </c>
      <c r="K997" t="s">
        <v>1593</v>
      </c>
      <c r="L997" t="str">
        <f t="shared" si="15"/>
        <v xml:space="preserve">{ longitude: -63.5206833398546, latitude: 44.8797666631381, stopType: 'Bus Stop Non-Standard', gotime: \'9014\', location: \'BARNES DR &lt;OB&gt; &lt;NS&gt; RED WING DR\' }, </v>
      </c>
    </row>
    <row r="998" spans="1:12" x14ac:dyDescent="0.25">
      <c r="A998">
        <v>-63.719784235553597</v>
      </c>
      <c r="B998">
        <v>44.794377899800402</v>
      </c>
      <c r="C998">
        <v>113</v>
      </c>
      <c r="D998" t="s">
        <v>103</v>
      </c>
      <c r="E998" t="s">
        <v>12</v>
      </c>
      <c r="F998" t="s">
        <v>25</v>
      </c>
      <c r="G998" t="s">
        <v>65</v>
      </c>
      <c r="H998">
        <v>7302</v>
      </c>
      <c r="I998" t="s">
        <v>2044</v>
      </c>
      <c r="J998" t="s">
        <v>2045</v>
      </c>
      <c r="K998" t="s">
        <v>17</v>
      </c>
      <c r="L998" t="str">
        <f t="shared" si="15"/>
        <v xml:space="preserve">{ longitude: -63.7197842355536, latitude: 44.7943778998004, stopType: 'Bus Stop Inaccessible', gotime: \'7302\', location: \'SACKVILLE DR FS OLD SACKVILLE RD\' }, </v>
      </c>
    </row>
    <row r="999" spans="1:12" x14ac:dyDescent="0.25">
      <c r="A999">
        <v>-63.518250006469302</v>
      </c>
      <c r="B999">
        <v>44.882283354007697</v>
      </c>
      <c r="C999">
        <v>1375</v>
      </c>
      <c r="D999" t="s">
        <v>11</v>
      </c>
      <c r="E999" t="s">
        <v>12</v>
      </c>
      <c r="F999" t="s">
        <v>13</v>
      </c>
      <c r="G999" t="s">
        <v>74</v>
      </c>
      <c r="H999">
        <v>8696</v>
      </c>
      <c r="I999" t="s">
        <v>2046</v>
      </c>
      <c r="J999" t="s">
        <v>2047</v>
      </c>
      <c r="K999" t="s">
        <v>1593</v>
      </c>
      <c r="L999" t="str">
        <f t="shared" si="15"/>
        <v xml:space="preserve">{ longitude: -63.5182500064693, latitude: 44.8822833540077, stopType: 'Bus Stop Non-Standard', gotime: \'8696\', location: \'BARNES DR &lt;NS&gt; CYGNET DR\' }, </v>
      </c>
    </row>
    <row r="1000" spans="1:12" x14ac:dyDescent="0.25">
      <c r="A1000">
        <v>-63.667937306323402</v>
      </c>
      <c r="B1000">
        <v>44.756681669945998</v>
      </c>
      <c r="C1000">
        <v>114</v>
      </c>
      <c r="D1000" t="s">
        <v>22</v>
      </c>
      <c r="E1000" t="s">
        <v>12</v>
      </c>
      <c r="F1000" t="s">
        <v>25</v>
      </c>
      <c r="G1000" t="s">
        <v>19</v>
      </c>
      <c r="H1000">
        <v>7303</v>
      </c>
      <c r="I1000" t="s">
        <v>2048</v>
      </c>
      <c r="J1000" t="s">
        <v>2049</v>
      </c>
      <c r="K1000" t="s">
        <v>17</v>
      </c>
      <c r="L1000" t="str">
        <f t="shared" si="15"/>
        <v xml:space="preserve">{ longitude: -63.6679373063234, latitude: 44.756681669946, stopType: 'Bus Stop Shelter Accessible', gotime: \'7303\', location: \'SACKVILLE DR FS OPP HILLCREST AVE\' }, </v>
      </c>
    </row>
    <row r="1001" spans="1:12" x14ac:dyDescent="0.25">
      <c r="A1001">
        <v>-63.640965003758801</v>
      </c>
      <c r="B1001">
        <v>44.538457066286703</v>
      </c>
      <c r="C1001">
        <v>1376</v>
      </c>
      <c r="D1001" t="s">
        <v>11</v>
      </c>
      <c r="E1001" t="s">
        <v>12</v>
      </c>
      <c r="F1001" t="s">
        <v>1091</v>
      </c>
      <c r="G1001" t="s">
        <v>1092</v>
      </c>
      <c r="H1001">
        <v>7658</v>
      </c>
      <c r="I1001" t="s">
        <v>2050</v>
      </c>
      <c r="J1001" t="s">
        <v>2051</v>
      </c>
      <c r="K1001" t="s">
        <v>17</v>
      </c>
      <c r="L1001" t="str">
        <f t="shared" si="15"/>
        <v xml:space="preserve">{ longitude: -63.6409650037588, latitude: 44.5384570662867, stopType: 'Bus Stop Non-Standard', gotime: \'7658\', location: \'OLD SAMBRO RD @  CIVIC 1946\' }, </v>
      </c>
    </row>
    <row r="1002" spans="1:12" x14ac:dyDescent="0.25">
      <c r="A1002">
        <v>-63.675002452612297</v>
      </c>
      <c r="B1002">
        <v>44.763212820021202</v>
      </c>
      <c r="C1002">
        <v>115</v>
      </c>
      <c r="D1002" t="s">
        <v>11</v>
      </c>
      <c r="E1002" t="s">
        <v>12</v>
      </c>
      <c r="F1002" t="s">
        <v>13</v>
      </c>
      <c r="G1002" t="s">
        <v>14</v>
      </c>
      <c r="H1002">
        <v>7304</v>
      </c>
      <c r="I1002" t="s">
        <v>2052</v>
      </c>
      <c r="J1002" t="s">
        <v>2053</v>
      </c>
      <c r="K1002" t="s">
        <v>17</v>
      </c>
      <c r="L1002" t="str">
        <f t="shared" si="15"/>
        <v xml:space="preserve">{ longitude: -63.6750024526123, latitude: 44.7632128200212, stopType: 'Bus Stop Non-Standard', gotime: \'7304\', location: \'SACKVILLE DR FS OPP OAKDALE DR\' }, </v>
      </c>
    </row>
    <row r="1003" spans="1:12" x14ac:dyDescent="0.25">
      <c r="A1003">
        <v>-63.640833367926497</v>
      </c>
      <c r="B1003">
        <v>44.5439166979967</v>
      </c>
      <c r="C1003">
        <v>1377</v>
      </c>
      <c r="D1003" t="s">
        <v>11</v>
      </c>
      <c r="E1003" t="s">
        <v>12</v>
      </c>
      <c r="F1003" t="s">
        <v>1091</v>
      </c>
      <c r="G1003" t="s">
        <v>1092</v>
      </c>
      <c r="H1003">
        <v>7659</v>
      </c>
      <c r="I1003" t="s">
        <v>2054</v>
      </c>
      <c r="J1003" t="s">
        <v>2055</v>
      </c>
      <c r="K1003" t="s">
        <v>17</v>
      </c>
      <c r="L1003" t="str">
        <f t="shared" si="15"/>
        <v xml:space="preserve">{ longitude: -63.6408333679265, latitude: 44.5439166979967, stopType: 'Bus Stop Non-Standard', gotime: \'7659\', location: \'OLD SAMBRO RD @ FRASER RD\' }, </v>
      </c>
    </row>
    <row r="1004" spans="1:12" x14ac:dyDescent="0.25">
      <c r="A1004">
        <v>-63.684231935083403</v>
      </c>
      <c r="B1004">
        <v>44.767382756151697</v>
      </c>
      <c r="C1004">
        <v>116</v>
      </c>
      <c r="D1004" t="s">
        <v>29</v>
      </c>
      <c r="E1004" t="s">
        <v>12</v>
      </c>
      <c r="F1004" t="s">
        <v>25</v>
      </c>
      <c r="G1004" t="s">
        <v>26</v>
      </c>
      <c r="H1004">
        <v>7305</v>
      </c>
      <c r="I1004" t="s">
        <v>2056</v>
      </c>
      <c r="J1004" t="s">
        <v>2057</v>
      </c>
      <c r="K1004" t="s">
        <v>17</v>
      </c>
      <c r="L1004" t="str">
        <f t="shared" si="15"/>
        <v xml:space="preserve">{ longitude: -63.6842319350834, latitude: 44.7673827561517, stopType: 'Bus Stop Accessible', gotime: \'7305\', location: \'SACKVILLE DR FS SACKVILLE CROSS RD\' }, </v>
      </c>
    </row>
    <row r="1005" spans="1:12" x14ac:dyDescent="0.25">
      <c r="A1005">
        <v>-63.641066703564903</v>
      </c>
      <c r="B1005">
        <v>44.546183375827198</v>
      </c>
      <c r="C1005">
        <v>1378</v>
      </c>
      <c r="D1005" t="s">
        <v>11</v>
      </c>
      <c r="E1005" t="s">
        <v>12</v>
      </c>
      <c r="F1005" t="s">
        <v>1091</v>
      </c>
      <c r="G1005" t="s">
        <v>1092</v>
      </c>
      <c r="H1005">
        <v>7660</v>
      </c>
      <c r="I1005" t="s">
        <v>2058</v>
      </c>
      <c r="J1005" t="s">
        <v>2059</v>
      </c>
      <c r="K1005" t="s">
        <v>17</v>
      </c>
      <c r="L1005" t="str">
        <f t="shared" si="15"/>
        <v xml:space="preserve">{ longitude: -63.6410667035649, latitude: 44.5461833758272, stopType: 'Bus Stop Non-Standard', gotime: \'7660\', location: \'OLD SAMBRO RD @ FANCYVIEW DR\' }, </v>
      </c>
    </row>
    <row r="1006" spans="1:12" x14ac:dyDescent="0.25">
      <c r="A1006">
        <v>-63.700912995824403</v>
      </c>
      <c r="B1006">
        <v>44.7816480322061</v>
      </c>
      <c r="C1006">
        <v>117</v>
      </c>
      <c r="D1006" t="s">
        <v>29</v>
      </c>
      <c r="E1006" t="s">
        <v>12</v>
      </c>
      <c r="F1006" t="s">
        <v>25</v>
      </c>
      <c r="G1006" t="s">
        <v>26</v>
      </c>
      <c r="H1006">
        <v>7306</v>
      </c>
      <c r="I1006" t="s">
        <v>2060</v>
      </c>
      <c r="J1006" t="s">
        <v>2061</v>
      </c>
      <c r="K1006" t="s">
        <v>17</v>
      </c>
      <c r="L1006" t="str">
        <f t="shared" si="15"/>
        <v xml:space="preserve">{ longitude: -63.7009129958244, latitude: 44.7816480322061, stopType: 'Bus Stop Accessible', gotime: \'7306\', location: \'SACKVILLE DR FS SHARON DR\' }, </v>
      </c>
    </row>
    <row r="1007" spans="1:12" x14ac:dyDescent="0.25">
      <c r="A1007">
        <v>-63.637088720268899</v>
      </c>
      <c r="B1007">
        <v>44.564670083849997</v>
      </c>
      <c r="C1007">
        <v>1379</v>
      </c>
      <c r="D1007" t="s">
        <v>11</v>
      </c>
      <c r="E1007" t="s">
        <v>12</v>
      </c>
      <c r="F1007" t="s">
        <v>1091</v>
      </c>
      <c r="G1007" t="s">
        <v>1092</v>
      </c>
      <c r="H1007">
        <v>7661</v>
      </c>
      <c r="I1007" t="s">
        <v>2062</v>
      </c>
      <c r="J1007" t="s">
        <v>2063</v>
      </c>
      <c r="K1007" t="s">
        <v>17</v>
      </c>
      <c r="L1007" t="str">
        <f t="shared" si="15"/>
        <v xml:space="preserve">{ longitude: -63.6370887202689, latitude: 44.56467008385, stopType: 'Bus Stop Non-Standard', gotime: \'7661\', location: \'OLD SAMBRO RD @ GOSPEL LIGHT CHURCH\' }, </v>
      </c>
    </row>
    <row r="1008" spans="1:12" x14ac:dyDescent="0.25">
      <c r="A1008">
        <v>-63.699352034443798</v>
      </c>
      <c r="B1008">
        <v>44.7803051630586</v>
      </c>
      <c r="C1008">
        <v>118</v>
      </c>
      <c r="D1008" t="s">
        <v>29</v>
      </c>
      <c r="E1008" t="s">
        <v>12</v>
      </c>
      <c r="F1008" t="s">
        <v>25</v>
      </c>
      <c r="G1008" t="s">
        <v>26</v>
      </c>
      <c r="H1008">
        <v>7307</v>
      </c>
      <c r="I1008" t="s">
        <v>2064</v>
      </c>
      <c r="J1008" t="s">
        <v>2065</v>
      </c>
      <c r="K1008" t="s">
        <v>17</v>
      </c>
      <c r="L1008" t="str">
        <f t="shared" si="15"/>
        <v xml:space="preserve">{ longitude: -63.6993520344438, latitude: 44.7803051630586, stopType: 'Bus Stop Accessible', gotime: \'7307\', location: \'SACKVILLE DR FS STANLEY ST\' }, </v>
      </c>
    </row>
    <row r="1009" spans="1:12" x14ac:dyDescent="0.25">
      <c r="A1009">
        <v>-63.635916645124802</v>
      </c>
      <c r="B1009">
        <v>44.566900036761901</v>
      </c>
      <c r="C1009">
        <v>1380</v>
      </c>
      <c r="D1009" t="s">
        <v>11</v>
      </c>
      <c r="E1009" t="s">
        <v>12</v>
      </c>
      <c r="F1009" t="s">
        <v>1091</v>
      </c>
      <c r="G1009" t="s">
        <v>1092</v>
      </c>
      <c r="H1009">
        <v>7662</v>
      </c>
      <c r="I1009" t="s">
        <v>2066</v>
      </c>
      <c r="J1009" t="s">
        <v>2067</v>
      </c>
      <c r="K1009" t="s">
        <v>17</v>
      </c>
      <c r="L1009" t="str">
        <f t="shared" si="15"/>
        <v xml:space="preserve">{ longitude: -63.6359166451248, latitude: 44.5669000367619, stopType: 'Bus Stop Non-Standard', gotime: \'7662\', location: \'OLD SAMBRO RD @ VENUS DR\' }, </v>
      </c>
    </row>
    <row r="1010" spans="1:12" x14ac:dyDescent="0.25">
      <c r="A1010">
        <v>-63.728375234472601</v>
      </c>
      <c r="B1010">
        <v>44.795588212452898</v>
      </c>
      <c r="C1010">
        <v>119</v>
      </c>
      <c r="D1010" t="s">
        <v>103</v>
      </c>
      <c r="E1010" t="s">
        <v>12</v>
      </c>
      <c r="F1010" t="s">
        <v>25</v>
      </c>
      <c r="G1010" t="s">
        <v>65</v>
      </c>
      <c r="H1010">
        <v>7308</v>
      </c>
      <c r="I1010" t="s">
        <v>2068</v>
      </c>
      <c r="J1010" t="s">
        <v>2069</v>
      </c>
      <c r="K1010" t="s">
        <v>17</v>
      </c>
      <c r="L1010" t="str">
        <f t="shared" si="15"/>
        <v xml:space="preserve">{ longitude: -63.7283752344726, latitude: 44.7955882124529, stopType: 'Bus Stop Inaccessible', gotime: \'7308\', location: \'SACKVILLE DR FS OPP HAMILTON DR\' }, </v>
      </c>
    </row>
    <row r="1011" spans="1:12" x14ac:dyDescent="0.25">
      <c r="A1011">
        <v>-63.634204856637403</v>
      </c>
      <c r="B1011">
        <v>44.570123704580297</v>
      </c>
      <c r="C1011">
        <v>1381</v>
      </c>
      <c r="D1011" t="s">
        <v>11</v>
      </c>
      <c r="E1011" t="s">
        <v>12</v>
      </c>
      <c r="F1011" t="s">
        <v>1091</v>
      </c>
      <c r="G1011" t="s">
        <v>1092</v>
      </c>
      <c r="H1011">
        <v>7663</v>
      </c>
      <c r="I1011" t="s">
        <v>2070</v>
      </c>
      <c r="J1011" t="s">
        <v>2071</v>
      </c>
      <c r="K1011" t="s">
        <v>17</v>
      </c>
      <c r="L1011" t="str">
        <f t="shared" si="15"/>
        <v xml:space="preserve">{ longitude: -63.6342048566374, latitude: 44.5701237045803, stopType: 'Bus Stop Non-Standard', gotime: \'7663\', location: \'OLD SAMBRO RD OPPOSITE HARRIET LANE\' }, </v>
      </c>
    </row>
    <row r="1012" spans="1:12" x14ac:dyDescent="0.25">
      <c r="A1012">
        <v>-63.686647852362597</v>
      </c>
      <c r="B1012">
        <v>44.768483088695497</v>
      </c>
      <c r="C1012">
        <v>120</v>
      </c>
      <c r="D1012" t="s">
        <v>11</v>
      </c>
      <c r="E1012" t="s">
        <v>12</v>
      </c>
      <c r="F1012" t="s">
        <v>13</v>
      </c>
      <c r="G1012" t="s">
        <v>14</v>
      </c>
      <c r="H1012">
        <v>7309</v>
      </c>
      <c r="I1012" t="s">
        <v>2072</v>
      </c>
      <c r="J1012" t="s">
        <v>2073</v>
      </c>
      <c r="K1012" t="s">
        <v>17</v>
      </c>
      <c r="L1012" t="str">
        <f t="shared" si="15"/>
        <v xml:space="preserve">{ longitude: -63.6866478523626, latitude: 44.7684830886955, stopType: 'Bus Stop Non-Standard', gotime: \'7309\', location: \'SACKVILLE DR AT CIVIC 614\' }, </v>
      </c>
    </row>
    <row r="1013" spans="1:12" x14ac:dyDescent="0.25">
      <c r="A1013">
        <v>-63.6325499485759</v>
      </c>
      <c r="B1013">
        <v>44.5726166260771</v>
      </c>
      <c r="C1013">
        <v>1382</v>
      </c>
      <c r="D1013" t="s">
        <v>11</v>
      </c>
      <c r="E1013" t="s">
        <v>12</v>
      </c>
      <c r="F1013" t="s">
        <v>1091</v>
      </c>
      <c r="G1013" t="s">
        <v>1092</v>
      </c>
      <c r="H1013">
        <v>7664</v>
      </c>
      <c r="I1013" t="s">
        <v>2074</v>
      </c>
      <c r="J1013" t="s">
        <v>2075</v>
      </c>
      <c r="K1013" t="s">
        <v>17</v>
      </c>
      <c r="L1013" t="str">
        <f t="shared" si="15"/>
        <v xml:space="preserve">{ longitude: -63.6325499485759, latitude: 44.5726166260771, stopType: 'Bus Stop Non-Standard', gotime: \'7664\', location: \'OLD SAMBRO RD @ CIVIC 1060\' }, </v>
      </c>
    </row>
    <row r="1014" spans="1:12" x14ac:dyDescent="0.25">
      <c r="A1014">
        <v>-63.686601663680101</v>
      </c>
      <c r="B1014">
        <v>44.768659601595999</v>
      </c>
      <c r="C1014">
        <v>121</v>
      </c>
      <c r="D1014" t="s">
        <v>11</v>
      </c>
      <c r="E1014" t="s">
        <v>12</v>
      </c>
      <c r="F1014" t="s">
        <v>25</v>
      </c>
      <c r="G1014" t="s">
        <v>26</v>
      </c>
      <c r="H1014">
        <v>7310</v>
      </c>
      <c r="I1014" t="s">
        <v>2076</v>
      </c>
      <c r="J1014" t="s">
        <v>2077</v>
      </c>
      <c r="K1014" t="s">
        <v>17</v>
      </c>
      <c r="L1014" t="str">
        <f t="shared" si="15"/>
        <v xml:space="preserve">{ longitude: -63.6866016636801, latitude: 44.768659601596, stopType: 'Bus Stop Non-Standard', gotime: \'7310\', location: \'SACKVILLE DR AT KINGSWAY COURT\' }, </v>
      </c>
    </row>
    <row r="1015" spans="1:12" x14ac:dyDescent="0.25">
      <c r="A1015">
        <v>-63.633800160692303</v>
      </c>
      <c r="B1015">
        <v>44.574783208124899</v>
      </c>
      <c r="C1015">
        <v>1383</v>
      </c>
      <c r="D1015" t="s">
        <v>11</v>
      </c>
      <c r="E1015" t="s">
        <v>12</v>
      </c>
      <c r="F1015" t="s">
        <v>1091</v>
      </c>
      <c r="G1015" t="s">
        <v>1092</v>
      </c>
      <c r="H1015">
        <v>7665</v>
      </c>
      <c r="I1015" t="s">
        <v>2078</v>
      </c>
      <c r="J1015" t="s">
        <v>2079</v>
      </c>
      <c r="K1015" t="s">
        <v>17</v>
      </c>
      <c r="L1015" t="str">
        <f t="shared" si="15"/>
        <v xml:space="preserve">{ longitude: -63.6338001606923, latitude: 44.5747832081249, stopType: 'Bus Stop Non-Standard', gotime: \'7665\', location: \'OLD SAMBRO RD @ CIVIC 1000\' }, </v>
      </c>
    </row>
    <row r="1016" spans="1:12" x14ac:dyDescent="0.25">
      <c r="A1016">
        <v>-63.684379717382697</v>
      </c>
      <c r="B1016">
        <v>44.7676537993596</v>
      </c>
      <c r="C1016">
        <v>122</v>
      </c>
      <c r="D1016" t="s">
        <v>29</v>
      </c>
      <c r="E1016" t="s">
        <v>12</v>
      </c>
      <c r="F1016" t="s">
        <v>25</v>
      </c>
      <c r="G1016" t="s">
        <v>26</v>
      </c>
      <c r="H1016">
        <v>7311</v>
      </c>
      <c r="I1016" t="s">
        <v>2080</v>
      </c>
      <c r="J1016" t="s">
        <v>2081</v>
      </c>
      <c r="K1016" t="s">
        <v>17</v>
      </c>
      <c r="L1016" t="str">
        <f t="shared" si="15"/>
        <v xml:space="preserve">{ longitude: -63.6843797173827, latitude: 44.7676537993596, stopType: 'Bus Stop Accessible', gotime: \'7311\', location: \'SACKVILLE DR AT KNOX CHURCH\' }, </v>
      </c>
    </row>
    <row r="1017" spans="1:12" x14ac:dyDescent="0.25">
      <c r="A1017">
        <v>-63.638354781259402</v>
      </c>
      <c r="B1017">
        <v>44.579516770450603</v>
      </c>
      <c r="C1017">
        <v>1384</v>
      </c>
      <c r="D1017" t="s">
        <v>11</v>
      </c>
      <c r="E1017" t="s">
        <v>12</v>
      </c>
      <c r="F1017" t="s">
        <v>1091</v>
      </c>
      <c r="G1017" t="s">
        <v>1092</v>
      </c>
      <c r="H1017">
        <v>7666</v>
      </c>
      <c r="I1017" t="s">
        <v>2082</v>
      </c>
      <c r="J1017" t="s">
        <v>2083</v>
      </c>
      <c r="K1017" t="s">
        <v>17</v>
      </c>
      <c r="L1017" t="str">
        <f t="shared" si="15"/>
        <v xml:space="preserve">{ longitude: -63.6383547812594, latitude: 44.5795167704506, stopType: 'Bus Stop Non-Standard', gotime: \'7666\', location: \'OLD SAMBRO RD @ WEAVERS LAKE DR.\' }, </v>
      </c>
    </row>
    <row r="1018" spans="1:12" x14ac:dyDescent="0.25">
      <c r="A1018">
        <v>-63.679700390876199</v>
      </c>
      <c r="B1018">
        <v>44.765334387697102</v>
      </c>
      <c r="C1018">
        <v>123</v>
      </c>
      <c r="D1018" t="s">
        <v>11</v>
      </c>
      <c r="E1018" t="s">
        <v>12</v>
      </c>
      <c r="F1018" t="s">
        <v>25</v>
      </c>
      <c r="G1018" t="s">
        <v>26</v>
      </c>
      <c r="H1018">
        <v>7312</v>
      </c>
      <c r="I1018" t="s">
        <v>2084</v>
      </c>
      <c r="J1018" t="s">
        <v>2085</v>
      </c>
      <c r="K1018" t="s">
        <v>17</v>
      </c>
      <c r="L1018" t="str">
        <f t="shared" si="15"/>
        <v xml:space="preserve">{ longitude: -63.6797003908762, latitude: 44.7653343876971, stopType: 'Bus Stop Non-Standard', gotime: \'7312\', location: \'SACKVILLE DR AT MAINWAY AUTO\' }, </v>
      </c>
    </row>
    <row r="1019" spans="1:12" x14ac:dyDescent="0.25">
      <c r="A1019">
        <v>-63.640659124687303</v>
      </c>
      <c r="B1019">
        <v>44.582195666161198</v>
      </c>
      <c r="C1019">
        <v>1385</v>
      </c>
      <c r="D1019" t="s">
        <v>11</v>
      </c>
      <c r="E1019" t="s">
        <v>12</v>
      </c>
      <c r="F1019" t="s">
        <v>1091</v>
      </c>
      <c r="G1019" t="s">
        <v>1092</v>
      </c>
      <c r="H1019">
        <v>7667</v>
      </c>
      <c r="I1019" t="s">
        <v>2086</v>
      </c>
      <c r="J1019" t="s">
        <v>2087</v>
      </c>
      <c r="K1019" t="s">
        <v>17</v>
      </c>
      <c r="L1019" t="str">
        <f t="shared" si="15"/>
        <v xml:space="preserve">{ longitude: -63.6406591246873, latitude: 44.5821956661612, stopType: 'Bus Stop Non-Standard', gotime: \'7667\', location: \'OLD SAMBRO RD @ DUGGAN LANE\' }, </v>
      </c>
    </row>
    <row r="1020" spans="1:12" x14ac:dyDescent="0.25">
      <c r="A1020">
        <v>-63.672544956969602</v>
      </c>
      <c r="B1020">
        <v>44.760737610390699</v>
      </c>
      <c r="C1020">
        <v>124</v>
      </c>
      <c r="D1020" t="s">
        <v>18</v>
      </c>
      <c r="E1020" t="s">
        <v>12</v>
      </c>
      <c r="F1020" t="s">
        <v>13</v>
      </c>
      <c r="G1020" t="s">
        <v>14</v>
      </c>
      <c r="H1020">
        <v>7313</v>
      </c>
      <c r="I1020" t="s">
        <v>2088</v>
      </c>
      <c r="J1020" t="s">
        <v>2089</v>
      </c>
      <c r="K1020" t="s">
        <v>17</v>
      </c>
      <c r="L1020" t="str">
        <f t="shared" si="15"/>
        <v xml:space="preserve">{ longitude: -63.6725449569696, latitude: 44.7607376103907, stopType: 'Bus Stop Shelter Non-Standard', gotime: \'7313\', location: \'SACKVILLE DR NS ARMOYAN DR\' }, </v>
      </c>
    </row>
    <row r="1021" spans="1:12" x14ac:dyDescent="0.25">
      <c r="A1021">
        <v>-63.6408701356143</v>
      </c>
      <c r="B1021">
        <v>44.582446730228902</v>
      </c>
      <c r="C1021">
        <v>1386</v>
      </c>
      <c r="D1021" t="s">
        <v>11</v>
      </c>
      <c r="E1021" t="s">
        <v>12</v>
      </c>
      <c r="F1021" t="s">
        <v>1091</v>
      </c>
      <c r="G1021" t="s">
        <v>1092</v>
      </c>
      <c r="H1021">
        <v>7668</v>
      </c>
      <c r="I1021" t="s">
        <v>2090</v>
      </c>
      <c r="J1021" t="s">
        <v>2091</v>
      </c>
      <c r="K1021" t="s">
        <v>17</v>
      </c>
      <c r="L1021" t="str">
        <f t="shared" si="15"/>
        <v xml:space="preserve">{ longitude: -63.6408701356143, latitude: 44.5824467302289, stopType: 'Bus Stop Non-Standard', gotime: \'7668\', location: \'OLD SAMBRO RD @ CIVIC 702\' }, </v>
      </c>
    </row>
    <row r="1022" spans="1:12" x14ac:dyDescent="0.25">
      <c r="A1022">
        <v>-63.703614032430302</v>
      </c>
      <c r="B1022">
        <v>44.781873890195598</v>
      </c>
      <c r="C1022">
        <v>125</v>
      </c>
      <c r="D1022" t="s">
        <v>29</v>
      </c>
      <c r="E1022" t="s">
        <v>12</v>
      </c>
      <c r="F1022" t="s">
        <v>25</v>
      </c>
      <c r="G1022" t="s">
        <v>26</v>
      </c>
      <c r="H1022">
        <v>7314</v>
      </c>
      <c r="I1022" t="s">
        <v>2092</v>
      </c>
      <c r="J1022" t="s">
        <v>2093</v>
      </c>
      <c r="K1022" t="s">
        <v>17</v>
      </c>
      <c r="L1022" t="str">
        <f t="shared" si="15"/>
        <v xml:space="preserve">{ longitude: -63.7036140324303, latitude: 44.7818738901956, stopType: 'Bus Stop Accessible', gotime: \'7314\', location: \'SACKVILLE DR NS BEAVERBANK CROSS RD\' }, </v>
      </c>
    </row>
    <row r="1023" spans="1:12" x14ac:dyDescent="0.25">
      <c r="A1023">
        <v>-63.6385499528674</v>
      </c>
      <c r="B1023">
        <v>44.594950042895903</v>
      </c>
      <c r="C1023">
        <v>1387</v>
      </c>
      <c r="D1023" t="s">
        <v>11</v>
      </c>
      <c r="E1023" t="s">
        <v>12</v>
      </c>
      <c r="F1023" t="s">
        <v>1091</v>
      </c>
      <c r="G1023" t="s">
        <v>1092</v>
      </c>
      <c r="H1023">
        <v>7669</v>
      </c>
      <c r="I1023" t="s">
        <v>2094</v>
      </c>
      <c r="J1023" t="s">
        <v>2095</v>
      </c>
      <c r="K1023" t="s">
        <v>17</v>
      </c>
      <c r="L1023" t="str">
        <f t="shared" si="15"/>
        <v xml:space="preserve">{ longitude: -63.6385499528674, latitude: 44.5949500428959, stopType: 'Bus Stop Non-Standard', gotime: \'7669\', location: \'OLD SAMBRO RD @ LEIBLEN DR\' }, </v>
      </c>
    </row>
    <row r="1024" spans="1:12" x14ac:dyDescent="0.25">
      <c r="A1024">
        <v>-63.696401064298698</v>
      </c>
      <c r="B1024">
        <v>44.7765329644687</v>
      </c>
      <c r="C1024">
        <v>126</v>
      </c>
      <c r="D1024" t="s">
        <v>29</v>
      </c>
      <c r="E1024" t="s">
        <v>12</v>
      </c>
      <c r="F1024" t="s">
        <v>13</v>
      </c>
      <c r="G1024" t="s">
        <v>14</v>
      </c>
      <c r="H1024">
        <v>7315</v>
      </c>
      <c r="I1024" t="s">
        <v>2096</v>
      </c>
      <c r="J1024" t="s">
        <v>2097</v>
      </c>
      <c r="K1024" t="s">
        <v>17</v>
      </c>
      <c r="L1024" t="str">
        <f t="shared" si="15"/>
        <v xml:space="preserve">{ longitude: -63.6964010642987, latitude: 44.7765329644687, stopType: 'Bus Stop Accessible', gotime: \'7315\', location: \'SACKVILLE DR NS BEAVERBANK RD\' }, </v>
      </c>
    </row>
    <row r="1025" spans="1:12" x14ac:dyDescent="0.25">
      <c r="A1025">
        <v>-63.631268644679103</v>
      </c>
      <c r="B1025">
        <v>44.636224049146598</v>
      </c>
      <c r="C1025">
        <v>1388</v>
      </c>
      <c r="D1025" t="s">
        <v>103</v>
      </c>
      <c r="E1025" t="s">
        <v>12</v>
      </c>
      <c r="F1025" t="s">
        <v>1091</v>
      </c>
      <c r="G1025" t="s">
        <v>65</v>
      </c>
      <c r="H1025">
        <v>8816</v>
      </c>
      <c r="I1025" t="s">
        <v>2098</v>
      </c>
      <c r="J1025" t="s">
        <v>2099</v>
      </c>
      <c r="K1025" t="s">
        <v>17</v>
      </c>
      <c r="L1025" t="str">
        <f t="shared" si="15"/>
        <v xml:space="preserve">{ longitude: -63.6312686446791, latitude: 44.6362240491466, stopType: 'Bus Stop Inaccessible', gotime: \'8816\', location: \'QUARRY RD &lt;FS&gt; ST MARGARETS BAY RD\' }, </v>
      </c>
    </row>
    <row r="1026" spans="1:12" x14ac:dyDescent="0.25">
      <c r="A1026">
        <v>-63.726256006054797</v>
      </c>
      <c r="B1026">
        <v>44.7952768886054</v>
      </c>
      <c r="C1026">
        <v>127</v>
      </c>
      <c r="D1026" t="s">
        <v>11</v>
      </c>
      <c r="E1026" t="s">
        <v>12</v>
      </c>
      <c r="F1026" t="s">
        <v>25</v>
      </c>
      <c r="G1026" t="s">
        <v>26</v>
      </c>
      <c r="H1026">
        <v>7316</v>
      </c>
      <c r="I1026" t="s">
        <v>2100</v>
      </c>
      <c r="J1026" t="s">
        <v>2101</v>
      </c>
      <c r="K1026" t="s">
        <v>17</v>
      </c>
      <c r="L1026" t="str">
        <f t="shared" si="15"/>
        <v xml:space="preserve">{ longitude: -63.7262560060548, latitude: 44.7952768886054, stopType: 'Bus Stop Non-Standard', gotime: \'7316\', location: \'SACKVILLE DR NS CIVIC 1658\' }, </v>
      </c>
    </row>
    <row r="1027" spans="1:12" x14ac:dyDescent="0.25">
      <c r="A1027">
        <v>-63.629737158351098</v>
      </c>
      <c r="B1027">
        <v>44.635079315275199</v>
      </c>
      <c r="C1027">
        <v>1389</v>
      </c>
      <c r="D1027" t="s">
        <v>11</v>
      </c>
      <c r="E1027" t="s">
        <v>12</v>
      </c>
      <c r="F1027" t="s">
        <v>1091</v>
      </c>
      <c r="G1027" t="s">
        <v>1131</v>
      </c>
      <c r="H1027">
        <v>8800</v>
      </c>
      <c r="I1027" t="s">
        <v>2102</v>
      </c>
      <c r="J1027" t="s">
        <v>2103</v>
      </c>
      <c r="K1027" t="s">
        <v>17</v>
      </c>
      <c r="L1027" t="str">
        <f t="shared" ref="L1027:L1090" si="16">CONCATENATE( "{ longitude: ", A1027, ", latitude: ", B1027, ", stopType: '", D1027, "', gotime: \'", H1027, "\', location: \'", I1027, "\' }, ")</f>
        <v xml:space="preserve">{ longitude: -63.6297371583511, latitude: 44.6350793152752, stopType: 'Bus Stop Non-Standard', gotime: \'8800\', location: \'STONEHAVEN RD &lt;AT&gt; CIVIC 36\' }, </v>
      </c>
    </row>
    <row r="1028" spans="1:12" x14ac:dyDescent="0.25">
      <c r="A1028">
        <v>-63.728246214795199</v>
      </c>
      <c r="B1028">
        <v>44.795785330616702</v>
      </c>
      <c r="C1028">
        <v>128</v>
      </c>
      <c r="D1028" t="s">
        <v>103</v>
      </c>
      <c r="E1028" t="s">
        <v>12</v>
      </c>
      <c r="F1028" t="s">
        <v>25</v>
      </c>
      <c r="G1028" t="s">
        <v>65</v>
      </c>
      <c r="H1028">
        <v>7317</v>
      </c>
      <c r="I1028" t="s">
        <v>2104</v>
      </c>
      <c r="J1028" t="s">
        <v>2105</v>
      </c>
      <c r="K1028" t="s">
        <v>17</v>
      </c>
      <c r="L1028" t="str">
        <f t="shared" si="16"/>
        <v xml:space="preserve">{ longitude: -63.7282462147952, latitude: 44.7957853306167, stopType: 'Bus Stop Inaccessible', gotime: \'7317\', location: \'SACKVILLE DR NS HAMILTON DR\' }, </v>
      </c>
    </row>
    <row r="1029" spans="1:12" x14ac:dyDescent="0.25">
      <c r="A1029">
        <v>-63.629435036218403</v>
      </c>
      <c r="B1029">
        <v>44.634370978900499</v>
      </c>
      <c r="C1029">
        <v>1390</v>
      </c>
      <c r="D1029" t="s">
        <v>11</v>
      </c>
      <c r="E1029" t="s">
        <v>12</v>
      </c>
      <c r="F1029" t="s">
        <v>1091</v>
      </c>
      <c r="G1029" t="s">
        <v>1131</v>
      </c>
      <c r="H1029">
        <v>8801</v>
      </c>
      <c r="I1029" t="s">
        <v>2106</v>
      </c>
      <c r="J1029" t="s">
        <v>2107</v>
      </c>
      <c r="K1029" t="s">
        <v>17</v>
      </c>
      <c r="L1029" t="str">
        <f t="shared" si="16"/>
        <v xml:space="preserve">{ longitude: -63.6294350362184, latitude: 44.6343709789005, stopType: 'Bus Stop Non-Standard', gotime: \'8801\', location: \'ALTON &lt;AT&gt; CIVIC 26\' }, </v>
      </c>
    </row>
    <row r="1030" spans="1:12" x14ac:dyDescent="0.25">
      <c r="A1030">
        <v>-63.694181928390996</v>
      </c>
      <c r="B1030">
        <v>44.774746210815003</v>
      </c>
      <c r="C1030">
        <v>129</v>
      </c>
      <c r="D1030" t="s">
        <v>29</v>
      </c>
      <c r="E1030" t="s">
        <v>12</v>
      </c>
      <c r="F1030" t="s">
        <v>13</v>
      </c>
      <c r="G1030" t="s">
        <v>14</v>
      </c>
      <c r="H1030">
        <v>7318</v>
      </c>
      <c r="I1030" t="s">
        <v>2108</v>
      </c>
      <c r="J1030" s="1" t="s">
        <v>2109</v>
      </c>
      <c r="K1030" t="s">
        <v>17</v>
      </c>
      <c r="L1030" t="str">
        <f t="shared" si="16"/>
        <v xml:space="preserve">{ longitude: -63.694181928391, latitude: 44.774746210815, stopType: 'Bus Stop Accessible', gotime: \'7318\', location: \'SACKVILLE DR OPP IRENE AVE\' }, </v>
      </c>
    </row>
    <row r="1031" spans="1:12" x14ac:dyDescent="0.25">
      <c r="A1031">
        <v>-63.629124280241797</v>
      </c>
      <c r="B1031">
        <v>44.633481949938798</v>
      </c>
      <c r="C1031">
        <v>1391</v>
      </c>
      <c r="D1031" t="s">
        <v>11</v>
      </c>
      <c r="E1031" t="s">
        <v>12</v>
      </c>
      <c r="F1031" t="s">
        <v>1091</v>
      </c>
      <c r="G1031" t="s">
        <v>1131</v>
      </c>
      <c r="H1031">
        <v>9073</v>
      </c>
      <c r="I1031" t="s">
        <v>2110</v>
      </c>
      <c r="J1031" t="s">
        <v>2111</v>
      </c>
      <c r="K1031" t="s">
        <v>17</v>
      </c>
      <c r="L1031" t="str">
        <f t="shared" si="16"/>
        <v xml:space="preserve">{ longitude: -63.6291242802418, latitude: 44.6334819499388, stopType: 'Bus Stop Non-Standard', gotime: \'9073\', location: \'KELLY DR &lt;AT&gt; CIVIC 36\' }, </v>
      </c>
    </row>
    <row r="1032" spans="1:12" x14ac:dyDescent="0.25">
      <c r="A1032">
        <v>-63.726228204565302</v>
      </c>
      <c r="B1032">
        <v>44.795465690696801</v>
      </c>
      <c r="C1032">
        <v>130</v>
      </c>
      <c r="D1032" t="s">
        <v>103</v>
      </c>
      <c r="E1032" t="s">
        <v>12</v>
      </c>
      <c r="F1032" t="s">
        <v>25</v>
      </c>
      <c r="G1032" t="s">
        <v>65</v>
      </c>
      <c r="H1032">
        <v>7319</v>
      </c>
      <c r="I1032" t="s">
        <v>2112</v>
      </c>
      <c r="J1032" t="s">
        <v>2113</v>
      </c>
      <c r="K1032" t="s">
        <v>17</v>
      </c>
      <c r="L1032" t="str">
        <f t="shared" si="16"/>
        <v xml:space="preserve">{ longitude: -63.7262282045653, latitude: 44.7954656906968, stopType: 'Bus Stop Inaccessible', gotime: \'7319\', location: \'SACKVILLE DR NS LIVELY RD\' }, </v>
      </c>
    </row>
    <row r="1033" spans="1:12" x14ac:dyDescent="0.25">
      <c r="A1033">
        <v>-63.629719211862898</v>
      </c>
      <c r="B1033">
        <v>44.631945540229999</v>
      </c>
      <c r="C1033">
        <v>1392</v>
      </c>
      <c r="D1033" t="s">
        <v>29</v>
      </c>
      <c r="E1033" t="s">
        <v>12</v>
      </c>
      <c r="F1033" t="s">
        <v>1091</v>
      </c>
      <c r="G1033" t="s">
        <v>1131</v>
      </c>
      <c r="H1033">
        <v>8802</v>
      </c>
      <c r="I1033" t="s">
        <v>2114</v>
      </c>
      <c r="J1033" t="s">
        <v>2115</v>
      </c>
      <c r="K1033" t="s">
        <v>17</v>
      </c>
      <c r="L1033" t="str">
        <f t="shared" si="16"/>
        <v xml:space="preserve">{ longitude: -63.6297192118629, latitude: 44.63194554023, stopType: 'Bus Stop Accessible', gotime: \'8802\', location: \'WALTER HAVILL DR &lt;AT&gt; CIVIC 21\' }, </v>
      </c>
    </row>
    <row r="1034" spans="1:12" x14ac:dyDescent="0.25">
      <c r="A1034">
        <v>-63.710990439248697</v>
      </c>
      <c r="B1034">
        <v>44.782105083555798</v>
      </c>
      <c r="C1034">
        <v>131</v>
      </c>
      <c r="D1034" t="s">
        <v>11</v>
      </c>
      <c r="E1034" t="s">
        <v>12</v>
      </c>
      <c r="F1034" t="s">
        <v>25</v>
      </c>
      <c r="G1034" t="s">
        <v>26</v>
      </c>
      <c r="H1034">
        <v>7320</v>
      </c>
      <c r="I1034" t="s">
        <v>2116</v>
      </c>
      <c r="J1034" t="s">
        <v>2117</v>
      </c>
      <c r="K1034" t="s">
        <v>17</v>
      </c>
      <c r="L1034" t="str">
        <f t="shared" si="16"/>
        <v xml:space="preserve">{ longitude: -63.7109904392487, latitude: 44.7821050835558, stopType: 'Bus Stop Non-Standard', gotime: \'7320\', location: \'SACKVILLE DR NS LUCASVILLE RD\' }, </v>
      </c>
    </row>
    <row r="1035" spans="1:12" x14ac:dyDescent="0.25">
      <c r="A1035">
        <v>-63.631173384734602</v>
      </c>
      <c r="B1035">
        <v>44.632074599845403</v>
      </c>
      <c r="C1035">
        <v>1393</v>
      </c>
      <c r="D1035" t="s">
        <v>29</v>
      </c>
      <c r="E1035" t="s">
        <v>12</v>
      </c>
      <c r="F1035" t="s">
        <v>1091</v>
      </c>
      <c r="G1035" t="s">
        <v>1131</v>
      </c>
      <c r="H1035">
        <v>8803</v>
      </c>
      <c r="I1035" t="s">
        <v>2118</v>
      </c>
      <c r="J1035" t="s">
        <v>2119</v>
      </c>
      <c r="K1035" t="s">
        <v>17</v>
      </c>
      <c r="L1035" t="str">
        <f t="shared" si="16"/>
        <v xml:space="preserve">{ longitude: -63.6311733847346, latitude: 44.6320745998454, stopType: 'Bus Stop Accessible', gotime: \'8803\', location: \'WALTER HAVILL DR &lt;AT&gt; CIVIC 39\' }, </v>
      </c>
    </row>
    <row r="1036" spans="1:12" x14ac:dyDescent="0.25">
      <c r="A1036">
        <v>-63.713255727078597</v>
      </c>
      <c r="B1036">
        <v>44.785576544338802</v>
      </c>
      <c r="C1036">
        <v>132</v>
      </c>
      <c r="D1036" t="s">
        <v>103</v>
      </c>
      <c r="E1036" t="s">
        <v>12</v>
      </c>
      <c r="F1036" t="s">
        <v>25</v>
      </c>
      <c r="G1036" t="s">
        <v>65</v>
      </c>
      <c r="H1036">
        <v>7321</v>
      </c>
      <c r="I1036" t="s">
        <v>2120</v>
      </c>
      <c r="J1036" t="s">
        <v>2121</v>
      </c>
      <c r="K1036" t="s">
        <v>17</v>
      </c>
      <c r="L1036" t="str">
        <f t="shared" si="16"/>
        <v xml:space="preserve">{ longitude: -63.7132557270786, latitude: 44.7855765443388, stopType: 'Bus Stop Inaccessible', gotime: \'7321\', location: \'SACKVILLE DR NS MELHAM DR\' }, </v>
      </c>
    </row>
    <row r="1037" spans="1:12" x14ac:dyDescent="0.25">
      <c r="A1037">
        <v>-63.632681893008403</v>
      </c>
      <c r="B1037">
        <v>44.633641680867697</v>
      </c>
      <c r="C1037">
        <v>1394</v>
      </c>
      <c r="D1037" t="s">
        <v>29</v>
      </c>
      <c r="E1037" t="s">
        <v>12</v>
      </c>
      <c r="F1037" t="s">
        <v>1091</v>
      </c>
      <c r="G1037" t="s">
        <v>1131</v>
      </c>
      <c r="H1037">
        <v>8804</v>
      </c>
      <c r="I1037" t="s">
        <v>2122</v>
      </c>
      <c r="J1037" t="s">
        <v>2123</v>
      </c>
      <c r="K1037" t="s">
        <v>17</v>
      </c>
      <c r="L1037" t="str">
        <f t="shared" si="16"/>
        <v xml:space="preserve">{ longitude: -63.6326818930084, latitude: 44.6336416808677, stopType: 'Bus Stop Accessible', gotime: \'8804\', location: \'WALTER HAVILL DR &lt;AT&gt; CIVIC 81\' }, </v>
      </c>
    </row>
    <row r="1038" spans="1:12" x14ac:dyDescent="0.25">
      <c r="A1038">
        <v>-63.707650267096597</v>
      </c>
      <c r="B1038">
        <v>44.781487985984398</v>
      </c>
      <c r="C1038">
        <v>133</v>
      </c>
      <c r="D1038" t="s">
        <v>29</v>
      </c>
      <c r="E1038" t="s">
        <v>12</v>
      </c>
      <c r="F1038" t="s">
        <v>25</v>
      </c>
      <c r="G1038" t="s">
        <v>26</v>
      </c>
      <c r="H1038">
        <v>7322</v>
      </c>
      <c r="I1038" t="s">
        <v>2124</v>
      </c>
      <c r="J1038" t="s">
        <v>2125</v>
      </c>
      <c r="K1038" t="s">
        <v>17</v>
      </c>
      <c r="L1038" t="str">
        <f t="shared" si="16"/>
        <v xml:space="preserve">{ longitude: -63.7076502670966, latitude: 44.7814879859844, stopType: 'Bus Stop Accessible', gotime: \'7322\', location: \'SACKVILLE DR NS MILLWOOD DR\' }, </v>
      </c>
    </row>
    <row r="1039" spans="1:12" x14ac:dyDescent="0.25">
      <c r="A1039">
        <v>-63.634435281814703</v>
      </c>
      <c r="B1039">
        <v>44.635003692611001</v>
      </c>
      <c r="C1039">
        <v>1395</v>
      </c>
      <c r="D1039" t="s">
        <v>11</v>
      </c>
      <c r="E1039" t="s">
        <v>12</v>
      </c>
      <c r="F1039" t="s">
        <v>1091</v>
      </c>
      <c r="G1039" t="s">
        <v>1131</v>
      </c>
      <c r="H1039">
        <v>8805</v>
      </c>
      <c r="I1039" t="s">
        <v>2126</v>
      </c>
      <c r="J1039" t="s">
        <v>2127</v>
      </c>
      <c r="K1039" t="s">
        <v>17</v>
      </c>
      <c r="L1039" t="str">
        <f t="shared" si="16"/>
        <v xml:space="preserve">{ longitude: -63.6344352818147, latitude: 44.635003692611, stopType: 'Bus Stop Non-Standard', gotime: \'8805\', location: \'WALTER HAVILL DR &lt;AT&gt; CIVIC 137\' }, </v>
      </c>
    </row>
    <row r="1040" spans="1:12" x14ac:dyDescent="0.25">
      <c r="A1040">
        <v>-63.674990030862702</v>
      </c>
      <c r="B1040">
        <v>44.763446539745203</v>
      </c>
      <c r="C1040">
        <v>134</v>
      </c>
      <c r="D1040" t="s">
        <v>29</v>
      </c>
      <c r="E1040" t="s">
        <v>12</v>
      </c>
      <c r="F1040" t="s">
        <v>25</v>
      </c>
      <c r="G1040" t="s">
        <v>26</v>
      </c>
      <c r="H1040">
        <v>7323</v>
      </c>
      <c r="I1040" t="s">
        <v>2128</v>
      </c>
      <c r="J1040" t="s">
        <v>2129</v>
      </c>
      <c r="K1040" t="s">
        <v>17</v>
      </c>
      <c r="L1040" t="str">
        <f t="shared" si="16"/>
        <v xml:space="preserve">{ longitude: -63.6749900308627, latitude: 44.7634465397452, stopType: 'Bus Stop Accessible', gotime: \'7323\', location: \'SACKVILLE DR NS OAKDALE DR\' }, </v>
      </c>
    </row>
    <row r="1041" spans="1:12" x14ac:dyDescent="0.25">
      <c r="A1041">
        <v>-63.632841726546999</v>
      </c>
      <c r="B1041">
        <v>44.633522207384999</v>
      </c>
      <c r="C1041">
        <v>1396</v>
      </c>
      <c r="D1041" t="s">
        <v>29</v>
      </c>
      <c r="E1041" t="s">
        <v>12</v>
      </c>
      <c r="F1041" t="s">
        <v>1091</v>
      </c>
      <c r="G1041" t="s">
        <v>1131</v>
      </c>
      <c r="H1041">
        <v>8811</v>
      </c>
      <c r="I1041" t="s">
        <v>2130</v>
      </c>
      <c r="J1041" t="s">
        <v>2131</v>
      </c>
      <c r="K1041" t="s">
        <v>17</v>
      </c>
      <c r="L1041" t="str">
        <f t="shared" si="16"/>
        <v xml:space="preserve">{ longitude: -63.632841726547, latitude: 44.633522207385, stopType: 'Bus Stop Accessible', gotime: \'8811\', location: \'WALTER HAVILL DR &lt;OP&gt; CIVIC 81\' }, </v>
      </c>
    </row>
    <row r="1042" spans="1:12" x14ac:dyDescent="0.25">
      <c r="A1042">
        <v>-63.720177340289403</v>
      </c>
      <c r="B1042">
        <v>44.7942815898055</v>
      </c>
      <c r="C1042">
        <v>135</v>
      </c>
      <c r="D1042" t="s">
        <v>103</v>
      </c>
      <c r="E1042" t="s">
        <v>12</v>
      </c>
      <c r="F1042" t="s">
        <v>25</v>
      </c>
      <c r="G1042" t="s">
        <v>65</v>
      </c>
      <c r="H1042">
        <v>7324</v>
      </c>
      <c r="I1042" t="s">
        <v>2132</v>
      </c>
      <c r="J1042" t="s">
        <v>2133</v>
      </c>
      <c r="K1042" t="s">
        <v>17</v>
      </c>
      <c r="L1042" t="str">
        <f t="shared" si="16"/>
        <v xml:space="preserve">{ longitude: -63.7201773402894, latitude: 44.7942815898055, stopType: 'Bus Stop Inaccessible', gotime: \'7324\', location: \'SACKVILLE DR NS OLD SACKVILLE RD\' }, </v>
      </c>
    </row>
    <row r="1043" spans="1:12" x14ac:dyDescent="0.25">
      <c r="A1043">
        <v>-63.632059171625002</v>
      </c>
      <c r="B1043">
        <v>44.6319476883032</v>
      </c>
      <c r="C1043">
        <v>1397</v>
      </c>
      <c r="D1043" t="s">
        <v>11</v>
      </c>
      <c r="E1043" t="s">
        <v>12</v>
      </c>
      <c r="F1043" t="s">
        <v>1091</v>
      </c>
      <c r="G1043" t="s">
        <v>1131</v>
      </c>
      <c r="H1043">
        <v>8812</v>
      </c>
      <c r="I1043" t="s">
        <v>2134</v>
      </c>
      <c r="J1043" t="s">
        <v>2135</v>
      </c>
      <c r="K1043" t="s">
        <v>17</v>
      </c>
      <c r="L1043" t="str">
        <f t="shared" si="16"/>
        <v xml:space="preserve">{ longitude: -63.632059171625, latitude: 44.6319476883032, stopType: 'Bus Stop Non-Standard', gotime: \'8812\', location: \'WALTER HAVILL DR &lt;OP&gt; CIVIC 49\' }, </v>
      </c>
    </row>
    <row r="1044" spans="1:12" x14ac:dyDescent="0.25">
      <c r="A1044">
        <v>-63.682975606269899</v>
      </c>
      <c r="B1044">
        <v>44.766887797053101</v>
      </c>
      <c r="C1044">
        <v>136</v>
      </c>
      <c r="D1044" t="s">
        <v>29</v>
      </c>
      <c r="E1044" t="s">
        <v>12</v>
      </c>
      <c r="F1044" t="s">
        <v>25</v>
      </c>
      <c r="G1044" t="s">
        <v>26</v>
      </c>
      <c r="H1044">
        <v>7325</v>
      </c>
      <c r="I1044" t="s">
        <v>2136</v>
      </c>
      <c r="J1044" t="s">
        <v>2137</v>
      </c>
      <c r="K1044" t="s">
        <v>17</v>
      </c>
      <c r="L1044" t="str">
        <f t="shared" si="16"/>
        <v xml:space="preserve">{ longitude: -63.6829756062699, latitude: 44.7668877970531, stopType: 'Bus Stop Accessible', gotime: \'7325\', location: \'SACKVILLE DR NS OPP LEASIDE DR\' }, </v>
      </c>
    </row>
    <row r="1045" spans="1:12" x14ac:dyDescent="0.25">
      <c r="A1045">
        <v>-63.629842934368298</v>
      </c>
      <c r="B1045">
        <v>44.631864224851803</v>
      </c>
      <c r="C1045">
        <v>1398</v>
      </c>
      <c r="D1045" t="s">
        <v>11</v>
      </c>
      <c r="E1045" t="s">
        <v>12</v>
      </c>
      <c r="F1045" t="s">
        <v>1091</v>
      </c>
      <c r="G1045" t="s">
        <v>1131</v>
      </c>
      <c r="H1045">
        <v>8813</v>
      </c>
      <c r="I1045" t="s">
        <v>2138</v>
      </c>
      <c r="J1045" t="s">
        <v>2139</v>
      </c>
      <c r="K1045" t="s">
        <v>17</v>
      </c>
      <c r="L1045" t="str">
        <f t="shared" si="16"/>
        <v xml:space="preserve">{ longitude: -63.6298429343683, latitude: 44.6318642248518, stopType: 'Bus Stop Non-Standard', gotime: \'8813\', location: \'WALTER HAVILL DR &lt;AT&gt; CIVIC 12\' }, </v>
      </c>
    </row>
    <row r="1046" spans="1:12" x14ac:dyDescent="0.25">
      <c r="A1046">
        <v>-63.731224153685197</v>
      </c>
      <c r="B1046">
        <v>44.7961563986999</v>
      </c>
      <c r="C1046">
        <v>137</v>
      </c>
      <c r="D1046" t="s">
        <v>103</v>
      </c>
      <c r="E1046" t="s">
        <v>12</v>
      </c>
      <c r="F1046" t="s">
        <v>25</v>
      </c>
      <c r="G1046" t="s">
        <v>65</v>
      </c>
      <c r="H1046">
        <v>7326</v>
      </c>
      <c r="I1046" t="s">
        <v>2140</v>
      </c>
      <c r="J1046" t="s">
        <v>2141</v>
      </c>
      <c r="K1046" t="s">
        <v>17</v>
      </c>
      <c r="L1046" t="str">
        <f t="shared" si="16"/>
        <v xml:space="preserve">{ longitude: -63.7312241536852, latitude: 44.7961563986999, stopType: 'Bus Stop Inaccessible', gotime: \'7326\', location: \'SACKVILLE DR NS ORCHARD DR\' }, </v>
      </c>
    </row>
    <row r="1047" spans="1:12" x14ac:dyDescent="0.25">
      <c r="A1047">
        <v>-63.628751020236997</v>
      </c>
      <c r="B1047">
        <v>44.633266707806001</v>
      </c>
      <c r="C1047">
        <v>1399</v>
      </c>
      <c r="D1047" t="s">
        <v>29</v>
      </c>
      <c r="E1047" t="s">
        <v>12</v>
      </c>
      <c r="F1047" t="s">
        <v>1091</v>
      </c>
      <c r="G1047" t="s">
        <v>1131</v>
      </c>
      <c r="H1047">
        <v>9074</v>
      </c>
      <c r="I1047" t="s">
        <v>2142</v>
      </c>
      <c r="J1047" t="s">
        <v>2143</v>
      </c>
      <c r="K1047" t="s">
        <v>17</v>
      </c>
      <c r="L1047" t="str">
        <f t="shared" si="16"/>
        <v xml:space="preserve">{ longitude: -63.628751020237, latitude: 44.633266707806, stopType: 'Bus Stop Accessible', gotime: \'9074\', location: \'KELLY DR &lt;NS&gt; HELEF CRT\' }, </v>
      </c>
    </row>
    <row r="1048" spans="1:12" x14ac:dyDescent="0.25">
      <c r="A1048">
        <v>-63.681311642119098</v>
      </c>
      <c r="B1048">
        <v>44.833934132014001</v>
      </c>
      <c r="C1048">
        <v>138</v>
      </c>
      <c r="D1048" t="s">
        <v>103</v>
      </c>
      <c r="E1048" t="s">
        <v>12</v>
      </c>
      <c r="F1048" t="s">
        <v>25</v>
      </c>
      <c r="G1048" t="s">
        <v>1456</v>
      </c>
      <c r="H1048">
        <v>8720</v>
      </c>
      <c r="I1048" t="s">
        <v>2144</v>
      </c>
      <c r="J1048" t="s">
        <v>2145</v>
      </c>
      <c r="K1048" t="s">
        <v>17</v>
      </c>
      <c r="L1048" t="str">
        <f t="shared" si="16"/>
        <v xml:space="preserve">{ longitude: -63.6813116421191, latitude: 44.833934132014, stopType: 'Bus Stop Inaccessible', gotime: \'8720\', location: \'BEAVER BANK RD &lt;AT&gt; CIVIC 1163\' }, </v>
      </c>
    </row>
    <row r="1049" spans="1:12" x14ac:dyDescent="0.25">
      <c r="A1049">
        <v>-63.629235888657703</v>
      </c>
      <c r="B1049">
        <v>44.634303672138302</v>
      </c>
      <c r="C1049">
        <v>1400</v>
      </c>
      <c r="D1049" t="s">
        <v>103</v>
      </c>
      <c r="E1049" t="s">
        <v>12</v>
      </c>
      <c r="F1049" t="s">
        <v>1091</v>
      </c>
      <c r="G1049" t="s">
        <v>65</v>
      </c>
      <c r="H1049">
        <v>8815</v>
      </c>
      <c r="I1049" t="s">
        <v>2146</v>
      </c>
      <c r="J1049" t="s">
        <v>2147</v>
      </c>
      <c r="K1049" t="s">
        <v>17</v>
      </c>
      <c r="L1049" t="str">
        <f t="shared" si="16"/>
        <v xml:space="preserve">{ longitude: -63.6292358886577, latitude: 44.6343036721383, stopType: 'Bus Stop Inaccessible', gotime: \'8815\', location: \'ALTON DR &lt;AT&gt; GLADES LODGE\' }, </v>
      </c>
    </row>
    <row r="1050" spans="1:12" x14ac:dyDescent="0.25">
      <c r="A1050">
        <v>-63.679017414342297</v>
      </c>
      <c r="B1050">
        <v>44.837608394312099</v>
      </c>
      <c r="C1050">
        <v>139</v>
      </c>
      <c r="D1050" t="s">
        <v>103</v>
      </c>
      <c r="E1050" t="s">
        <v>12</v>
      </c>
      <c r="F1050" t="s">
        <v>25</v>
      </c>
      <c r="G1050" t="s">
        <v>1456</v>
      </c>
      <c r="H1050">
        <v>8721</v>
      </c>
      <c r="I1050" t="s">
        <v>2148</v>
      </c>
      <c r="J1050" t="s">
        <v>2149</v>
      </c>
      <c r="K1050" t="s">
        <v>17</v>
      </c>
      <c r="L1050" t="str">
        <f t="shared" si="16"/>
        <v xml:space="preserve">{ longitude: -63.6790174143423, latitude: 44.8376083943121, stopType: 'Bus Stop Inaccessible', gotime: \'8721\', location: \'BEAVER BANK RD &lt;AT&gt; PINEHURST WAY\' }, </v>
      </c>
    </row>
    <row r="1051" spans="1:12" x14ac:dyDescent="0.25">
      <c r="A1051">
        <v>-63.508018680526703</v>
      </c>
      <c r="B1051">
        <v>44.6684407028349</v>
      </c>
      <c r="C1051">
        <v>1401</v>
      </c>
      <c r="D1051" t="s">
        <v>29</v>
      </c>
      <c r="E1051" t="s">
        <v>12</v>
      </c>
      <c r="F1051" t="s">
        <v>1091</v>
      </c>
      <c r="G1051" t="s">
        <v>1131</v>
      </c>
      <c r="H1051">
        <v>8828</v>
      </c>
      <c r="I1051" t="s">
        <v>2150</v>
      </c>
      <c r="J1051" t="s">
        <v>2151</v>
      </c>
      <c r="K1051" t="s">
        <v>17</v>
      </c>
      <c r="L1051" t="str">
        <f t="shared" si="16"/>
        <v xml:space="preserve">{ longitude: -63.5080186805267, latitude: 44.6684407028349, stopType: 'Bus Stop Accessible', gotime: \'8828\', location: \'PORTLAND HILLS DR &lt;NS&gt; LELAND\' }, </v>
      </c>
    </row>
    <row r="1052" spans="1:12" x14ac:dyDescent="0.25">
      <c r="A1052">
        <v>-63.684786507456202</v>
      </c>
      <c r="B1052">
        <v>44.844754972174997</v>
      </c>
      <c r="C1052">
        <v>140</v>
      </c>
      <c r="D1052" t="s">
        <v>103</v>
      </c>
      <c r="E1052" t="s">
        <v>12</v>
      </c>
      <c r="F1052" t="s">
        <v>25</v>
      </c>
      <c r="G1052" t="s">
        <v>1456</v>
      </c>
      <c r="H1052">
        <v>8722</v>
      </c>
      <c r="I1052" t="s">
        <v>2152</v>
      </c>
      <c r="J1052" t="s">
        <v>2153</v>
      </c>
      <c r="K1052" t="s">
        <v>17</v>
      </c>
      <c r="L1052" t="str">
        <f t="shared" si="16"/>
        <v xml:space="preserve">{ longitude: -63.6847865074562, latitude: 44.844754972175, stopType: 'Bus Stop Inaccessible', gotime: \'8722\', location: \'BEAVER BANK RD &lt;AT&gt; CIVIC 1459\' }, </v>
      </c>
    </row>
    <row r="1053" spans="1:12" x14ac:dyDescent="0.25">
      <c r="A1053">
        <v>-63.508152036996897</v>
      </c>
      <c r="B1053">
        <v>44.666640743721999</v>
      </c>
      <c r="C1053">
        <v>1402</v>
      </c>
      <c r="D1053" t="s">
        <v>11</v>
      </c>
      <c r="E1053" t="s">
        <v>12</v>
      </c>
      <c r="F1053" t="s">
        <v>1091</v>
      </c>
      <c r="G1053" t="s">
        <v>1131</v>
      </c>
      <c r="H1053">
        <v>8829</v>
      </c>
      <c r="I1053" t="s">
        <v>2154</v>
      </c>
      <c r="J1053" t="s">
        <v>2155</v>
      </c>
      <c r="K1053" t="s">
        <v>17</v>
      </c>
      <c r="L1053" t="str">
        <f t="shared" si="16"/>
        <v xml:space="preserve">{ longitude: -63.5081520369969, latitude: 44.666640743722, stopType: 'Bus Stop Non-Standard', gotime: \'8829\', location: \'PORTLAND HILLS DR &lt;NS&gt; SUMMERFIELD\' }, </v>
      </c>
    </row>
    <row r="1054" spans="1:12" x14ac:dyDescent="0.25">
      <c r="A1054">
        <v>-63.481375470470503</v>
      </c>
      <c r="B1054">
        <v>44.6606103772259</v>
      </c>
      <c r="C1054">
        <v>141</v>
      </c>
      <c r="D1054" t="s">
        <v>103</v>
      </c>
      <c r="E1054" t="s">
        <v>12</v>
      </c>
      <c r="F1054" t="s">
        <v>25</v>
      </c>
      <c r="G1054" t="s">
        <v>65</v>
      </c>
      <c r="H1054">
        <v>6473</v>
      </c>
      <c r="I1054" t="s">
        <v>2156</v>
      </c>
      <c r="J1054" t="s">
        <v>2157</v>
      </c>
      <c r="K1054" t="s">
        <v>17</v>
      </c>
      <c r="L1054" t="str">
        <f t="shared" si="16"/>
        <v xml:space="preserve">{ longitude: -63.4813754704705, latitude: 44.6606103772259, stopType: 'Bus Stop Inaccessible', gotime: \'6473\', location: \'COLBY DR NS GRENADIER DR\' }, </v>
      </c>
    </row>
    <row r="1055" spans="1:12" x14ac:dyDescent="0.25">
      <c r="A1055">
        <v>-63.506102834734797</v>
      </c>
      <c r="B1055">
        <v>44.6654093125183</v>
      </c>
      <c r="C1055">
        <v>1403</v>
      </c>
      <c r="D1055" t="s">
        <v>103</v>
      </c>
      <c r="E1055" t="s">
        <v>12</v>
      </c>
      <c r="F1055" t="s">
        <v>1091</v>
      </c>
      <c r="G1055" t="s">
        <v>65</v>
      </c>
      <c r="H1055">
        <v>8830</v>
      </c>
      <c r="I1055" t="s">
        <v>2158</v>
      </c>
      <c r="J1055" t="s">
        <v>2159</v>
      </c>
      <c r="K1055" t="s">
        <v>17</v>
      </c>
      <c r="L1055" t="str">
        <f t="shared" si="16"/>
        <v xml:space="preserve">{ longitude: -63.5061028347348, latitude: 44.6654093125183, stopType: 'Bus Stop Inaccessible', gotime: \'8830\', location: \'PORTLAND HILLS DR &lt;NS&gt; CIVIC 460\' }, </v>
      </c>
    </row>
    <row r="1056" spans="1:12" x14ac:dyDescent="0.25">
      <c r="A1056">
        <v>-63.501042064779398</v>
      </c>
      <c r="B1056">
        <v>44.670931672056703</v>
      </c>
      <c r="C1056">
        <v>142</v>
      </c>
      <c r="D1056" t="s">
        <v>29</v>
      </c>
      <c r="E1056" t="s">
        <v>12</v>
      </c>
      <c r="F1056" t="s">
        <v>13</v>
      </c>
      <c r="G1056" t="s">
        <v>14</v>
      </c>
      <c r="H1056">
        <v>6474</v>
      </c>
      <c r="I1056" t="s">
        <v>2160</v>
      </c>
      <c r="J1056" t="s">
        <v>2161</v>
      </c>
      <c r="K1056" t="s">
        <v>17</v>
      </c>
      <c r="L1056" t="str">
        <f t="shared" si="16"/>
        <v xml:space="preserve">{ longitude: -63.5010420647794, latitude: 44.6709316720567, stopType: 'Bus Stop Accessible', gotime: \'6474\', location: \'COLE HARBOUR RD FS CALDWELL RD\' }, </v>
      </c>
    </row>
    <row r="1057" spans="1:12" x14ac:dyDescent="0.25">
      <c r="A1057">
        <v>-63.504255818123198</v>
      </c>
      <c r="B1057">
        <v>44.6633336315751</v>
      </c>
      <c r="C1057">
        <v>1404</v>
      </c>
      <c r="D1057" t="s">
        <v>11</v>
      </c>
      <c r="E1057" t="s">
        <v>12</v>
      </c>
      <c r="F1057" t="s">
        <v>1091</v>
      </c>
      <c r="G1057" t="s">
        <v>1131</v>
      </c>
      <c r="H1057">
        <v>8831</v>
      </c>
      <c r="I1057" t="s">
        <v>2162</v>
      </c>
      <c r="J1057" t="s">
        <v>2163</v>
      </c>
      <c r="K1057" t="s">
        <v>17</v>
      </c>
      <c r="L1057" t="str">
        <f t="shared" si="16"/>
        <v xml:space="preserve">{ longitude: -63.5042558181232, latitude: 44.6633336315751, stopType: 'Bus Stop Non-Standard', gotime: \'8831\', location: \'PORTLAND HILLS DR &lt;AT&gt; CIVIC 366\' }, </v>
      </c>
    </row>
    <row r="1058" spans="1:12" x14ac:dyDescent="0.25">
      <c r="A1058">
        <v>-63.486182685088103</v>
      </c>
      <c r="B1058">
        <v>44.672021174970403</v>
      </c>
      <c r="C1058">
        <v>143</v>
      </c>
      <c r="D1058" t="s">
        <v>22</v>
      </c>
      <c r="E1058" t="s">
        <v>12</v>
      </c>
      <c r="F1058" t="s">
        <v>13</v>
      </c>
      <c r="G1058" t="s">
        <v>19</v>
      </c>
      <c r="H1058">
        <v>6475</v>
      </c>
      <c r="I1058" t="s">
        <v>2164</v>
      </c>
      <c r="J1058" t="s">
        <v>2165</v>
      </c>
      <c r="K1058" t="s">
        <v>17</v>
      </c>
      <c r="L1058" t="str">
        <f t="shared" si="16"/>
        <v xml:space="preserve">{ longitude: -63.4861826850881, latitude: 44.6720211749704, stopType: 'Bus Stop Shelter Accessible', gotime: \'6475\', location: \'COLE HARBOUR RD FS CIVIC 1106\' }, </v>
      </c>
    </row>
    <row r="1059" spans="1:12" x14ac:dyDescent="0.25">
      <c r="A1059">
        <v>-63.506935463787499</v>
      </c>
      <c r="B1059">
        <v>44.663300896664303</v>
      </c>
      <c r="C1059">
        <v>1405</v>
      </c>
      <c r="D1059" t="s">
        <v>11</v>
      </c>
      <c r="E1059" t="s">
        <v>12</v>
      </c>
      <c r="F1059" t="s">
        <v>1091</v>
      </c>
      <c r="G1059" t="s">
        <v>1131</v>
      </c>
      <c r="H1059">
        <v>8832</v>
      </c>
      <c r="I1059" t="s">
        <v>2166</v>
      </c>
      <c r="J1059" t="s">
        <v>2167</v>
      </c>
      <c r="K1059" t="s">
        <v>17</v>
      </c>
      <c r="L1059" t="str">
        <f t="shared" si="16"/>
        <v xml:space="preserve">{ longitude: -63.5069354637875, latitude: 44.6633008966643, stopType: 'Bus Stop Non-Standard', gotime: \'8832\', location: \'PORTLAND HILLS DR &lt;FS&gt; CIVIC 276\' }, </v>
      </c>
    </row>
    <row r="1060" spans="1:12" x14ac:dyDescent="0.25">
      <c r="A1060">
        <v>-63.496332299938302</v>
      </c>
      <c r="B1060">
        <v>44.671145608260296</v>
      </c>
      <c r="C1060">
        <v>144</v>
      </c>
      <c r="D1060" t="s">
        <v>29</v>
      </c>
      <c r="E1060" t="s">
        <v>12</v>
      </c>
      <c r="F1060" t="s">
        <v>13</v>
      </c>
      <c r="G1060" t="s">
        <v>14</v>
      </c>
      <c r="H1060">
        <v>6476</v>
      </c>
      <c r="I1060" t="s">
        <v>2168</v>
      </c>
      <c r="J1060" t="s">
        <v>2169</v>
      </c>
      <c r="K1060" t="s">
        <v>17</v>
      </c>
      <c r="L1060" t="str">
        <f t="shared" si="16"/>
        <v xml:space="preserve">{ longitude: -63.4963322999383, latitude: 44.6711456082603, stopType: 'Bus Stop Accessible', gotime: \'6476\', location: \'COLE HARBOUR RD FS CIVIC 942\' }, </v>
      </c>
    </row>
    <row r="1061" spans="1:12" x14ac:dyDescent="0.25">
      <c r="A1061">
        <v>-63.510600432877801</v>
      </c>
      <c r="B1061">
        <v>44.664709398866698</v>
      </c>
      <c r="C1061">
        <v>1406</v>
      </c>
      <c r="D1061" t="s">
        <v>29</v>
      </c>
      <c r="E1061" t="s">
        <v>12</v>
      </c>
      <c r="F1061" t="s">
        <v>1091</v>
      </c>
      <c r="G1061" t="s">
        <v>1131</v>
      </c>
      <c r="H1061">
        <v>8833</v>
      </c>
      <c r="I1061" t="s">
        <v>2170</v>
      </c>
      <c r="J1061" t="s">
        <v>2171</v>
      </c>
      <c r="K1061" t="s">
        <v>17</v>
      </c>
      <c r="L1061" t="str">
        <f t="shared" si="16"/>
        <v xml:space="preserve">{ longitude: -63.5106004328778, latitude: 44.6647093988667, stopType: 'Bus Stop Accessible', gotime: \'8833\', location: \'PORTLAND HILLS DR &lt;NS&gt; CIVIC 146\' }, </v>
      </c>
    </row>
    <row r="1062" spans="1:12" x14ac:dyDescent="0.25">
      <c r="A1062">
        <v>-63.489113899202302</v>
      </c>
      <c r="B1062">
        <v>44.671586733676698</v>
      </c>
      <c r="C1062">
        <v>145</v>
      </c>
      <c r="D1062" t="s">
        <v>29</v>
      </c>
      <c r="E1062" t="s">
        <v>12</v>
      </c>
      <c r="F1062" t="s">
        <v>13</v>
      </c>
      <c r="G1062" t="s">
        <v>19</v>
      </c>
      <c r="H1062">
        <v>6477</v>
      </c>
      <c r="I1062" t="s">
        <v>2172</v>
      </c>
      <c r="J1062" t="s">
        <v>2173</v>
      </c>
      <c r="K1062" t="s">
        <v>17</v>
      </c>
      <c r="L1062" t="str">
        <f t="shared" si="16"/>
        <v xml:space="preserve">{ longitude: -63.4891138992023, latitude: 44.6715867336767, stopType: 'Bus Stop Accessible', gotime: \'6477\', location: \'COLE HARBOUR RD FS CUMBERLAND DR\' }, </v>
      </c>
    </row>
    <row r="1063" spans="1:12" x14ac:dyDescent="0.25">
      <c r="A1063">
        <v>-63.515359117636599</v>
      </c>
      <c r="B1063">
        <v>44.665445398248401</v>
      </c>
      <c r="C1063">
        <v>1407</v>
      </c>
      <c r="D1063" t="s">
        <v>11</v>
      </c>
      <c r="E1063" t="s">
        <v>12</v>
      </c>
      <c r="F1063" t="s">
        <v>1091</v>
      </c>
      <c r="G1063" t="s">
        <v>1131</v>
      </c>
      <c r="H1063">
        <v>8834</v>
      </c>
      <c r="I1063" t="s">
        <v>2174</v>
      </c>
      <c r="J1063" t="s">
        <v>2175</v>
      </c>
      <c r="K1063" t="s">
        <v>17</v>
      </c>
      <c r="L1063" t="str">
        <f t="shared" si="16"/>
        <v xml:space="preserve">{ longitude: -63.5153591176366, latitude: 44.6654453982484, stopType: 'Bus Stop Non-Standard', gotime: \'8834\', location: \'PORTLAND HILLS DR &lt;AT&gt; CIVIC 8\' }, </v>
      </c>
    </row>
    <row r="1064" spans="1:12" x14ac:dyDescent="0.25">
      <c r="A1064">
        <v>-63.499424326670102</v>
      </c>
      <c r="B1064">
        <v>44.671319347315297</v>
      </c>
      <c r="C1064">
        <v>146</v>
      </c>
      <c r="D1064" t="s">
        <v>22</v>
      </c>
      <c r="E1064" t="s">
        <v>12</v>
      </c>
      <c r="F1064" t="s">
        <v>13</v>
      </c>
      <c r="G1064" t="s">
        <v>14</v>
      </c>
      <c r="H1064">
        <v>6478</v>
      </c>
      <c r="I1064" t="s">
        <v>2176</v>
      </c>
      <c r="J1064" t="s">
        <v>2177</v>
      </c>
      <c r="K1064" t="s">
        <v>17</v>
      </c>
      <c r="L1064" t="str">
        <f t="shared" si="16"/>
        <v xml:space="preserve">{ longitude: -63.4994243266701, latitude: 44.6713193473153, stopType: 'Bus Stop Shelter Accessible', gotime: \'6478\', location: \'COLE HARBOUR RD FS OTAGO DR\' }, </v>
      </c>
    </row>
    <row r="1065" spans="1:12" x14ac:dyDescent="0.25">
      <c r="A1065">
        <v>-63.531525634965298</v>
      </c>
      <c r="B1065">
        <v>44.668278796068698</v>
      </c>
      <c r="C1065">
        <v>1408</v>
      </c>
      <c r="D1065" t="s">
        <v>29</v>
      </c>
      <c r="E1065" t="s">
        <v>12</v>
      </c>
      <c r="F1065" t="s">
        <v>1091</v>
      </c>
      <c r="G1065" t="s">
        <v>1131</v>
      </c>
      <c r="H1065">
        <v>8841</v>
      </c>
      <c r="I1065" t="s">
        <v>2178</v>
      </c>
      <c r="J1065" t="s">
        <v>2179</v>
      </c>
      <c r="K1065" t="s">
        <v>17</v>
      </c>
      <c r="L1065" t="str">
        <f t="shared" si="16"/>
        <v xml:space="preserve">{ longitude: -63.5315256349653, latitude: 44.6682787960687, stopType: 'Bus Stop Accessible', gotime: \'8841\', location: \'BAKER DR &lt;OP&gt; CIVIC 59\' }, </v>
      </c>
    </row>
    <row r="1066" spans="1:12" x14ac:dyDescent="0.25">
      <c r="A1066">
        <v>-63.495185424543799</v>
      </c>
      <c r="B1066">
        <v>44.671433413906399</v>
      </c>
      <c r="C1066">
        <v>147</v>
      </c>
      <c r="D1066" t="s">
        <v>22</v>
      </c>
      <c r="E1066" t="s">
        <v>12</v>
      </c>
      <c r="F1066" t="s">
        <v>25</v>
      </c>
      <c r="G1066" t="s">
        <v>19</v>
      </c>
      <c r="H1066">
        <v>6479</v>
      </c>
      <c r="I1066" t="s">
        <v>2180</v>
      </c>
      <c r="J1066" t="s">
        <v>2181</v>
      </c>
      <c r="K1066" t="s">
        <v>17</v>
      </c>
      <c r="L1066" t="str">
        <f t="shared" si="16"/>
        <v xml:space="preserve">{ longitude: -63.4951854245438, latitude: 44.6714334139064, stopType: 'Bus Stop Shelter Accessible', gotime: \'6479\', location: \'COLE HARBOUR RD AT CIVIC 959\' }, </v>
      </c>
    </row>
    <row r="1067" spans="1:12" x14ac:dyDescent="0.25">
      <c r="A1067">
        <v>-63.529918599919498</v>
      </c>
      <c r="B1067">
        <v>44.665357430414701</v>
      </c>
      <c r="C1067">
        <v>1409</v>
      </c>
      <c r="D1067" t="s">
        <v>29</v>
      </c>
      <c r="E1067" t="s">
        <v>12</v>
      </c>
      <c r="F1067" t="s">
        <v>1091</v>
      </c>
      <c r="G1067" t="s">
        <v>1131</v>
      </c>
      <c r="H1067">
        <v>8842</v>
      </c>
      <c r="I1067" t="s">
        <v>2182</v>
      </c>
      <c r="J1067" t="s">
        <v>2183</v>
      </c>
      <c r="K1067" t="s">
        <v>17</v>
      </c>
      <c r="L1067" t="str">
        <f t="shared" si="16"/>
        <v xml:space="preserve">{ longitude: -63.5299185999195, latitude: 44.6653574304147, stopType: 'Bus Stop Accessible', gotime: \'8842\', location: \'BAKER DR &lt;AT&gt; CIVIC 76\' }, </v>
      </c>
    </row>
    <row r="1068" spans="1:12" x14ac:dyDescent="0.25">
      <c r="A1068">
        <v>-63.492189977385799</v>
      </c>
      <c r="B1068">
        <v>44.671618331719003</v>
      </c>
      <c r="C1068">
        <v>148</v>
      </c>
      <c r="D1068" t="s">
        <v>22</v>
      </c>
      <c r="E1068" t="s">
        <v>12</v>
      </c>
      <c r="F1068" t="s">
        <v>13</v>
      </c>
      <c r="G1068" t="s">
        <v>14</v>
      </c>
      <c r="H1068">
        <v>6480</v>
      </c>
      <c r="I1068" t="s">
        <v>2184</v>
      </c>
      <c r="J1068" t="s">
        <v>2185</v>
      </c>
      <c r="K1068" t="s">
        <v>17</v>
      </c>
      <c r="L1068" t="str">
        <f t="shared" si="16"/>
        <v xml:space="preserve">{ longitude: -63.4921899773858, latitude: 44.671618331719, stopType: 'Bus Stop Shelter Accessible', gotime: \'6480\', location: \'COLE HARBOUR RD AT SOBEYS\' }, </v>
      </c>
    </row>
    <row r="1069" spans="1:12" x14ac:dyDescent="0.25">
      <c r="A1069">
        <v>-63.529921295711901</v>
      </c>
      <c r="B1069">
        <v>44.663063598762101</v>
      </c>
      <c r="C1069">
        <v>1410</v>
      </c>
      <c r="D1069" t="s">
        <v>29</v>
      </c>
      <c r="E1069" t="s">
        <v>12</v>
      </c>
      <c r="F1069" t="s">
        <v>1091</v>
      </c>
      <c r="G1069" t="s">
        <v>1131</v>
      </c>
      <c r="H1069">
        <v>8843</v>
      </c>
      <c r="I1069" t="s">
        <v>2186</v>
      </c>
      <c r="J1069" t="s">
        <v>2187</v>
      </c>
      <c r="K1069" t="s">
        <v>17</v>
      </c>
      <c r="L1069" t="str">
        <f t="shared" si="16"/>
        <v xml:space="preserve">{ longitude: -63.5299212957119, latitude: 44.6630635987621, stopType: 'Bus Stop Accessible', gotime: \'8843\', location: \'BAKER DR &lt;OP&gt; CIVIC 105\' }, </v>
      </c>
    </row>
    <row r="1070" spans="1:12" x14ac:dyDescent="0.25">
      <c r="A1070">
        <v>-63.501534769983401</v>
      </c>
      <c r="B1070">
        <v>44.671272390939897</v>
      </c>
      <c r="C1070">
        <v>149</v>
      </c>
      <c r="D1070" t="s">
        <v>22</v>
      </c>
      <c r="E1070" t="s">
        <v>12</v>
      </c>
      <c r="F1070" t="s">
        <v>13</v>
      </c>
      <c r="G1070" t="s">
        <v>19</v>
      </c>
      <c r="H1070">
        <v>6481</v>
      </c>
      <c r="I1070" t="s">
        <v>2188</v>
      </c>
      <c r="J1070" t="s">
        <v>2189</v>
      </c>
      <c r="K1070" t="s">
        <v>17</v>
      </c>
      <c r="L1070" t="str">
        <f t="shared" si="16"/>
        <v xml:space="preserve">{ longitude: -63.5015347699834, latitude: 44.6712723909399, stopType: 'Bus Stop Shelter Accessible', gotime: \'6481\', location: \'COLE HARBOUR RD NS DOROTHEA DR\' }, </v>
      </c>
    </row>
    <row r="1071" spans="1:12" x14ac:dyDescent="0.25">
      <c r="A1071">
        <v>-63.530301981310501</v>
      </c>
      <c r="B1071">
        <v>44.661007419899597</v>
      </c>
      <c r="C1071">
        <v>1411</v>
      </c>
      <c r="D1071" t="s">
        <v>29</v>
      </c>
      <c r="E1071" t="s">
        <v>12</v>
      </c>
      <c r="F1071" t="s">
        <v>1091</v>
      </c>
      <c r="G1071" t="s">
        <v>1131</v>
      </c>
      <c r="H1071">
        <v>8844</v>
      </c>
      <c r="I1071" t="s">
        <v>2190</v>
      </c>
      <c r="J1071" t="s">
        <v>2191</v>
      </c>
      <c r="K1071" t="s">
        <v>17</v>
      </c>
      <c r="L1071" t="str">
        <f t="shared" si="16"/>
        <v xml:space="preserve">{ longitude: -63.5303019813105, latitude: 44.6610074198996, stopType: 'Bus Stop Accessible', gotime: \'8844\', location: \'BAKER DR &lt;FS&gt; CIVIC 144\' }, </v>
      </c>
    </row>
    <row r="1072" spans="1:12" x14ac:dyDescent="0.25">
      <c r="A1072">
        <v>-63.492284907678901</v>
      </c>
      <c r="B1072">
        <v>44.671416855504802</v>
      </c>
      <c r="C1072">
        <v>150</v>
      </c>
      <c r="D1072" t="s">
        <v>29</v>
      </c>
      <c r="E1072" t="s">
        <v>12</v>
      </c>
      <c r="F1072" t="s">
        <v>25</v>
      </c>
      <c r="G1072" t="s">
        <v>26</v>
      </c>
      <c r="H1072">
        <v>6482</v>
      </c>
      <c r="I1072" t="s">
        <v>2192</v>
      </c>
      <c r="J1072" t="s">
        <v>2193</v>
      </c>
      <c r="K1072" t="s">
        <v>17</v>
      </c>
      <c r="L1072" t="str">
        <f t="shared" si="16"/>
        <v xml:space="preserve">{ longitude: -63.4922849076789, latitude: 44.6714168555048, stopType: 'Bus Stop Accessible', gotime: \'6482\', location: \'COLE HARBOUR RD OPP CIVIC 983\' }, </v>
      </c>
    </row>
    <row r="1073" spans="1:12" x14ac:dyDescent="0.25">
      <c r="A1073">
        <v>-63.530091151416201</v>
      </c>
      <c r="B1073">
        <v>44.658518728552401</v>
      </c>
      <c r="C1073">
        <v>1412</v>
      </c>
      <c r="D1073" t="s">
        <v>29</v>
      </c>
      <c r="E1073" t="s">
        <v>12</v>
      </c>
      <c r="F1073" t="s">
        <v>1091</v>
      </c>
      <c r="G1073" t="s">
        <v>1131</v>
      </c>
      <c r="H1073">
        <v>8845</v>
      </c>
      <c r="I1073" t="s">
        <v>2194</v>
      </c>
      <c r="J1073" t="s">
        <v>2195</v>
      </c>
      <c r="K1073" t="s">
        <v>17</v>
      </c>
      <c r="L1073" t="str">
        <f t="shared" si="16"/>
        <v xml:space="preserve">{ longitude: -63.5300911514162, latitude: 44.6585187285524, stopType: 'Bus Stop Accessible', gotime: \'8845\', location: \'BAKER DR &lt;AT&gt; KENT\' }, </v>
      </c>
    </row>
    <row r="1074" spans="1:12" x14ac:dyDescent="0.25">
      <c r="A1074">
        <v>-63.586966867380397</v>
      </c>
      <c r="B1074">
        <v>44.716501964994798</v>
      </c>
      <c r="C1074">
        <v>151</v>
      </c>
      <c r="D1074" t="s">
        <v>11</v>
      </c>
      <c r="E1074" t="s">
        <v>12</v>
      </c>
      <c r="F1074" t="s">
        <v>13</v>
      </c>
      <c r="G1074" t="s">
        <v>14</v>
      </c>
      <c r="H1074">
        <v>6483</v>
      </c>
      <c r="I1074" t="s">
        <v>2196</v>
      </c>
      <c r="J1074" t="s">
        <v>2197</v>
      </c>
      <c r="K1074" t="s">
        <v>17</v>
      </c>
      <c r="L1074" t="str">
        <f t="shared" si="16"/>
        <v xml:space="preserve">{ longitude: -63.5869668673804, latitude: 44.7165019649948, stopType: 'Bus Stop Non-Standard', gotime: \'6483\', location: \'COLFORD AVE NS AKERLEY BLVD\' }, </v>
      </c>
    </row>
    <row r="1075" spans="1:12" x14ac:dyDescent="0.25">
      <c r="A1075">
        <v>-63.5292853574988</v>
      </c>
      <c r="B1075">
        <v>44.655824105460802</v>
      </c>
      <c r="C1075">
        <v>1413</v>
      </c>
      <c r="D1075" t="s">
        <v>29</v>
      </c>
      <c r="E1075" t="s">
        <v>12</v>
      </c>
      <c r="F1075" t="s">
        <v>1091</v>
      </c>
      <c r="G1075" t="s">
        <v>1131</v>
      </c>
      <c r="H1075">
        <v>8846</v>
      </c>
      <c r="I1075" t="s">
        <v>2198</v>
      </c>
      <c r="J1075" t="s">
        <v>2199</v>
      </c>
      <c r="K1075" t="s">
        <v>17</v>
      </c>
      <c r="L1075" t="str">
        <f t="shared" si="16"/>
        <v xml:space="preserve">{ longitude: -63.5292853574988, latitude: 44.6558241054608, stopType: 'Bus Stop Accessible', gotime: \'8846\', location: \'BAKER DR &lt;FS&gt; BASSWOOD\' }, </v>
      </c>
    </row>
    <row r="1076" spans="1:12" x14ac:dyDescent="0.25">
      <c r="A1076">
        <v>-63.539660373699299</v>
      </c>
      <c r="B1076">
        <v>44.699418193848302</v>
      </c>
      <c r="C1076">
        <v>152</v>
      </c>
      <c r="D1076" t="s">
        <v>22</v>
      </c>
      <c r="E1076" t="s">
        <v>12</v>
      </c>
      <c r="F1076" t="s">
        <v>25</v>
      </c>
      <c r="G1076" t="s">
        <v>19</v>
      </c>
      <c r="H1076">
        <v>6484</v>
      </c>
      <c r="I1076" t="s">
        <v>2200</v>
      </c>
      <c r="J1076" t="s">
        <v>2201</v>
      </c>
      <c r="K1076" t="s">
        <v>17</v>
      </c>
      <c r="L1076" t="str">
        <f t="shared" si="16"/>
        <v xml:space="preserve">{ longitude: -63.5396603736993, latitude: 44.6994181938483, stopType: 'Bus Stop Shelter Accessible', gotime: \'6484\', location: \'COLONNA PLACE NS MONTEBELLO DR\' }, </v>
      </c>
    </row>
    <row r="1077" spans="1:12" x14ac:dyDescent="0.25">
      <c r="A1077">
        <v>-63.529285274428297</v>
      </c>
      <c r="B1077">
        <v>44.655390766482903</v>
      </c>
      <c r="C1077">
        <v>1414</v>
      </c>
      <c r="D1077" t="s">
        <v>29</v>
      </c>
      <c r="E1077" t="s">
        <v>12</v>
      </c>
      <c r="F1077" t="s">
        <v>1091</v>
      </c>
      <c r="G1077" t="s">
        <v>1131</v>
      </c>
      <c r="H1077">
        <v>8847</v>
      </c>
      <c r="I1077" t="s">
        <v>2202</v>
      </c>
      <c r="J1077" t="s">
        <v>2203</v>
      </c>
      <c r="K1077" t="s">
        <v>17</v>
      </c>
      <c r="L1077" t="str">
        <f t="shared" si="16"/>
        <v xml:space="preserve">{ longitude: -63.5292852744283, latitude: 44.6553907664829, stopType: 'Bus Stop Accessible', gotime: \'8847\', location: \'BAKER DR &lt;NS&gt; BASSWOOD\' }, </v>
      </c>
    </row>
    <row r="1078" spans="1:12" x14ac:dyDescent="0.25">
      <c r="A1078">
        <v>-63.667980839137698</v>
      </c>
      <c r="B1078">
        <v>44.777408039328101</v>
      </c>
      <c r="C1078">
        <v>153</v>
      </c>
      <c r="D1078" t="s">
        <v>29</v>
      </c>
      <c r="E1078" t="s">
        <v>12</v>
      </c>
      <c r="F1078" t="s">
        <v>25</v>
      </c>
      <c r="G1078" t="s">
        <v>26</v>
      </c>
      <c r="H1078">
        <v>6692</v>
      </c>
      <c r="I1078" t="s">
        <v>2204</v>
      </c>
      <c r="J1078" t="s">
        <v>2205</v>
      </c>
      <c r="K1078" t="s">
        <v>17</v>
      </c>
      <c r="L1078" t="str">
        <f t="shared" si="16"/>
        <v xml:space="preserve">{ longitude: -63.6679808391377, latitude: 44.7774080393281, stopType: 'Bus Stop Accessible', gotime: \'6692\', location: \'FIRST LAKE DR NS SACKVILLE LEISURE CTR\' }, </v>
      </c>
    </row>
    <row r="1079" spans="1:12" x14ac:dyDescent="0.25">
      <c r="A1079">
        <v>-63.529661472238899</v>
      </c>
      <c r="B1079">
        <v>44.658341923194399</v>
      </c>
      <c r="C1079">
        <v>1415</v>
      </c>
      <c r="D1079" t="s">
        <v>29</v>
      </c>
      <c r="E1079" t="s">
        <v>12</v>
      </c>
      <c r="F1079" t="s">
        <v>1091</v>
      </c>
      <c r="G1079" t="s">
        <v>1131</v>
      </c>
      <c r="H1079">
        <v>8848</v>
      </c>
      <c r="I1079" t="s">
        <v>2206</v>
      </c>
      <c r="J1079" t="s">
        <v>2207</v>
      </c>
      <c r="K1079" t="s">
        <v>17</v>
      </c>
      <c r="L1079" t="str">
        <f t="shared" si="16"/>
        <v xml:space="preserve">{ longitude: -63.5296614722389, latitude: 44.6583419231944, stopType: 'Bus Stop Accessible', gotime: \'8848\', location: \'BAKER DR &lt;OP&gt; KENT\' }, </v>
      </c>
    </row>
    <row r="1080" spans="1:12" x14ac:dyDescent="0.25">
      <c r="A1080">
        <v>-63.663666110918101</v>
      </c>
      <c r="B1080">
        <v>44.776080583475597</v>
      </c>
      <c r="C1080">
        <v>154</v>
      </c>
      <c r="D1080" t="s">
        <v>29</v>
      </c>
      <c r="E1080" t="s">
        <v>12</v>
      </c>
      <c r="F1080" t="s">
        <v>25</v>
      </c>
      <c r="G1080" t="s">
        <v>26</v>
      </c>
      <c r="H1080">
        <v>6693</v>
      </c>
      <c r="I1080" t="s">
        <v>2208</v>
      </c>
      <c r="J1080" t="s">
        <v>2209</v>
      </c>
      <c r="K1080" t="s">
        <v>17</v>
      </c>
      <c r="L1080" t="str">
        <f t="shared" si="16"/>
        <v xml:space="preserve">{ longitude: -63.6636661109181, latitude: 44.7760805834756, stopType: 'Bus Stop Accessible', gotime: \'6693\', location: \'FIRST LAKE DR OPP CIVIC 200\' }, </v>
      </c>
    </row>
    <row r="1081" spans="1:12" x14ac:dyDescent="0.25">
      <c r="A1081">
        <v>-63.529968604046999</v>
      </c>
      <c r="B1081">
        <v>44.661724028434499</v>
      </c>
      <c r="C1081">
        <v>1416</v>
      </c>
      <c r="D1081" t="s">
        <v>29</v>
      </c>
      <c r="E1081" t="s">
        <v>12</v>
      </c>
      <c r="F1081" t="s">
        <v>1091</v>
      </c>
      <c r="G1081" t="s">
        <v>1131</v>
      </c>
      <c r="H1081">
        <v>8849</v>
      </c>
      <c r="I1081" t="s">
        <v>2210</v>
      </c>
      <c r="J1081" t="s">
        <v>2211</v>
      </c>
      <c r="K1081" t="s">
        <v>17</v>
      </c>
      <c r="L1081" t="str">
        <f t="shared" si="16"/>
        <v xml:space="preserve">{ longitude: -63.529968604047, latitude: 44.6617240284345, stopType: 'Bus Stop Accessible', gotime: \'8849\', location: \'BAKER DR &lt;FS&gt; LINDENWOOD\' }, </v>
      </c>
    </row>
    <row r="1082" spans="1:12" x14ac:dyDescent="0.25">
      <c r="A1082">
        <v>-63.666974653630703</v>
      </c>
      <c r="B1082">
        <v>44.777085719098302</v>
      </c>
      <c r="C1082">
        <v>155</v>
      </c>
      <c r="D1082" t="s">
        <v>103</v>
      </c>
      <c r="E1082" t="s">
        <v>12</v>
      </c>
      <c r="F1082" t="s">
        <v>25</v>
      </c>
      <c r="G1082" t="s">
        <v>65</v>
      </c>
      <c r="H1082">
        <v>6694</v>
      </c>
      <c r="I1082" t="s">
        <v>2212</v>
      </c>
      <c r="J1082" t="s">
        <v>2213</v>
      </c>
      <c r="K1082" t="s">
        <v>17</v>
      </c>
      <c r="L1082" t="str">
        <f t="shared" si="16"/>
        <v xml:space="preserve">{ longitude: -63.6669746536307, latitude: 44.7770857190983, stopType: 'Bus Stop Inaccessible', gotime: \'6694\', location: \'FIRST LAKE DR OPP SACKVILLE LEISURE CTR\' }, </v>
      </c>
    </row>
    <row r="1083" spans="1:12" x14ac:dyDescent="0.25">
      <c r="A1083">
        <v>-63.5296795120328</v>
      </c>
      <c r="B1083">
        <v>44.663444123791201</v>
      </c>
      <c r="C1083">
        <v>1417</v>
      </c>
      <c r="D1083" t="s">
        <v>29</v>
      </c>
      <c r="E1083" t="s">
        <v>12</v>
      </c>
      <c r="F1083" t="s">
        <v>1091</v>
      </c>
      <c r="G1083" t="s">
        <v>1131</v>
      </c>
      <c r="H1083">
        <v>8850</v>
      </c>
      <c r="I1083" t="s">
        <v>2214</v>
      </c>
      <c r="J1083" t="s">
        <v>2215</v>
      </c>
      <c r="K1083" t="s">
        <v>17</v>
      </c>
      <c r="L1083" t="str">
        <f t="shared" si="16"/>
        <v xml:space="preserve">{ longitude: -63.5296795120328, latitude: 44.6634441237912, stopType: 'Bus Stop Accessible', gotime: \'8850\', location: \'BAKER DR &lt;AT&gt; CIVIC 105\' }, </v>
      </c>
    </row>
    <row r="1084" spans="1:12" x14ac:dyDescent="0.25">
      <c r="A1084">
        <v>-63.671111111113703</v>
      </c>
      <c r="B1084">
        <v>44.777222222045097</v>
      </c>
      <c r="C1084">
        <v>156</v>
      </c>
      <c r="D1084" t="s">
        <v>18</v>
      </c>
      <c r="E1084" t="s">
        <v>12</v>
      </c>
      <c r="F1084" t="s">
        <v>25</v>
      </c>
      <c r="G1084" t="s">
        <v>1828</v>
      </c>
      <c r="H1084">
        <v>6695</v>
      </c>
      <c r="I1084" t="s">
        <v>2216</v>
      </c>
      <c r="J1084" t="s">
        <v>2217</v>
      </c>
      <c r="K1084" t="s">
        <v>17</v>
      </c>
      <c r="L1084" t="str">
        <f t="shared" si="16"/>
        <v xml:space="preserve">{ longitude: -63.6711111111137, latitude: 44.7772222220451, stopType: 'Bus Stop Shelter Non-Standard', gotime: \'6695\', location: \'FIRST LAKE CENTRE &lt;IB&gt;\' }, </v>
      </c>
    </row>
    <row r="1085" spans="1:12" x14ac:dyDescent="0.25">
      <c r="A1085">
        <v>-63.529902683020303</v>
      </c>
      <c r="B1085">
        <v>44.665646366893498</v>
      </c>
      <c r="C1085">
        <v>1418</v>
      </c>
      <c r="D1085" t="s">
        <v>29</v>
      </c>
      <c r="E1085" t="s">
        <v>12</v>
      </c>
      <c r="F1085" t="s">
        <v>1091</v>
      </c>
      <c r="G1085" t="s">
        <v>1131</v>
      </c>
      <c r="H1085">
        <v>8851</v>
      </c>
      <c r="I1085" t="s">
        <v>2218</v>
      </c>
      <c r="J1085" t="s">
        <v>2219</v>
      </c>
      <c r="K1085" t="s">
        <v>17</v>
      </c>
      <c r="L1085" t="str">
        <f t="shared" si="16"/>
        <v xml:space="preserve">{ longitude: -63.5299026830203, latitude: 44.6656463668935, stopType: 'Bus Stop Accessible', gotime: \'8851\', location: \'BAKER DR &lt;FS&gt; COLDSTREAM\' }, </v>
      </c>
    </row>
    <row r="1086" spans="1:12" x14ac:dyDescent="0.25">
      <c r="A1086">
        <v>-63.6711916682927</v>
      </c>
      <c r="B1086">
        <v>44.777416681421698</v>
      </c>
      <c r="C1086">
        <v>157</v>
      </c>
      <c r="D1086" t="s">
        <v>11</v>
      </c>
      <c r="E1086" t="s">
        <v>12</v>
      </c>
      <c r="F1086" t="s">
        <v>25</v>
      </c>
      <c r="G1086" t="s">
        <v>1828</v>
      </c>
      <c r="H1086">
        <v>6696</v>
      </c>
      <c r="I1086" t="s">
        <v>2220</v>
      </c>
      <c r="J1086" t="s">
        <v>2221</v>
      </c>
      <c r="K1086" t="s">
        <v>17</v>
      </c>
      <c r="L1086" t="str">
        <f t="shared" si="16"/>
        <v xml:space="preserve">{ longitude: -63.6711916682927, latitude: 44.7774166814217, stopType: 'Bus Stop Non-Standard', gotime: \'6696\', location: \'FIRST LAKE CENTRE &lt;OB&gt;\' }, </v>
      </c>
    </row>
    <row r="1087" spans="1:12" x14ac:dyDescent="0.25">
      <c r="A1087">
        <v>-63.531331644966301</v>
      </c>
      <c r="B1087">
        <v>44.668340868892798</v>
      </c>
      <c r="C1087">
        <v>1419</v>
      </c>
      <c r="D1087" t="s">
        <v>29</v>
      </c>
      <c r="E1087" t="s">
        <v>12</v>
      </c>
      <c r="F1087" t="s">
        <v>1091</v>
      </c>
      <c r="G1087" t="s">
        <v>1131</v>
      </c>
      <c r="H1087">
        <v>8852</v>
      </c>
      <c r="I1087" t="s">
        <v>2222</v>
      </c>
      <c r="J1087" t="s">
        <v>2223</v>
      </c>
      <c r="K1087" t="s">
        <v>17</v>
      </c>
      <c r="L1087" t="str">
        <f t="shared" si="16"/>
        <v xml:space="preserve">{ longitude: -63.5313316449663, latitude: 44.6683408688928, stopType: 'Bus Stop Accessible', gotime: \'8852\', location: \'BAKER DR &lt;AT&gt; CIVIC 35\' }, </v>
      </c>
    </row>
    <row r="1088" spans="1:12" x14ac:dyDescent="0.25">
      <c r="A1088">
        <v>-63.648394061639799</v>
      </c>
      <c r="B1088">
        <v>44.675171613018598</v>
      </c>
      <c r="C1088">
        <v>158</v>
      </c>
      <c r="D1088" t="s">
        <v>11</v>
      </c>
      <c r="E1088" t="s">
        <v>12</v>
      </c>
      <c r="F1088" t="s">
        <v>25</v>
      </c>
      <c r="G1088" t="s">
        <v>26</v>
      </c>
      <c r="H1088">
        <v>6697</v>
      </c>
      <c r="I1088" t="s">
        <v>2224</v>
      </c>
      <c r="J1088" t="s">
        <v>2225</v>
      </c>
      <c r="K1088" t="s">
        <v>17</v>
      </c>
      <c r="L1088" t="str">
        <f t="shared" si="16"/>
        <v xml:space="preserve">{ longitude: -63.6483940616398, latitude: 44.6751716130186, stopType: 'Bus Stop Non-Standard', gotime: \'6697\', location: \'FLAMINGO DR FS BEDFORD HWY &lt;WB&gt;\' }, </v>
      </c>
    </row>
    <row r="1089" spans="1:12" x14ac:dyDescent="0.25">
      <c r="A1089">
        <v>-63.5104262062152</v>
      </c>
      <c r="B1089">
        <v>44.664483885683701</v>
      </c>
      <c r="C1089">
        <v>1420</v>
      </c>
      <c r="D1089" t="s">
        <v>29</v>
      </c>
      <c r="E1089" t="s">
        <v>12</v>
      </c>
      <c r="F1089" t="s">
        <v>1091</v>
      </c>
      <c r="G1089" t="s">
        <v>1131</v>
      </c>
      <c r="H1089">
        <v>8835</v>
      </c>
      <c r="I1089" t="s">
        <v>2226</v>
      </c>
      <c r="J1089" t="s">
        <v>2227</v>
      </c>
      <c r="K1089" t="s">
        <v>17</v>
      </c>
      <c r="L1089" t="str">
        <f t="shared" si="16"/>
        <v xml:space="preserve">{ longitude: -63.5104262062152, latitude: 44.6644838856837, stopType: 'Bus Stop Accessible', gotime: \'8835\', location: \'PORTLAND HILLS DR &lt;AT&gt; CIVIC 159\' }, </v>
      </c>
    </row>
    <row r="1090" spans="1:12" x14ac:dyDescent="0.25">
      <c r="A1090">
        <v>-63.657768109441598</v>
      </c>
      <c r="B1090">
        <v>44.6704915214575</v>
      </c>
      <c r="C1090">
        <v>159</v>
      </c>
      <c r="D1090" t="s">
        <v>11</v>
      </c>
      <c r="E1090" t="s">
        <v>12</v>
      </c>
      <c r="F1090" t="s">
        <v>13</v>
      </c>
      <c r="G1090" t="s">
        <v>14</v>
      </c>
      <c r="H1090">
        <v>6698</v>
      </c>
      <c r="I1090" t="s">
        <v>2228</v>
      </c>
      <c r="J1090" t="s">
        <v>2229</v>
      </c>
      <c r="K1090" t="s">
        <v>17</v>
      </c>
      <c r="L1090" t="str">
        <f t="shared" si="16"/>
        <v xml:space="preserve">{ longitude: -63.6577681094416, latitude: 44.6704915214575, stopType: 'Bus Stop Non-Standard', gotime: \'6698\', location: \'FLAMINGO DR FS NIGHTINGALE DR\' }, </v>
      </c>
    </row>
    <row r="1091" spans="1:12" x14ac:dyDescent="0.25">
      <c r="A1091">
        <v>-63.507437451720797</v>
      </c>
      <c r="B1091">
        <v>44.663295451098698</v>
      </c>
      <c r="C1091">
        <v>1421</v>
      </c>
      <c r="D1091" t="s">
        <v>29</v>
      </c>
      <c r="E1091" t="s">
        <v>12</v>
      </c>
      <c r="F1091" t="s">
        <v>1091</v>
      </c>
      <c r="G1091" t="s">
        <v>1131</v>
      </c>
      <c r="H1091">
        <v>8836</v>
      </c>
      <c r="I1091" t="s">
        <v>2230</v>
      </c>
      <c r="J1091" t="s">
        <v>2231</v>
      </c>
      <c r="K1091" t="s">
        <v>17</v>
      </c>
      <c r="L1091" t="str">
        <f t="shared" ref="L1091:L1154" si="17">CONCATENATE( "{ longitude: ", A1091, ", latitude: ", B1091, ", stopType: '", D1091, "', gotime: \'", H1091, "\', location: \'", I1091, "\' }, ")</f>
        <v xml:space="preserve">{ longitude: -63.5074374517208, latitude: 44.6632954510987, stopType: 'Bus Stop Accessible', gotime: \'8836\', location: \'PORTLAND HILLS DR &lt;NS&gt; CIVIC 257\' }, </v>
      </c>
    </row>
    <row r="1092" spans="1:12" x14ac:dyDescent="0.25">
      <c r="A1092">
        <v>-63.657616420161702</v>
      </c>
      <c r="B1092">
        <v>44.670123573333498</v>
      </c>
      <c r="C1092">
        <v>160</v>
      </c>
      <c r="D1092" t="s">
        <v>29</v>
      </c>
      <c r="E1092" t="s">
        <v>12</v>
      </c>
      <c r="F1092" t="s">
        <v>13</v>
      </c>
      <c r="G1092" t="s">
        <v>14</v>
      </c>
      <c r="H1092">
        <v>6699</v>
      </c>
      <c r="I1092" t="s">
        <v>2232</v>
      </c>
      <c r="J1092" t="s">
        <v>2233</v>
      </c>
      <c r="K1092" t="s">
        <v>17</v>
      </c>
      <c r="L1092" t="str">
        <f t="shared" si="17"/>
        <v xml:space="preserve">{ longitude: -63.6576164201617, latitude: 44.6701235733335, stopType: 'Bus Stop Accessible', gotime: \'6699\', location: \'FLAMINGO DR FS OPP NIGHTINGALE DR\' }, </v>
      </c>
    </row>
    <row r="1093" spans="1:12" x14ac:dyDescent="0.25">
      <c r="A1093">
        <v>-63.503892640771099</v>
      </c>
      <c r="B1093">
        <v>44.663907797830198</v>
      </c>
      <c r="C1093">
        <v>1422</v>
      </c>
      <c r="D1093" t="s">
        <v>29</v>
      </c>
      <c r="E1093" t="s">
        <v>12</v>
      </c>
      <c r="F1093" t="s">
        <v>1091</v>
      </c>
      <c r="G1093" t="s">
        <v>1131</v>
      </c>
      <c r="H1093">
        <v>8837</v>
      </c>
      <c r="I1093" t="s">
        <v>2234</v>
      </c>
      <c r="J1093" t="s">
        <v>2235</v>
      </c>
      <c r="K1093" t="s">
        <v>17</v>
      </c>
      <c r="L1093" t="str">
        <f t="shared" si="17"/>
        <v xml:space="preserve">{ longitude: -63.5038926407711, latitude: 44.6639077978302, stopType: 'Bus Stop Accessible', gotime: \'8837\', location: \'PORTLAND HILLS DR &lt;AT&gt; CIVIC 367\' }, </v>
      </c>
    </row>
    <row r="1094" spans="1:12" x14ac:dyDescent="0.25">
      <c r="A1094">
        <v>-63.6483420531763</v>
      </c>
      <c r="B1094">
        <v>44.6750625984319</v>
      </c>
      <c r="C1094">
        <v>161</v>
      </c>
      <c r="D1094" t="s">
        <v>29</v>
      </c>
      <c r="E1094" t="s">
        <v>12</v>
      </c>
      <c r="F1094" t="s">
        <v>13</v>
      </c>
      <c r="G1094" t="s">
        <v>19</v>
      </c>
      <c r="H1094">
        <v>6700</v>
      </c>
      <c r="I1094" t="s">
        <v>2236</v>
      </c>
      <c r="J1094" s="1" t="s">
        <v>2237</v>
      </c>
      <c r="K1094" t="s">
        <v>17</v>
      </c>
      <c r="L1094" t="str">
        <f t="shared" si="17"/>
        <v xml:space="preserve">{ longitude: -63.6483420531763, latitude: 44.6750625984319, stopType: 'Bus Stop Accessible', gotime: \'6700\', location: \'FLAMINGO DR NS BEDFORD HWY\' }, </v>
      </c>
    </row>
    <row r="1095" spans="1:12" x14ac:dyDescent="0.25">
      <c r="A1095">
        <v>-63.505097898966397</v>
      </c>
      <c r="B1095">
        <v>44.665459420199802</v>
      </c>
      <c r="C1095">
        <v>1423</v>
      </c>
      <c r="D1095" t="s">
        <v>29</v>
      </c>
      <c r="E1095" t="s">
        <v>12</v>
      </c>
      <c r="F1095" t="s">
        <v>1091</v>
      </c>
      <c r="G1095" t="s">
        <v>1131</v>
      </c>
      <c r="H1095">
        <v>8838</v>
      </c>
      <c r="I1095" t="s">
        <v>2238</v>
      </c>
      <c r="J1095" t="s">
        <v>2239</v>
      </c>
      <c r="K1095" t="s">
        <v>17</v>
      </c>
      <c r="L1095" t="str">
        <f t="shared" si="17"/>
        <v xml:space="preserve">{ longitude: -63.5050978989664, latitude: 44.6654594201998, stopType: 'Bus Stop Accessible', gotime: \'8838\', location: \'PORTLAND HILLS DR &lt;AT&gt; REGAL LUXURY\' }, </v>
      </c>
    </row>
    <row r="1096" spans="1:12" x14ac:dyDescent="0.25">
      <c r="A1096">
        <v>-63.652678889659903</v>
      </c>
      <c r="B1096">
        <v>44.670900262231903</v>
      </c>
      <c r="C1096">
        <v>162</v>
      </c>
      <c r="D1096" t="s">
        <v>11</v>
      </c>
      <c r="E1096" t="s">
        <v>12</v>
      </c>
      <c r="F1096" t="s">
        <v>13</v>
      </c>
      <c r="G1096" t="s">
        <v>14</v>
      </c>
      <c r="H1096">
        <v>6701</v>
      </c>
      <c r="I1096" t="s">
        <v>2240</v>
      </c>
      <c r="J1096" t="s">
        <v>2241</v>
      </c>
      <c r="K1096" t="s">
        <v>17</v>
      </c>
      <c r="L1096" t="str">
        <f t="shared" si="17"/>
        <v xml:space="preserve">{ longitude: -63.6526788896599, latitude: 44.6709002622319, stopType: 'Bus Stop Non-Standard', gotime: \'6701\', location: \'FLAMINGO DR NS DOVE ST\' }, </v>
      </c>
    </row>
    <row r="1097" spans="1:12" x14ac:dyDescent="0.25">
      <c r="A1097">
        <v>-63.508051966535398</v>
      </c>
      <c r="B1097">
        <v>44.666674073543497</v>
      </c>
      <c r="C1097">
        <v>1424</v>
      </c>
      <c r="D1097" t="s">
        <v>29</v>
      </c>
      <c r="E1097" t="s">
        <v>12</v>
      </c>
      <c r="F1097" t="s">
        <v>1091</v>
      </c>
      <c r="G1097" t="s">
        <v>1131</v>
      </c>
      <c r="H1097">
        <v>8839</v>
      </c>
      <c r="I1097" t="s">
        <v>2242</v>
      </c>
      <c r="J1097" t="s">
        <v>2243</v>
      </c>
      <c r="K1097" t="s">
        <v>17</v>
      </c>
      <c r="L1097" t="str">
        <f t="shared" si="17"/>
        <v xml:space="preserve">{ longitude: -63.5080519665354, latitude: 44.6666740735435, stopType: 'Bus Stop Accessible', gotime: \'8839\', location: \'PORTLAND HILLS DR &lt;AT&gt; CIVIC 537\' }, </v>
      </c>
    </row>
    <row r="1098" spans="1:12" x14ac:dyDescent="0.25">
      <c r="A1098">
        <v>-63.655806966434497</v>
      </c>
      <c r="B1098">
        <v>44.6693345244569</v>
      </c>
      <c r="C1098">
        <v>163</v>
      </c>
      <c r="D1098" t="s">
        <v>29</v>
      </c>
      <c r="E1098" t="s">
        <v>12</v>
      </c>
      <c r="F1098" t="s">
        <v>13</v>
      </c>
      <c r="G1098" t="s">
        <v>19</v>
      </c>
      <c r="H1098">
        <v>6702</v>
      </c>
      <c r="I1098" t="s">
        <v>2244</v>
      </c>
      <c r="J1098" t="s">
        <v>2245</v>
      </c>
      <c r="K1098" t="s">
        <v>17</v>
      </c>
      <c r="L1098" t="str">
        <f t="shared" si="17"/>
        <v xml:space="preserve">{ longitude: -63.6558069664345, latitude: 44.6693345244569, stopType: 'Bus Stop Accessible', gotime: \'6702\', location: \'FLAMINGO DR NS MEADOWLARK CR\' }, </v>
      </c>
    </row>
    <row r="1099" spans="1:12" x14ac:dyDescent="0.25">
      <c r="A1099">
        <v>-63.507751968153002</v>
      </c>
      <c r="B1099">
        <v>44.668690738324798</v>
      </c>
      <c r="C1099">
        <v>1425</v>
      </c>
      <c r="D1099" t="s">
        <v>29</v>
      </c>
      <c r="E1099" t="s">
        <v>12</v>
      </c>
      <c r="F1099" t="s">
        <v>1091</v>
      </c>
      <c r="G1099" t="s">
        <v>1131</v>
      </c>
      <c r="H1099">
        <v>8840</v>
      </c>
      <c r="I1099" t="s">
        <v>2246</v>
      </c>
      <c r="J1099" t="s">
        <v>2247</v>
      </c>
      <c r="K1099" t="s">
        <v>17</v>
      </c>
      <c r="L1099" t="str">
        <f t="shared" si="17"/>
        <v xml:space="preserve">{ longitude: -63.507751968153, latitude: 44.6686907383248, stopType: 'Bus Stop Accessible', gotime: \'8840\', location: \'PORTLAND HILLS DR &lt;AT&gt; CIVIC 621\' }, </v>
      </c>
    </row>
    <row r="1100" spans="1:12" x14ac:dyDescent="0.25">
      <c r="A1100">
        <v>-63.6498910610648</v>
      </c>
      <c r="B1100">
        <v>44.6747256701087</v>
      </c>
      <c r="C1100">
        <v>164</v>
      </c>
      <c r="D1100" t="s">
        <v>11</v>
      </c>
      <c r="E1100" t="s">
        <v>12</v>
      </c>
      <c r="F1100" t="s">
        <v>13</v>
      </c>
      <c r="G1100" t="s">
        <v>14</v>
      </c>
      <c r="H1100">
        <v>6703</v>
      </c>
      <c r="I1100" t="s">
        <v>2248</v>
      </c>
      <c r="J1100" t="s">
        <v>2249</v>
      </c>
      <c r="K1100" t="s">
        <v>17</v>
      </c>
      <c r="L1100" t="str">
        <f t="shared" si="17"/>
        <v xml:space="preserve">{ longitude: -63.6498910610648, latitude: 44.6747256701087, stopType: 'Bus Stop Non-Standard', gotime: \'6703\', location: \'FLAMINGO DR NS STARLING ST\' }, </v>
      </c>
    </row>
    <row r="1101" spans="1:12" x14ac:dyDescent="0.25">
      <c r="A1101">
        <v>-63.5657520425858</v>
      </c>
      <c r="B1101">
        <v>44.700540716873299</v>
      </c>
      <c r="C1101">
        <v>1426</v>
      </c>
      <c r="D1101" t="s">
        <v>29</v>
      </c>
      <c r="E1101" t="s">
        <v>12</v>
      </c>
      <c r="F1101" t="s">
        <v>1091</v>
      </c>
      <c r="G1101" t="s">
        <v>1131</v>
      </c>
      <c r="H1101">
        <v>8853</v>
      </c>
      <c r="I1101" t="s">
        <v>2250</v>
      </c>
      <c r="J1101" t="s">
        <v>2251</v>
      </c>
      <c r="K1101" t="s">
        <v>17</v>
      </c>
      <c r="L1101" t="str">
        <f t="shared" si="17"/>
        <v xml:space="preserve">{ longitude: -63.5657520425858, latitude: 44.7005407168733, stopType: 'Bus Stop Accessible', gotime: \'8853\', location: \'COMMODORE &lt;FS&gt; COUNTRY VIEW DR\' }, </v>
      </c>
    </row>
    <row r="1102" spans="1:12" x14ac:dyDescent="0.25">
      <c r="A1102">
        <v>-63.649797800945102</v>
      </c>
      <c r="B1102">
        <v>44.674133963486398</v>
      </c>
      <c r="C1102">
        <v>165</v>
      </c>
      <c r="D1102" t="s">
        <v>29</v>
      </c>
      <c r="E1102" t="s">
        <v>12</v>
      </c>
      <c r="F1102" t="s">
        <v>13</v>
      </c>
      <c r="G1102" t="s">
        <v>14</v>
      </c>
      <c r="H1102">
        <v>6704</v>
      </c>
      <c r="I1102" t="s">
        <v>2252</v>
      </c>
      <c r="J1102" t="s">
        <v>2253</v>
      </c>
      <c r="K1102" t="s">
        <v>17</v>
      </c>
      <c r="L1102" t="str">
        <f t="shared" si="17"/>
        <v xml:space="preserve">{ longitude: -63.6497978009451, latitude: 44.6741339634864, stopType: 'Bus Stop Accessible', gotime: \'6704\', location: \'FLAMINGO DR NS SKYLARK ST\' }, </v>
      </c>
    </row>
    <row r="1103" spans="1:12" x14ac:dyDescent="0.25">
      <c r="A1103">
        <v>-63.5684916197851</v>
      </c>
      <c r="B1103">
        <v>44.704335224436797</v>
      </c>
      <c r="C1103">
        <v>1427</v>
      </c>
      <c r="D1103" t="s">
        <v>29</v>
      </c>
      <c r="E1103" t="s">
        <v>12</v>
      </c>
      <c r="F1103" t="s">
        <v>1091</v>
      </c>
      <c r="G1103" t="s">
        <v>1131</v>
      </c>
      <c r="H1103">
        <v>8854</v>
      </c>
      <c r="I1103" t="s">
        <v>2254</v>
      </c>
      <c r="J1103" t="s">
        <v>2255</v>
      </c>
      <c r="K1103" t="s">
        <v>17</v>
      </c>
      <c r="L1103" t="str">
        <f t="shared" si="17"/>
        <v xml:space="preserve">{ longitude: -63.5684916197851, latitude: 44.7043352244368, stopType: 'Bus Stop Accessible', gotime: \'8854\', location: \'FINDLAY DR &lt;FS&gt; MCCLURE CLOSE\' }, </v>
      </c>
    </row>
    <row r="1104" spans="1:12" x14ac:dyDescent="0.25">
      <c r="A1104">
        <v>-63.652571431074101</v>
      </c>
      <c r="B1104">
        <v>44.670813967387701</v>
      </c>
      <c r="C1104">
        <v>166</v>
      </c>
      <c r="D1104" t="s">
        <v>29</v>
      </c>
      <c r="E1104" t="s">
        <v>12</v>
      </c>
      <c r="F1104" t="s">
        <v>13</v>
      </c>
      <c r="G1104" t="s">
        <v>19</v>
      </c>
      <c r="H1104">
        <v>6705</v>
      </c>
      <c r="I1104" t="s">
        <v>2256</v>
      </c>
      <c r="J1104" t="s">
        <v>2257</v>
      </c>
      <c r="K1104" t="s">
        <v>17</v>
      </c>
      <c r="L1104" t="str">
        <f t="shared" si="17"/>
        <v xml:space="preserve">{ longitude: -63.6525714310741, latitude: 44.6708139673877, stopType: 'Bus Stop Accessible', gotime: \'6705\', location: \'FLAMINGO DR OPP DOVE ST\' }, </v>
      </c>
    </row>
    <row r="1105" spans="1:12" x14ac:dyDescent="0.25">
      <c r="A1105">
        <v>-63.566326485890301</v>
      </c>
      <c r="B1105">
        <v>44.7074302625375</v>
      </c>
      <c r="C1105">
        <v>1428</v>
      </c>
      <c r="D1105" t="s">
        <v>29</v>
      </c>
      <c r="E1105" t="s">
        <v>12</v>
      </c>
      <c r="F1105" t="s">
        <v>1091</v>
      </c>
      <c r="G1105" t="s">
        <v>1131</v>
      </c>
      <c r="H1105">
        <v>8855</v>
      </c>
      <c r="I1105" t="s">
        <v>2258</v>
      </c>
      <c r="J1105" t="s">
        <v>2259</v>
      </c>
      <c r="K1105" t="s">
        <v>17</v>
      </c>
      <c r="L1105" t="str">
        <f t="shared" si="17"/>
        <v xml:space="preserve">{ longitude: -63.5663264858903, latitude: 44.7074302625375, stopType: 'Bus Stop Accessible', gotime: \'8855\', location: \'FINDLAY DR &lt;FS&gt; SHUBIE DR\' }, </v>
      </c>
    </row>
    <row r="1106" spans="1:12" x14ac:dyDescent="0.25">
      <c r="A1106">
        <v>-63.6559399290568</v>
      </c>
      <c r="B1106">
        <v>44.669436394335001</v>
      </c>
      <c r="C1106">
        <v>167</v>
      </c>
      <c r="D1106" t="s">
        <v>11</v>
      </c>
      <c r="E1106" t="s">
        <v>12</v>
      </c>
      <c r="F1106" t="s">
        <v>13</v>
      </c>
      <c r="G1106" t="s">
        <v>14</v>
      </c>
      <c r="H1106">
        <v>6706</v>
      </c>
      <c r="I1106" t="s">
        <v>2260</v>
      </c>
      <c r="J1106" t="s">
        <v>2261</v>
      </c>
      <c r="K1106" t="s">
        <v>17</v>
      </c>
      <c r="L1106" t="str">
        <f t="shared" si="17"/>
        <v xml:space="preserve">{ longitude: -63.6559399290568, latitude: 44.669436394335, stopType: 'Bus Stop Non-Standard', gotime: \'6706\', location: \'FLAMINGO DR OPP FS MEADOWLARK DR\' }, </v>
      </c>
    </row>
    <row r="1107" spans="1:12" x14ac:dyDescent="0.25">
      <c r="A1107">
        <v>-63.569357893756802</v>
      </c>
      <c r="B1107">
        <v>44.643401067571197</v>
      </c>
      <c r="C1107">
        <v>1429</v>
      </c>
      <c r="D1107" t="s">
        <v>29</v>
      </c>
      <c r="E1107" t="s">
        <v>12</v>
      </c>
      <c r="F1107" t="s">
        <v>1091</v>
      </c>
      <c r="G1107" t="s">
        <v>1526</v>
      </c>
      <c r="H1107">
        <v>8819</v>
      </c>
      <c r="I1107" t="s">
        <v>2262</v>
      </c>
      <c r="J1107" t="s">
        <v>2263</v>
      </c>
      <c r="K1107" t="s">
        <v>17</v>
      </c>
      <c r="L1107" t="str">
        <f t="shared" si="17"/>
        <v xml:space="preserve">{ longitude: -63.5693578937568, latitude: 44.6434010675712, stopType: 'Bus Stop Accessible', gotime: \'8819\', location: \'LOWER WATER ST &lt;NB&gt; &lt;AT&gt; 1475\' }, </v>
      </c>
    </row>
    <row r="1108" spans="1:12" x14ac:dyDescent="0.25">
      <c r="A1108">
        <v>-63.493083884970098</v>
      </c>
      <c r="B1108">
        <v>44.679901643427897</v>
      </c>
      <c r="C1108">
        <v>168</v>
      </c>
      <c r="D1108" t="s">
        <v>29</v>
      </c>
      <c r="E1108" t="s">
        <v>12</v>
      </c>
      <c r="F1108" t="s">
        <v>25</v>
      </c>
      <c r="G1108" t="s">
        <v>26</v>
      </c>
      <c r="H1108">
        <v>6707</v>
      </c>
      <c r="I1108" t="s">
        <v>2264</v>
      </c>
      <c r="J1108" t="s">
        <v>2265</v>
      </c>
      <c r="K1108" t="s">
        <v>17</v>
      </c>
      <c r="L1108" t="str">
        <f t="shared" si="17"/>
        <v xml:space="preserve">{ longitude: -63.4930838849701, latitude: 44.6799016434279, stopType: 'Bus Stop Accessible', gotime: \'6707\', location: \'FLYING CLOUD DR AT CIVIC 39\' }, </v>
      </c>
    </row>
    <row r="1109" spans="1:12" x14ac:dyDescent="0.25">
      <c r="A1109">
        <v>-63.571033358493203</v>
      </c>
      <c r="B1109">
        <v>44.646766674811197</v>
      </c>
      <c r="C1109">
        <v>1430</v>
      </c>
      <c r="D1109" t="s">
        <v>29</v>
      </c>
      <c r="E1109" t="s">
        <v>12</v>
      </c>
      <c r="F1109" t="s">
        <v>1091</v>
      </c>
      <c r="G1109" t="s">
        <v>1526</v>
      </c>
      <c r="H1109">
        <v>8821</v>
      </c>
      <c r="I1109" t="s">
        <v>2266</v>
      </c>
      <c r="J1109" t="s">
        <v>2267</v>
      </c>
      <c r="K1109" t="s">
        <v>17</v>
      </c>
      <c r="L1109" t="str">
        <f t="shared" si="17"/>
        <v xml:space="preserve">{ longitude: -63.5710333584932, latitude: 44.6467666748112, stopType: 'Bus Stop Accessible', gotime: \'8821\', location: \'LOWER WATER ST &lt;NB&gt; &lt;AT&gt; CIVIC 1601\' }, </v>
      </c>
    </row>
    <row r="1110" spans="1:12" x14ac:dyDescent="0.25">
      <c r="A1110">
        <v>-63.493719436269899</v>
      </c>
      <c r="B1110">
        <v>44.6847220925779</v>
      </c>
      <c r="C1110">
        <v>169</v>
      </c>
      <c r="D1110" t="s">
        <v>29</v>
      </c>
      <c r="E1110" t="s">
        <v>12</v>
      </c>
      <c r="F1110" t="s">
        <v>25</v>
      </c>
      <c r="G1110" t="s">
        <v>26</v>
      </c>
      <c r="H1110">
        <v>6708</v>
      </c>
      <c r="I1110" t="s">
        <v>2268</v>
      </c>
      <c r="J1110" t="s">
        <v>2269</v>
      </c>
      <c r="K1110" t="s">
        <v>17</v>
      </c>
      <c r="L1110" t="str">
        <f t="shared" si="17"/>
        <v xml:space="preserve">{ longitude: -63.4937194362699, latitude: 44.6847220925779, stopType: 'Bus Stop Accessible', gotime: \'6708\', location: \'FLYING CLOUD DR AT CIVIC 157\' }, </v>
      </c>
    </row>
    <row r="1111" spans="1:12" x14ac:dyDescent="0.25">
      <c r="A1111">
        <v>-63.573016650978197</v>
      </c>
      <c r="B1111">
        <v>44.647733346507202</v>
      </c>
      <c r="C1111">
        <v>1431</v>
      </c>
      <c r="D1111" t="s">
        <v>29</v>
      </c>
      <c r="E1111" t="s">
        <v>12</v>
      </c>
      <c r="F1111" t="s">
        <v>1091</v>
      </c>
      <c r="G1111" t="s">
        <v>1526</v>
      </c>
      <c r="H1111">
        <v>8822</v>
      </c>
      <c r="I1111" t="s">
        <v>2270</v>
      </c>
      <c r="J1111" t="s">
        <v>2271</v>
      </c>
      <c r="K1111" t="s">
        <v>17</v>
      </c>
      <c r="L1111" t="str">
        <f t="shared" si="17"/>
        <v xml:space="preserve">{ longitude: -63.5730166509782, latitude: 44.6477333465072, stopType: 'Bus Stop Accessible', gotime: \'8822\', location: \'HOLLIS ST &lt;SB&gt; &lt;NS&gt; PRINCE\' }, </v>
      </c>
    </row>
    <row r="1112" spans="1:12" x14ac:dyDescent="0.25">
      <c r="A1112">
        <v>-63.494792211813397</v>
      </c>
      <c r="B1112">
        <v>44.688340423359001</v>
      </c>
      <c r="C1112">
        <v>170</v>
      </c>
      <c r="D1112" t="s">
        <v>29</v>
      </c>
      <c r="E1112" t="s">
        <v>12</v>
      </c>
      <c r="F1112" t="s">
        <v>25</v>
      </c>
      <c r="G1112" t="s">
        <v>26</v>
      </c>
      <c r="H1112">
        <v>6709</v>
      </c>
      <c r="I1112" t="s">
        <v>2272</v>
      </c>
      <c r="J1112" t="s">
        <v>2273</v>
      </c>
      <c r="K1112" t="s">
        <v>17</v>
      </c>
      <c r="L1112" t="str">
        <f t="shared" si="17"/>
        <v xml:space="preserve">{ longitude: -63.4947922118134, latitude: 44.688340423359, stopType: 'Bus Stop Accessible', gotime: \'6709\', location: \'FLYING CLOUD DR NS CIVIC 265\' }, </v>
      </c>
    </row>
    <row r="1113" spans="1:12" x14ac:dyDescent="0.25">
      <c r="A1113">
        <v>-63.572254550091202</v>
      </c>
      <c r="B1113">
        <v>44.646207276507099</v>
      </c>
      <c r="C1113">
        <v>1432</v>
      </c>
      <c r="D1113" t="s">
        <v>29</v>
      </c>
      <c r="E1113" t="s">
        <v>12</v>
      </c>
      <c r="F1113" t="s">
        <v>1091</v>
      </c>
      <c r="G1113" t="s">
        <v>1526</v>
      </c>
      <c r="H1113">
        <v>8823</v>
      </c>
      <c r="I1113" t="s">
        <v>2274</v>
      </c>
      <c r="J1113" t="s">
        <v>2275</v>
      </c>
      <c r="K1113" t="s">
        <v>17</v>
      </c>
      <c r="L1113" t="str">
        <f t="shared" si="17"/>
        <v xml:space="preserve">{ longitude: -63.5722545500912, latitude: 44.6462072765071, stopType: 'Bus Stop Accessible', gotime: \'8823\', location: \'HOLLIS ST &lt;SB&gt; &lt;FS&gt; SACKVILLE ST\' }, </v>
      </c>
    </row>
    <row r="1114" spans="1:12" x14ac:dyDescent="0.25">
      <c r="A1114">
        <v>-63.495176576062697</v>
      </c>
      <c r="B1114">
        <v>44.690188745249998</v>
      </c>
      <c r="C1114">
        <v>171</v>
      </c>
      <c r="D1114" t="s">
        <v>29</v>
      </c>
      <c r="E1114" t="s">
        <v>12</v>
      </c>
      <c r="F1114" t="s">
        <v>25</v>
      </c>
      <c r="G1114" t="s">
        <v>26</v>
      </c>
      <c r="H1114">
        <v>6710</v>
      </c>
      <c r="I1114" t="s">
        <v>2276</v>
      </c>
      <c r="J1114" t="s">
        <v>2277</v>
      </c>
      <c r="K1114" t="s">
        <v>17</v>
      </c>
      <c r="L1114" t="str">
        <f t="shared" si="17"/>
        <v xml:space="preserve">{ longitude: -63.4951765760627, latitude: 44.69018874525, stopType: 'Bus Stop Accessible', gotime: \'6710\', location: \'FLYING CLOUD DR NS FHP\' }, </v>
      </c>
    </row>
    <row r="1115" spans="1:12" x14ac:dyDescent="0.25">
      <c r="A1115">
        <v>-63.571293891219099</v>
      </c>
      <c r="B1115">
        <v>44.6443285952585</v>
      </c>
      <c r="C1115">
        <v>1433</v>
      </c>
      <c r="D1115" t="s">
        <v>29</v>
      </c>
      <c r="E1115" t="s">
        <v>12</v>
      </c>
      <c r="F1115" t="s">
        <v>1091</v>
      </c>
      <c r="G1115" t="s">
        <v>1526</v>
      </c>
      <c r="H1115">
        <v>8824</v>
      </c>
      <c r="I1115" t="s">
        <v>2278</v>
      </c>
      <c r="J1115" t="s">
        <v>2279</v>
      </c>
      <c r="K1115" t="s">
        <v>17</v>
      </c>
      <c r="L1115" t="str">
        <f t="shared" si="17"/>
        <v xml:space="preserve">{ longitude: -63.5712938912191, latitude: 44.6443285952585, stopType: 'Bus Stop Accessible', gotime: \'8824\', location: \'HOLLIS ST &lt;SB&gt; &lt;FS&gt; PARKADE ENTRANCE\' }, </v>
      </c>
    </row>
    <row r="1116" spans="1:12" x14ac:dyDescent="0.25">
      <c r="A1116">
        <v>-63.493952088668898</v>
      </c>
      <c r="B1116">
        <v>44.682213222659101</v>
      </c>
      <c r="C1116">
        <v>172</v>
      </c>
      <c r="D1116" t="s">
        <v>29</v>
      </c>
      <c r="E1116" t="s">
        <v>12</v>
      </c>
      <c r="F1116" t="s">
        <v>25</v>
      </c>
      <c r="G1116" t="s">
        <v>26</v>
      </c>
      <c r="H1116">
        <v>6711</v>
      </c>
      <c r="I1116" t="s">
        <v>2280</v>
      </c>
      <c r="J1116" t="s">
        <v>2281</v>
      </c>
      <c r="K1116" t="s">
        <v>17</v>
      </c>
      <c r="L1116" t="str">
        <f t="shared" si="17"/>
        <v xml:space="preserve">{ longitude: -63.4939520886689, latitude: 44.6822132226591, stopType: 'Bus Stop Accessible', gotime: \'6711\', location: \'FLYING CLOUD DR FS PAXTON DR\' }, </v>
      </c>
    </row>
    <row r="1117" spans="1:12" x14ac:dyDescent="0.25">
      <c r="A1117">
        <v>-63.656407945549397</v>
      </c>
      <c r="B1117">
        <v>44.660220332210898</v>
      </c>
      <c r="C1117">
        <v>1434</v>
      </c>
      <c r="D1117" t="s">
        <v>22</v>
      </c>
      <c r="E1117" t="s">
        <v>12</v>
      </c>
      <c r="F1117" t="s">
        <v>13</v>
      </c>
      <c r="G1117" t="s">
        <v>19</v>
      </c>
      <c r="H1117">
        <v>8488</v>
      </c>
      <c r="I1117" t="s">
        <v>2282</v>
      </c>
      <c r="J1117" t="s">
        <v>2283</v>
      </c>
      <c r="K1117" t="s">
        <v>17</v>
      </c>
      <c r="L1117" t="str">
        <f t="shared" si="17"/>
        <v xml:space="preserve">{ longitude: -63.6564079455494, latitude: 44.6602203322109, stopType: 'Bus Stop Shelter Accessible', gotime: \'8488\', location: \'WILLET ST FS CHADWICK PL\' }, </v>
      </c>
    </row>
    <row r="1118" spans="1:12" x14ac:dyDescent="0.25">
      <c r="A1118">
        <v>-63.746801159197801</v>
      </c>
      <c r="B1118">
        <v>44.661956724324703</v>
      </c>
      <c r="C1118">
        <v>173</v>
      </c>
      <c r="D1118" t="s">
        <v>18</v>
      </c>
      <c r="E1118" t="s">
        <v>12</v>
      </c>
      <c r="F1118" t="s">
        <v>13</v>
      </c>
      <c r="G1118" t="s">
        <v>14</v>
      </c>
      <c r="H1118">
        <v>6712</v>
      </c>
      <c r="I1118" t="s">
        <v>2284</v>
      </c>
      <c r="J1118" t="s">
        <v>2285</v>
      </c>
      <c r="K1118" t="s">
        <v>17</v>
      </c>
      <c r="L1118" t="str">
        <f t="shared" si="17"/>
        <v xml:space="preserve">{ longitude: -63.7468011591978, latitude: 44.6619567243247, stopType: 'Bus Stop Shelter Non-Standard', gotime: \'6712\', location: \'FOREST GLEN DR FS CIVIC 2\' }, </v>
      </c>
    </row>
    <row r="1119" spans="1:12" x14ac:dyDescent="0.25">
      <c r="A1119">
        <v>-63.652136807962798</v>
      </c>
      <c r="B1119">
        <v>44.657267111372001</v>
      </c>
      <c r="C1119">
        <v>1435</v>
      </c>
      <c r="D1119" t="s">
        <v>22</v>
      </c>
      <c r="E1119" t="s">
        <v>12</v>
      </c>
      <c r="F1119" t="s">
        <v>13</v>
      </c>
      <c r="G1119" t="s">
        <v>14</v>
      </c>
      <c r="H1119">
        <v>8489</v>
      </c>
      <c r="I1119" t="s">
        <v>2286</v>
      </c>
      <c r="J1119" t="s">
        <v>2287</v>
      </c>
      <c r="K1119" t="s">
        <v>17</v>
      </c>
      <c r="L1119" t="str">
        <f t="shared" si="17"/>
        <v xml:space="preserve">{ longitude: -63.6521368079628, latitude: 44.657267111372, stopType: 'Bus Stop Shelter Accessible', gotime: \'8489\', location: \'WILLET ST FS CHELSEA LANE\' }, </v>
      </c>
    </row>
    <row r="1120" spans="1:12" x14ac:dyDescent="0.25">
      <c r="A1120">
        <v>-63.7457936711766</v>
      </c>
      <c r="B1120">
        <v>44.660677779964402</v>
      </c>
      <c r="C1120">
        <v>174</v>
      </c>
      <c r="D1120" t="s">
        <v>11</v>
      </c>
      <c r="E1120" t="s">
        <v>12</v>
      </c>
      <c r="F1120" t="s">
        <v>13</v>
      </c>
      <c r="G1120" t="s">
        <v>14</v>
      </c>
      <c r="H1120">
        <v>6713</v>
      </c>
      <c r="I1120" t="s">
        <v>2288</v>
      </c>
      <c r="J1120" t="s">
        <v>2289</v>
      </c>
      <c r="K1120" t="s">
        <v>17</v>
      </c>
      <c r="L1120" t="str">
        <f t="shared" si="17"/>
        <v xml:space="preserve">{ longitude: -63.7457936711766, latitude: 44.6606777799644, stopType: 'Bus Stop Non-Standard', gotime: \'6713\', location: \'FOREST GLEN DR FS CIVIC 50\' }, </v>
      </c>
    </row>
    <row r="1121" spans="1:12" x14ac:dyDescent="0.25">
      <c r="A1121">
        <v>-63.480238410589699</v>
      </c>
      <c r="B1121">
        <v>44.676556758882903</v>
      </c>
      <c r="C1121">
        <v>1436</v>
      </c>
      <c r="D1121" t="s">
        <v>18</v>
      </c>
      <c r="E1121" t="s">
        <v>12</v>
      </c>
      <c r="F1121" t="s">
        <v>25</v>
      </c>
      <c r="G1121" t="s">
        <v>19</v>
      </c>
      <c r="H1121">
        <v>6035</v>
      </c>
      <c r="I1121" t="s">
        <v>2290</v>
      </c>
      <c r="J1121" t="s">
        <v>2291</v>
      </c>
      <c r="K1121" t="s">
        <v>17</v>
      </c>
      <c r="L1121" t="str">
        <f t="shared" si="17"/>
        <v xml:space="preserve">{ longitude: -63.4802384105897, latitude: 44.6765567588829, stopType: 'Bus Stop Shelter Non-Standard', gotime: \'6035\', location: \'ARKLOW DR FS JOHN STEWART DR\' }, </v>
      </c>
    </row>
    <row r="1122" spans="1:12" x14ac:dyDescent="0.25">
      <c r="A1122">
        <v>-63.745386708507297</v>
      </c>
      <c r="B1122">
        <v>44.658124380367298</v>
      </c>
      <c r="C1122">
        <v>175</v>
      </c>
      <c r="D1122" t="s">
        <v>11</v>
      </c>
      <c r="E1122" t="s">
        <v>12</v>
      </c>
      <c r="F1122" t="s">
        <v>13</v>
      </c>
      <c r="G1122" t="s">
        <v>14</v>
      </c>
      <c r="H1122">
        <v>6714</v>
      </c>
      <c r="I1122" t="s">
        <v>2292</v>
      </c>
      <c r="J1122" t="s">
        <v>2293</v>
      </c>
      <c r="K1122" t="s">
        <v>17</v>
      </c>
      <c r="L1122" t="str">
        <f t="shared" si="17"/>
        <v xml:space="preserve">{ longitude: -63.7453867085073, latitude: 44.6581243803673, stopType: 'Bus Stop Non-Standard', gotime: \'6714\', location: \'FOREST GLEN DR FS MEADOWDALE CT\' }, </v>
      </c>
    </row>
    <row r="1123" spans="1:12" x14ac:dyDescent="0.25">
      <c r="A1123">
        <v>-63.486819324491101</v>
      </c>
      <c r="B1123">
        <v>44.681381226681502</v>
      </c>
      <c r="C1123">
        <v>1437</v>
      </c>
      <c r="D1123" t="s">
        <v>11</v>
      </c>
      <c r="E1123" t="s">
        <v>12</v>
      </c>
      <c r="F1123" t="s">
        <v>13</v>
      </c>
      <c r="G1123" t="s">
        <v>14</v>
      </c>
      <c r="H1123">
        <v>6036</v>
      </c>
      <c r="I1123" t="s">
        <v>2294</v>
      </c>
      <c r="J1123" t="s">
        <v>2295</v>
      </c>
      <c r="K1123" t="s">
        <v>17</v>
      </c>
      <c r="L1123" t="str">
        <f t="shared" si="17"/>
        <v xml:space="preserve">{ longitude: -63.4868193244911, latitude: 44.6813812266815, stopType: 'Bus Stop Non-Standard', gotime: \'6036\', location: \'ARKLOW DR FS LANARKSHIRE CRT\' }, </v>
      </c>
    </row>
    <row r="1124" spans="1:12" x14ac:dyDescent="0.25">
      <c r="A1124">
        <v>-63.745487139098799</v>
      </c>
      <c r="B1124">
        <v>44.6597628199277</v>
      </c>
      <c r="C1124">
        <v>176</v>
      </c>
      <c r="D1124" t="s">
        <v>11</v>
      </c>
      <c r="E1124" t="s">
        <v>12</v>
      </c>
      <c r="F1124" t="s">
        <v>25</v>
      </c>
      <c r="G1124" t="s">
        <v>26</v>
      </c>
      <c r="H1124">
        <v>6715</v>
      </c>
      <c r="I1124" t="s">
        <v>2296</v>
      </c>
      <c r="J1124" t="s">
        <v>2297</v>
      </c>
      <c r="K1124" t="s">
        <v>17</v>
      </c>
      <c r="L1124" t="str">
        <f t="shared" si="17"/>
        <v xml:space="preserve">{ longitude: -63.7454871390988, latitude: 44.6597628199277, stopType: 'Bus Stop Non-Standard', gotime: \'6715\', location: \'FOREST GLEN DR AT CIVIC 69\' }, </v>
      </c>
    </row>
    <row r="1125" spans="1:12" x14ac:dyDescent="0.25">
      <c r="A1125">
        <v>-63.4873054542023</v>
      </c>
      <c r="B1125">
        <v>44.677798611029203</v>
      </c>
      <c r="C1125">
        <v>1438</v>
      </c>
      <c r="D1125" t="s">
        <v>11</v>
      </c>
      <c r="E1125" t="s">
        <v>12</v>
      </c>
      <c r="F1125" t="s">
        <v>25</v>
      </c>
      <c r="G1125" t="s">
        <v>19</v>
      </c>
      <c r="H1125">
        <v>6037</v>
      </c>
      <c r="I1125" t="s">
        <v>2298</v>
      </c>
      <c r="J1125" t="s">
        <v>2299</v>
      </c>
      <c r="K1125" t="s">
        <v>17</v>
      </c>
      <c r="L1125" t="str">
        <f t="shared" si="17"/>
        <v xml:space="preserve">{ longitude: -63.4873054542023, latitude: 44.6777986110292, stopType: 'Bus Stop Non-Standard', gotime: \'6037\', location: \'ARKLOW DR AT CIVIC 177\' }, </v>
      </c>
    </row>
    <row r="1126" spans="1:12" x14ac:dyDescent="0.25">
      <c r="A1126">
        <v>-63.745169312773101</v>
      </c>
      <c r="B1126">
        <v>44.658475104271098</v>
      </c>
      <c r="C1126">
        <v>177</v>
      </c>
      <c r="D1126" t="s">
        <v>11</v>
      </c>
      <c r="E1126" t="s">
        <v>12</v>
      </c>
      <c r="F1126" t="s">
        <v>13</v>
      </c>
      <c r="G1126" t="s">
        <v>14</v>
      </c>
      <c r="H1126">
        <v>6716</v>
      </c>
      <c r="I1126" t="s">
        <v>2300</v>
      </c>
      <c r="J1126" t="s">
        <v>2301</v>
      </c>
      <c r="K1126" t="s">
        <v>17</v>
      </c>
      <c r="L1126" t="str">
        <f t="shared" si="17"/>
        <v xml:space="preserve">{ longitude: -63.7451693127731, latitude: 44.6584751042711, stopType: 'Bus Stop Non-Standard', gotime: \'6716\', location: \'FOREST GLEN DR NS MEADOWDALE CT\' }, </v>
      </c>
    </row>
    <row r="1127" spans="1:12" x14ac:dyDescent="0.25">
      <c r="A1127">
        <v>-63.487167701970698</v>
      </c>
      <c r="B1127">
        <v>44.681361277744898</v>
      </c>
      <c r="C1127">
        <v>1439</v>
      </c>
      <c r="D1127" t="s">
        <v>11</v>
      </c>
      <c r="E1127" t="s">
        <v>12</v>
      </c>
      <c r="F1127" t="s">
        <v>25</v>
      </c>
      <c r="G1127" t="s">
        <v>26</v>
      </c>
      <c r="H1127">
        <v>6038</v>
      </c>
      <c r="I1127" t="s">
        <v>2302</v>
      </c>
      <c r="J1127" t="s">
        <v>2303</v>
      </c>
      <c r="K1127" t="s">
        <v>17</v>
      </c>
      <c r="L1127" t="str">
        <f t="shared" si="17"/>
        <v xml:space="preserve">{ longitude: -63.4871677019707, latitude: 44.6813612777449, stopType: 'Bus Stop Non-Standard', gotime: \'6038\', location: \'ARKLOW DR AT CIVIC 293\' }, </v>
      </c>
    </row>
    <row r="1128" spans="1:12" x14ac:dyDescent="0.25">
      <c r="A1128">
        <v>-63.484824900281801</v>
      </c>
      <c r="B1128">
        <v>44.680440503506297</v>
      </c>
      <c r="C1128">
        <v>1440</v>
      </c>
      <c r="D1128" t="s">
        <v>11</v>
      </c>
      <c r="E1128" t="s">
        <v>12</v>
      </c>
      <c r="F1128" t="s">
        <v>25</v>
      </c>
      <c r="G1128" t="s">
        <v>26</v>
      </c>
      <c r="H1128">
        <v>6039</v>
      </c>
      <c r="I1128" t="s">
        <v>2304</v>
      </c>
      <c r="J1128" t="s">
        <v>2305</v>
      </c>
      <c r="K1128" t="s">
        <v>17</v>
      </c>
      <c r="L1128" t="str">
        <f t="shared" si="17"/>
        <v xml:space="preserve">{ longitude: -63.4848249002818, latitude: 44.6804405035063, stopType: 'Bus Stop Non-Standard', gotime: \'6039\', location: \'ARKLOW DR AT CIVIC 371\' }, </v>
      </c>
    </row>
    <row r="1129" spans="1:12" x14ac:dyDescent="0.25">
      <c r="A1129">
        <v>-63.539426993651901</v>
      </c>
      <c r="B1129">
        <v>44.646353821679497</v>
      </c>
      <c r="C1129">
        <v>178</v>
      </c>
      <c r="D1129" t="s">
        <v>103</v>
      </c>
      <c r="E1129" t="s">
        <v>12</v>
      </c>
      <c r="F1129" t="s">
        <v>25</v>
      </c>
      <c r="G1129" t="s">
        <v>65</v>
      </c>
      <c r="H1129">
        <v>6720</v>
      </c>
      <c r="I1129" t="s">
        <v>2306</v>
      </c>
      <c r="J1129" t="s">
        <v>2307</v>
      </c>
      <c r="K1129" t="s">
        <v>17</v>
      </c>
      <c r="L1129" t="str">
        <f t="shared" si="17"/>
        <v xml:space="preserve">{ longitude: -63.5394269936519, latitude: 44.6463538216795, stopType: 'Bus Stop Inaccessible', gotime: \'6720\', location: \'FRANKLYN ST FS CIVIC 35\' }, </v>
      </c>
    </row>
    <row r="1130" spans="1:12" x14ac:dyDescent="0.25">
      <c r="A1130">
        <v>-63.484865093937202</v>
      </c>
      <c r="B1130">
        <v>44.680305865054201</v>
      </c>
      <c r="C1130">
        <v>1441</v>
      </c>
      <c r="D1130" t="s">
        <v>29</v>
      </c>
      <c r="E1130" t="s">
        <v>12</v>
      </c>
      <c r="F1130" t="s">
        <v>25</v>
      </c>
      <c r="G1130" t="s">
        <v>26</v>
      </c>
      <c r="H1130">
        <v>6040</v>
      </c>
      <c r="I1130" t="s">
        <v>2308</v>
      </c>
      <c r="J1130" t="s">
        <v>2309</v>
      </c>
      <c r="K1130" t="s">
        <v>17</v>
      </c>
      <c r="L1130" t="str">
        <f t="shared" si="17"/>
        <v xml:space="preserve">{ longitude: -63.4848650939372, latitude: 44.6803058650542, stopType: 'Bus Stop Accessible', gotime: \'6040\', location: \'ARKLOW DR AT CIVIC 354\' }, </v>
      </c>
    </row>
    <row r="1131" spans="1:12" x14ac:dyDescent="0.25">
      <c r="A1131">
        <v>-63.489181836442398</v>
      </c>
      <c r="B1131">
        <v>44.6808751395032</v>
      </c>
      <c r="C1131">
        <v>1442</v>
      </c>
      <c r="D1131" t="s">
        <v>11</v>
      </c>
      <c r="E1131" t="s">
        <v>12</v>
      </c>
      <c r="F1131" t="s">
        <v>25</v>
      </c>
      <c r="G1131" t="s">
        <v>26</v>
      </c>
      <c r="H1131">
        <v>6041</v>
      </c>
      <c r="I1131" t="s">
        <v>2310</v>
      </c>
      <c r="J1131" s="1" t="s">
        <v>2311</v>
      </c>
      <c r="K1131" t="s">
        <v>17</v>
      </c>
      <c r="L1131" t="str">
        <f t="shared" si="17"/>
        <v xml:space="preserve">{ longitude: -63.4891818364424, latitude: 44.6808751395032, stopType: 'Bus Stop Non-Standard', gotime: \'6041\', location: \'ARKLOW DR NS CIVIC 253\' }, </v>
      </c>
    </row>
    <row r="1132" spans="1:12" x14ac:dyDescent="0.25">
      <c r="A1132">
        <v>-63.541437429736497</v>
      </c>
      <c r="B1132">
        <v>44.647522685000801</v>
      </c>
      <c r="C1132">
        <v>179</v>
      </c>
      <c r="D1132" t="s">
        <v>11</v>
      </c>
      <c r="E1132" t="s">
        <v>12</v>
      </c>
      <c r="F1132" t="s">
        <v>25</v>
      </c>
      <c r="G1132" t="s">
        <v>26</v>
      </c>
      <c r="H1132">
        <v>6721</v>
      </c>
      <c r="I1132" t="s">
        <v>2312</v>
      </c>
      <c r="J1132" t="s">
        <v>2313</v>
      </c>
      <c r="K1132" t="s">
        <v>17</v>
      </c>
      <c r="L1132" t="str">
        <f t="shared" si="17"/>
        <v xml:space="preserve">{ longitude: -63.5414374297365, latitude: 44.6475226850008, stopType: 'Bus Stop Non-Standard', gotime: \'6721\', location: \'FRANKLYN ST AT CIVIC 5\' }, </v>
      </c>
    </row>
    <row r="1133" spans="1:12" x14ac:dyDescent="0.25">
      <c r="A1133">
        <v>-63.483477999489402</v>
      </c>
      <c r="B1133">
        <v>44.678115594453203</v>
      </c>
      <c r="C1133">
        <v>1443</v>
      </c>
      <c r="D1133" t="s">
        <v>11</v>
      </c>
      <c r="E1133" t="s">
        <v>12</v>
      </c>
      <c r="F1133" t="s">
        <v>25</v>
      </c>
      <c r="G1133" t="s">
        <v>26</v>
      </c>
      <c r="H1133">
        <v>6042</v>
      </c>
      <c r="I1133" t="s">
        <v>2314</v>
      </c>
      <c r="J1133" t="s">
        <v>2315</v>
      </c>
      <c r="K1133" t="s">
        <v>17</v>
      </c>
      <c r="L1133" t="str">
        <f t="shared" si="17"/>
        <v xml:space="preserve">{ longitude: -63.4834779994894, latitude: 44.6781155944532, stopType: 'Bus Stop Non-Standard', gotime: \'6042\', location: \'ARKLOW DR NS CIVIC 467\' }, </v>
      </c>
    </row>
    <row r="1134" spans="1:12" x14ac:dyDescent="0.25">
      <c r="A1134">
        <v>-63.747265514981599</v>
      </c>
      <c r="B1134">
        <v>44.662654476851003</v>
      </c>
      <c r="C1134">
        <v>180</v>
      </c>
      <c r="D1134" t="s">
        <v>103</v>
      </c>
      <c r="E1134" t="s">
        <v>12</v>
      </c>
      <c r="F1134" t="s">
        <v>25</v>
      </c>
      <c r="G1134" t="s">
        <v>65</v>
      </c>
      <c r="H1134">
        <v>6722</v>
      </c>
      <c r="I1134" t="s">
        <v>2316</v>
      </c>
      <c r="J1134" t="s">
        <v>2317</v>
      </c>
      <c r="K1134" t="s">
        <v>17</v>
      </c>
      <c r="L1134" t="str">
        <f t="shared" si="17"/>
        <v xml:space="preserve">{ longitude: -63.7472655149816, latitude: 44.662654476851, stopType: 'Bus Stop Inaccessible', gotime: \'6722\', location: \'FRASER RD OPP CIVIC 12\' }, </v>
      </c>
    </row>
    <row r="1135" spans="1:12" x14ac:dyDescent="0.25">
      <c r="A1135">
        <v>-63.488678665318503</v>
      </c>
      <c r="B1135">
        <v>44.680069709788803</v>
      </c>
      <c r="C1135">
        <v>1444</v>
      </c>
      <c r="D1135" t="s">
        <v>11</v>
      </c>
      <c r="E1135" t="s">
        <v>12</v>
      </c>
      <c r="F1135" t="s">
        <v>25</v>
      </c>
      <c r="G1135" t="s">
        <v>26</v>
      </c>
      <c r="H1135">
        <v>6043</v>
      </c>
      <c r="I1135" t="s">
        <v>2318</v>
      </c>
      <c r="J1135" t="s">
        <v>2319</v>
      </c>
      <c r="K1135" t="s">
        <v>17</v>
      </c>
      <c r="L1135" t="str">
        <f t="shared" si="17"/>
        <v xml:space="preserve">{ longitude: -63.4886786653185, latitude: 44.6800697097888, stopType: 'Bus Stop Non-Standard', gotime: \'6043\', location: \'ARKLOW DR NS CIVIC 238\' }, </v>
      </c>
    </row>
    <row r="1136" spans="1:12" x14ac:dyDescent="0.25">
      <c r="A1136">
        <v>-63.542084488353098</v>
      </c>
      <c r="B1136">
        <v>44.666418599687297</v>
      </c>
      <c r="C1136">
        <v>181</v>
      </c>
      <c r="D1136" t="s">
        <v>29</v>
      </c>
      <c r="E1136" t="s">
        <v>12</v>
      </c>
      <c r="F1136" t="s">
        <v>25</v>
      </c>
      <c r="G1136" t="s">
        <v>19</v>
      </c>
      <c r="H1136">
        <v>6723</v>
      </c>
      <c r="I1136" t="s">
        <v>2320</v>
      </c>
      <c r="J1136" t="s">
        <v>2321</v>
      </c>
      <c r="K1136" t="s">
        <v>17</v>
      </c>
      <c r="L1136" t="str">
        <f t="shared" si="17"/>
        <v xml:space="preserve">{ longitude: -63.5420844883531, latitude: 44.6664185996873, stopType: 'Bus Stop Accessible', gotime: \'6723\', location: \'GASTON RD FS MACRAE AVE\' }, </v>
      </c>
    </row>
    <row r="1137" spans="1:12" x14ac:dyDescent="0.25">
      <c r="A1137">
        <v>-63.480202628531899</v>
      </c>
      <c r="B1137">
        <v>44.676439442956898</v>
      </c>
      <c r="C1137">
        <v>1445</v>
      </c>
      <c r="D1137" t="s">
        <v>11</v>
      </c>
      <c r="E1137" t="s">
        <v>12</v>
      </c>
      <c r="F1137" t="s">
        <v>25</v>
      </c>
      <c r="G1137" t="s">
        <v>160</v>
      </c>
      <c r="H1137">
        <v>6044</v>
      </c>
      <c r="I1137" t="s">
        <v>2322</v>
      </c>
      <c r="J1137" t="s">
        <v>2323</v>
      </c>
      <c r="K1137" t="s">
        <v>17</v>
      </c>
      <c r="L1137" t="str">
        <f t="shared" si="17"/>
        <v xml:space="preserve">{ longitude: -63.4802026285319, latitude: 44.6764394429569, stopType: 'Bus Stop Non-Standard', gotime: \'6044\', location: \'ARKLOW DR NS JOHN STEWART DR\' }, </v>
      </c>
    </row>
    <row r="1138" spans="1:12" x14ac:dyDescent="0.25">
      <c r="A1138">
        <v>-63.483532191048397</v>
      </c>
      <c r="B1138">
        <v>44.652646813337</v>
      </c>
      <c r="C1138">
        <v>182</v>
      </c>
      <c r="D1138" t="s">
        <v>103</v>
      </c>
      <c r="E1138" t="s">
        <v>12</v>
      </c>
      <c r="F1138" t="s">
        <v>25</v>
      </c>
      <c r="G1138" t="s">
        <v>65</v>
      </c>
      <c r="H1138">
        <v>6322</v>
      </c>
      <c r="I1138" t="s">
        <v>2324</v>
      </c>
      <c r="J1138" t="s">
        <v>2325</v>
      </c>
      <c r="K1138" t="s">
        <v>17</v>
      </c>
      <c r="L1138" t="str">
        <f t="shared" si="17"/>
        <v xml:space="preserve">{ longitude: -63.4835321910484, latitude: 44.652646813337, stopType: 'Bus Stop Inaccessible', gotime: \'6322\', location: \'BROOKFIELD AVE AT WILLOWDALE DR\' }, </v>
      </c>
    </row>
    <row r="1139" spans="1:12" x14ac:dyDescent="0.25">
      <c r="A1139">
        <v>-63.580660677664703</v>
      </c>
      <c r="B1139">
        <v>44.698396667392103</v>
      </c>
      <c r="C1139">
        <v>183</v>
      </c>
      <c r="D1139" t="s">
        <v>11</v>
      </c>
      <c r="E1139" t="s">
        <v>12</v>
      </c>
      <c r="F1139" t="s">
        <v>25</v>
      </c>
      <c r="G1139" t="s">
        <v>26</v>
      </c>
      <c r="H1139">
        <v>6323</v>
      </c>
      <c r="I1139" t="s">
        <v>2326</v>
      </c>
      <c r="J1139" t="s">
        <v>2327</v>
      </c>
      <c r="K1139" t="s">
        <v>17</v>
      </c>
      <c r="L1139" t="str">
        <f t="shared" si="17"/>
        <v xml:space="preserve">{ longitude: -63.5806606776647, latitude: 44.6983966673921, stopType: 'Bus Stop Non-Standard', gotime: \'6323\', location: \'BROWNLOW AVE AT CIVIC 202 {TO SACKVILLE}\' }, </v>
      </c>
    </row>
    <row r="1140" spans="1:12" x14ac:dyDescent="0.25">
      <c r="A1140">
        <v>-63.487267610374801</v>
      </c>
      <c r="B1140">
        <v>44.678312879442799</v>
      </c>
      <c r="C1140">
        <v>1446</v>
      </c>
      <c r="D1140" t="s">
        <v>29</v>
      </c>
      <c r="E1140" t="s">
        <v>12</v>
      </c>
      <c r="F1140" t="s">
        <v>13</v>
      </c>
      <c r="G1140" t="s">
        <v>19</v>
      </c>
      <c r="H1140">
        <v>6045</v>
      </c>
      <c r="I1140" t="s">
        <v>2328</v>
      </c>
      <c r="J1140" t="s">
        <v>2329</v>
      </c>
      <c r="K1140" t="s">
        <v>17</v>
      </c>
      <c r="L1140" t="str">
        <f t="shared" si="17"/>
        <v xml:space="preserve">{ longitude: -63.4872676103748, latitude: 44.6783128794428, stopType: 'Bus Stop Accessible', gotime: \'6045\', location: \'ARKLOW DR OPP CIVIC 181\' }, </v>
      </c>
    </row>
    <row r="1141" spans="1:12" x14ac:dyDescent="0.25">
      <c r="A1141">
        <v>-63.580623967598903</v>
      </c>
      <c r="B1141">
        <v>44.698324374320002</v>
      </c>
      <c r="C1141">
        <v>184</v>
      </c>
      <c r="D1141" t="s">
        <v>11</v>
      </c>
      <c r="E1141" t="s">
        <v>12</v>
      </c>
      <c r="F1141" t="s">
        <v>25</v>
      </c>
      <c r="G1141" t="s">
        <v>26</v>
      </c>
      <c r="H1141">
        <v>6324</v>
      </c>
      <c r="I1141" t="s">
        <v>2330</v>
      </c>
      <c r="J1141" t="s">
        <v>2331</v>
      </c>
      <c r="K1141" t="s">
        <v>17</v>
      </c>
      <c r="L1141" t="str">
        <f t="shared" si="17"/>
        <v xml:space="preserve">{ longitude: -63.5806239675989, latitude: 44.69832437432, stopType: 'Bus Stop Non-Standard', gotime: \'6324\', location: \'BROWNLOW AVE AT CIVIC 202\' }, </v>
      </c>
    </row>
    <row r="1142" spans="1:12" x14ac:dyDescent="0.25">
      <c r="A1142">
        <v>-63.485648463618801</v>
      </c>
      <c r="B1142">
        <v>44.667218223221198</v>
      </c>
      <c r="C1142">
        <v>1447</v>
      </c>
      <c r="D1142" t="s">
        <v>11</v>
      </c>
      <c r="E1142" t="s">
        <v>12</v>
      </c>
      <c r="F1142" t="s">
        <v>25</v>
      </c>
      <c r="G1142" t="s">
        <v>26</v>
      </c>
      <c r="H1142">
        <v>6046</v>
      </c>
      <c r="I1142" t="s">
        <v>2332</v>
      </c>
      <c r="J1142" t="s">
        <v>2333</v>
      </c>
      <c r="K1142" t="s">
        <v>17</v>
      </c>
      <c r="L1142" t="str">
        <f t="shared" si="17"/>
        <v xml:space="preserve">{ longitude: -63.4856484636188, latitude: 44.6672182232212, stopType: 'Bus Stop Non-Standard', gotime: \'6046\', location: \'ASHGROVE AVE AT ANCASTER CRT\' }, </v>
      </c>
    </row>
    <row r="1143" spans="1:12" x14ac:dyDescent="0.25">
      <c r="A1143">
        <v>-63.4826191431262</v>
      </c>
      <c r="B1143">
        <v>44.670251185172503</v>
      </c>
      <c r="C1143">
        <v>1448</v>
      </c>
      <c r="D1143" t="s">
        <v>11</v>
      </c>
      <c r="E1143" t="s">
        <v>12</v>
      </c>
      <c r="F1143" t="s">
        <v>25</v>
      </c>
      <c r="G1143" t="s">
        <v>26</v>
      </c>
      <c r="H1143">
        <v>6047</v>
      </c>
      <c r="I1143" t="s">
        <v>2334</v>
      </c>
      <c r="J1143" t="s">
        <v>2335</v>
      </c>
      <c r="K1143" t="s">
        <v>17</v>
      </c>
      <c r="L1143" t="str">
        <f t="shared" si="17"/>
        <v xml:space="preserve">{ longitude: -63.4826191431262, latitude: 44.6702511851725, stopType: 'Bus Stop Non-Standard', gotime: \'6047\', location: \'ASHGROVE AVE FS AVONDALE RD\' }, </v>
      </c>
    </row>
    <row r="1144" spans="1:12" x14ac:dyDescent="0.25">
      <c r="A1144">
        <v>-63.577546532775798</v>
      </c>
      <c r="B1144">
        <v>44.695059667401097</v>
      </c>
      <c r="C1144">
        <v>185</v>
      </c>
      <c r="D1144" t="s">
        <v>11</v>
      </c>
      <c r="E1144" t="s">
        <v>12</v>
      </c>
      <c r="F1144" t="s">
        <v>25</v>
      </c>
      <c r="G1144" t="s">
        <v>26</v>
      </c>
      <c r="H1144">
        <v>6325</v>
      </c>
      <c r="I1144" t="s">
        <v>2336</v>
      </c>
      <c r="J1144" t="s">
        <v>2337</v>
      </c>
      <c r="K1144" t="s">
        <v>17</v>
      </c>
      <c r="L1144" t="str">
        <f t="shared" si="17"/>
        <v xml:space="preserve">{ longitude: -63.5775465327758, latitude: 44.6950596674011, stopType: 'Bus Stop Non-Standard', gotime: \'6325\', location: \'BROWNLOW AVE AT CIVIC 250\' }, </v>
      </c>
    </row>
    <row r="1145" spans="1:12" x14ac:dyDescent="0.25">
      <c r="A1145">
        <v>-63.483394718403197</v>
      </c>
      <c r="B1145">
        <v>44.6720580382664</v>
      </c>
      <c r="C1145">
        <v>1449</v>
      </c>
      <c r="D1145" t="s">
        <v>18</v>
      </c>
      <c r="E1145" t="s">
        <v>12</v>
      </c>
      <c r="F1145" t="s">
        <v>25</v>
      </c>
      <c r="G1145" t="s">
        <v>19</v>
      </c>
      <c r="H1145">
        <v>6048</v>
      </c>
      <c r="I1145" t="s">
        <v>2338</v>
      </c>
      <c r="J1145" t="s">
        <v>2339</v>
      </c>
      <c r="K1145" t="s">
        <v>17</v>
      </c>
      <c r="L1145" t="str">
        <f t="shared" si="17"/>
        <v xml:space="preserve">{ longitude: -63.4833947184032, latitude: 44.6720580382664, stopType: 'Bus Stop Shelter Non-Standard', gotime: \'6048\', location: \'ASHGROVE AVE FS COLE HARBOUR RD\' }, </v>
      </c>
    </row>
    <row r="1146" spans="1:12" x14ac:dyDescent="0.25">
      <c r="A1146">
        <v>-63.575648164974098</v>
      </c>
      <c r="B1146">
        <v>44.695422304667701</v>
      </c>
      <c r="C1146">
        <v>186</v>
      </c>
      <c r="D1146" t="s">
        <v>18</v>
      </c>
      <c r="E1146" t="s">
        <v>12</v>
      </c>
      <c r="F1146" t="s">
        <v>25</v>
      </c>
      <c r="G1146" t="s">
        <v>19</v>
      </c>
      <c r="H1146">
        <v>6326</v>
      </c>
      <c r="I1146" t="s">
        <v>2340</v>
      </c>
      <c r="J1146" t="s">
        <v>2341</v>
      </c>
      <c r="K1146" t="s">
        <v>17</v>
      </c>
      <c r="L1146" t="str">
        <f t="shared" si="17"/>
        <v xml:space="preserve">{ longitude: -63.5756481649741, latitude: 44.6954223046677, stopType: 'Bus Stop Shelter Non-Standard', gotime: \'6326\', location: \'BROWNLOW AVE FS CIVIC 260 {TO SACKVILLE}\' }, </v>
      </c>
    </row>
    <row r="1147" spans="1:12" x14ac:dyDescent="0.25">
      <c r="A1147">
        <v>-63.483270227909003</v>
      </c>
      <c r="B1147">
        <v>44.668358039973697</v>
      </c>
      <c r="C1147">
        <v>1450</v>
      </c>
      <c r="D1147" t="s">
        <v>11</v>
      </c>
      <c r="E1147" t="s">
        <v>12</v>
      </c>
      <c r="F1147" t="s">
        <v>25</v>
      </c>
      <c r="G1147" t="s">
        <v>26</v>
      </c>
      <c r="H1147">
        <v>6049</v>
      </c>
      <c r="I1147" t="s">
        <v>2342</v>
      </c>
      <c r="J1147" t="s">
        <v>2343</v>
      </c>
      <c r="K1147" t="s">
        <v>17</v>
      </c>
      <c r="L1147" t="str">
        <f t="shared" si="17"/>
        <v xml:space="preserve">{ longitude: -63.483270227909, latitude: 44.6683580399737, stopType: 'Bus Stop Non-Standard', gotime: \'6049\', location: \'ASHGROVE AVE NS ADDISON\' }, </v>
      </c>
    </row>
    <row r="1148" spans="1:12" x14ac:dyDescent="0.25">
      <c r="A1148">
        <v>-63.575521720841103</v>
      </c>
      <c r="B1148">
        <v>44.695439280525598</v>
      </c>
      <c r="C1148">
        <v>187</v>
      </c>
      <c r="D1148" t="s">
        <v>11</v>
      </c>
      <c r="E1148" t="s">
        <v>12</v>
      </c>
      <c r="F1148" t="s">
        <v>25</v>
      </c>
      <c r="G1148" t="s">
        <v>26</v>
      </c>
      <c r="H1148">
        <v>6327</v>
      </c>
      <c r="I1148" t="s">
        <v>2344</v>
      </c>
      <c r="J1148" t="s">
        <v>2345</v>
      </c>
      <c r="K1148" t="s">
        <v>17</v>
      </c>
      <c r="L1148" t="str">
        <f t="shared" si="17"/>
        <v xml:space="preserve">{ longitude: -63.5755217208411, latitude: 44.6954392805256, stopType: 'Bus Stop Non-Standard', gotime: \'6327\', location: \'BROWNLOW AVE AT CIVIC 260\' }, </v>
      </c>
    </row>
    <row r="1149" spans="1:12" x14ac:dyDescent="0.25">
      <c r="A1149">
        <v>-63.488387456735701</v>
      </c>
      <c r="B1149">
        <v>44.656932231347596</v>
      </c>
      <c r="C1149">
        <v>1451</v>
      </c>
      <c r="D1149" t="s">
        <v>29</v>
      </c>
      <c r="E1149" t="s">
        <v>12</v>
      </c>
      <c r="F1149" t="s">
        <v>13</v>
      </c>
      <c r="G1149" t="s">
        <v>14</v>
      </c>
      <c r="H1149">
        <v>6050</v>
      </c>
      <c r="I1149" t="s">
        <v>2346</v>
      </c>
      <c r="J1149" t="s">
        <v>2347</v>
      </c>
      <c r="K1149" t="s">
        <v>17</v>
      </c>
      <c r="L1149" t="str">
        <f t="shared" si="17"/>
        <v xml:space="preserve">{ longitude: -63.4883874567357, latitude: 44.6569322313476, stopType: 'Bus Stop Accessible', gotime: \'6050\', location: \'ASTRAL DR [IB] FS WILLOWDALE DR\' }, </v>
      </c>
    </row>
    <row r="1150" spans="1:12" x14ac:dyDescent="0.25">
      <c r="A1150">
        <v>-63.579102608368899</v>
      </c>
      <c r="B1150">
        <v>44.695594208551398</v>
      </c>
      <c r="C1150">
        <v>188</v>
      </c>
      <c r="D1150" t="s">
        <v>18</v>
      </c>
      <c r="E1150" t="s">
        <v>12</v>
      </c>
      <c r="F1150" t="s">
        <v>25</v>
      </c>
      <c r="G1150" t="s">
        <v>19</v>
      </c>
      <c r="H1150">
        <v>6328</v>
      </c>
      <c r="I1150" t="s">
        <v>2348</v>
      </c>
      <c r="J1150" t="s">
        <v>2349</v>
      </c>
      <c r="K1150" t="s">
        <v>17</v>
      </c>
      <c r="L1150" t="str">
        <f t="shared" si="17"/>
        <v xml:space="preserve">{ longitude: -63.5791026083689, latitude: 44.6955942085514, stopType: 'Bus Stop Shelter Non-Standard', gotime: \'6328\', location: \'BROWNLOW AVE AT CIVIC 236\' }, </v>
      </c>
    </row>
    <row r="1151" spans="1:12" x14ac:dyDescent="0.25">
      <c r="A1151">
        <v>-63.479073854656399</v>
      </c>
      <c r="B1151">
        <v>44.653084030333503</v>
      </c>
      <c r="C1151">
        <v>1452</v>
      </c>
      <c r="D1151" t="s">
        <v>103</v>
      </c>
      <c r="E1151" t="s">
        <v>12</v>
      </c>
      <c r="F1151" t="s">
        <v>25</v>
      </c>
      <c r="G1151" t="s">
        <v>65</v>
      </c>
      <c r="H1151">
        <v>6051</v>
      </c>
      <c r="I1151" t="s">
        <v>2350</v>
      </c>
      <c r="J1151" t="s">
        <v>2351</v>
      </c>
      <c r="K1151" t="s">
        <v>17</v>
      </c>
      <c r="L1151" t="str">
        <f t="shared" si="17"/>
        <v xml:space="preserve">{ longitude: -63.4790738546564, latitude: 44.6530840303335, stopType: 'Bus Stop Inaccessible', gotime: \'6051\', location: \'ASTRAL DR [OB] FS CIVIC 257\' }, </v>
      </c>
    </row>
    <row r="1152" spans="1:12" x14ac:dyDescent="0.25">
      <c r="A1152">
        <v>-63.579078089878401</v>
      </c>
      <c r="B1152">
        <v>44.6955490123499</v>
      </c>
      <c r="C1152">
        <v>189</v>
      </c>
      <c r="D1152" t="s">
        <v>11</v>
      </c>
      <c r="E1152" t="s">
        <v>12</v>
      </c>
      <c r="F1152" t="s">
        <v>25</v>
      </c>
      <c r="G1152" t="s">
        <v>26</v>
      </c>
      <c r="H1152">
        <v>6329</v>
      </c>
      <c r="I1152" t="s">
        <v>2352</v>
      </c>
      <c r="J1152" t="s">
        <v>2353</v>
      </c>
      <c r="K1152" t="s">
        <v>17</v>
      </c>
      <c r="L1152" t="str">
        <f t="shared" si="17"/>
        <v xml:space="preserve">{ longitude: -63.5790780898784, latitude: 44.6955490123499, stopType: 'Bus Stop Non-Standard', gotime: \'6329\', location: \'BROWNLOW AVE AT CIVIC 236 {TO SACKVILLE}\' }, </v>
      </c>
    </row>
    <row r="1153" spans="1:12" x14ac:dyDescent="0.25">
      <c r="A1153">
        <v>-63.483246523892099</v>
      </c>
      <c r="B1153">
        <v>44.657450139765103</v>
      </c>
      <c r="C1153">
        <v>1453</v>
      </c>
      <c r="D1153" t="s">
        <v>103</v>
      </c>
      <c r="E1153" t="s">
        <v>12</v>
      </c>
      <c r="F1153" t="s">
        <v>25</v>
      </c>
      <c r="G1153" t="s">
        <v>65</v>
      </c>
      <c r="H1153">
        <v>6052</v>
      </c>
      <c r="I1153" t="s">
        <v>2354</v>
      </c>
      <c r="J1153" t="s">
        <v>2355</v>
      </c>
      <c r="K1153" t="s">
        <v>17</v>
      </c>
      <c r="L1153" t="str">
        <f t="shared" si="17"/>
        <v xml:space="preserve">{ longitude: -63.4832465238921, latitude: 44.6574501397651, stopType: 'Bus Stop Inaccessible', gotime: \'6052\', location: \'ASTRAL DR [OB] AT CIVIC 117\' }, </v>
      </c>
    </row>
    <row r="1154" spans="1:12" x14ac:dyDescent="0.25">
      <c r="A1154">
        <v>-63.577622369863299</v>
      </c>
      <c r="B1154">
        <v>44.695051280259101</v>
      </c>
      <c r="C1154">
        <v>190</v>
      </c>
      <c r="D1154" t="s">
        <v>11</v>
      </c>
      <c r="E1154" t="s">
        <v>12</v>
      </c>
      <c r="F1154" t="s">
        <v>25</v>
      </c>
      <c r="G1154" t="s">
        <v>26</v>
      </c>
      <c r="H1154">
        <v>6330</v>
      </c>
      <c r="I1154" t="s">
        <v>2356</v>
      </c>
      <c r="J1154" t="s">
        <v>2357</v>
      </c>
      <c r="K1154" t="s">
        <v>17</v>
      </c>
      <c r="L1154" t="str">
        <f t="shared" si="17"/>
        <v xml:space="preserve">{ longitude: -63.5776223698633, latitude: 44.6950512802591, stopType: 'Bus Stop Non-Standard', gotime: \'6330\', location: \'BROWNLOW AVE NS CIVIC 250 {TO SACKVILLE}\' }, </v>
      </c>
    </row>
    <row r="1155" spans="1:12" x14ac:dyDescent="0.25">
      <c r="A1155">
        <v>-63.4815004163816</v>
      </c>
      <c r="B1155">
        <v>44.655634629459897</v>
      </c>
      <c r="C1155">
        <v>1454</v>
      </c>
      <c r="D1155" t="s">
        <v>29</v>
      </c>
      <c r="E1155" t="s">
        <v>12</v>
      </c>
      <c r="F1155" t="s">
        <v>25</v>
      </c>
      <c r="G1155" t="s">
        <v>26</v>
      </c>
      <c r="H1155">
        <v>6053</v>
      </c>
      <c r="I1155" t="s">
        <v>2358</v>
      </c>
      <c r="J1155" t="s">
        <v>2359</v>
      </c>
      <c r="K1155" t="s">
        <v>17</v>
      </c>
      <c r="L1155" t="str">
        <f t="shared" ref="L1155:L1218" si="18">CONCATENATE( "{ longitude: ", A1155, ", latitude: ", B1155, ", stopType: '", D1155, "', gotime: \'", H1155, "\', location: \'", I1155, "\' }, ")</f>
        <v xml:space="preserve">{ longitude: -63.4815004163816, latitude: 44.6556346294599, stopType: 'Bus Stop Accessible', gotime: \'6053\', location: \'ASTRAL DR FS BROOKFIELD AVE\' }, </v>
      </c>
    </row>
    <row r="1156" spans="1:12" x14ac:dyDescent="0.25">
      <c r="A1156">
        <v>-63.465739737255603</v>
      </c>
      <c r="B1156">
        <v>44.743500914668097</v>
      </c>
      <c r="C1156">
        <v>191</v>
      </c>
      <c r="D1156" t="s">
        <v>11</v>
      </c>
      <c r="E1156" t="s">
        <v>12</v>
      </c>
      <c r="F1156" t="s">
        <v>25</v>
      </c>
      <c r="G1156" t="s">
        <v>26</v>
      </c>
      <c r="H1156">
        <v>6331</v>
      </c>
      <c r="I1156" t="s">
        <v>2360</v>
      </c>
      <c r="J1156" t="s">
        <v>2361</v>
      </c>
      <c r="K1156" t="s">
        <v>17</v>
      </c>
      <c r="L1156" t="str">
        <f t="shared" si="18"/>
        <v xml:space="preserve">{ longitude: -63.4657397372556, latitude: 44.7435009146681, stopType: 'Bus Stop Non-Standard', gotime: \'6331\', location: \'CAIN ST AT CHURCHILL TERR\' }, </v>
      </c>
    </row>
    <row r="1157" spans="1:12" x14ac:dyDescent="0.25">
      <c r="A1157">
        <v>-63.481306112694398</v>
      </c>
      <c r="B1157">
        <v>44.6552099078773</v>
      </c>
      <c r="C1157">
        <v>1455</v>
      </c>
      <c r="D1157" t="s">
        <v>11</v>
      </c>
      <c r="E1157" t="s">
        <v>12</v>
      </c>
      <c r="F1157" t="s">
        <v>25</v>
      </c>
      <c r="G1157" t="s">
        <v>26</v>
      </c>
      <c r="H1157">
        <v>6054</v>
      </c>
      <c r="I1157" t="s">
        <v>2362</v>
      </c>
      <c r="J1157" t="s">
        <v>2363</v>
      </c>
      <c r="K1157" t="s">
        <v>17</v>
      </c>
      <c r="L1157" t="str">
        <f t="shared" si="18"/>
        <v xml:space="preserve">{ longitude: -63.4813061126944, latitude: 44.6552099078773, stopType: 'Bus Stop Non-Standard', gotime: \'6054\', location: \'ASTRAL DR NS BROOKIFIELD AVE\' }, </v>
      </c>
    </row>
    <row r="1158" spans="1:12" x14ac:dyDescent="0.25">
      <c r="A1158">
        <v>-63.494608510456104</v>
      </c>
      <c r="B1158">
        <v>44.662491596683999</v>
      </c>
      <c r="C1158">
        <v>192</v>
      </c>
      <c r="D1158" t="s">
        <v>29</v>
      </c>
      <c r="E1158" t="s">
        <v>12</v>
      </c>
      <c r="F1158" t="s">
        <v>25</v>
      </c>
      <c r="G1158" t="s">
        <v>26</v>
      </c>
      <c r="H1158">
        <v>6332</v>
      </c>
      <c r="I1158" t="s">
        <v>2364</v>
      </c>
      <c r="J1158" t="s">
        <v>2365</v>
      </c>
      <c r="K1158" t="s">
        <v>17</v>
      </c>
      <c r="L1158" t="str">
        <f t="shared" si="18"/>
        <v xml:space="preserve">{ longitude: -63.4946085104561, latitude: 44.662491596684, stopType: 'Bus Stop Accessible', gotime: \'6332\', location: \'CALDWELL RD FS CHERRYWOOD DR\' }, </v>
      </c>
    </row>
    <row r="1159" spans="1:12" x14ac:dyDescent="0.25">
      <c r="A1159">
        <v>-63.475406603781003</v>
      </c>
      <c r="B1159">
        <v>44.650837245458</v>
      </c>
      <c r="C1159">
        <v>1456</v>
      </c>
      <c r="D1159" t="s">
        <v>11</v>
      </c>
      <c r="E1159" t="s">
        <v>12</v>
      </c>
      <c r="F1159" t="s">
        <v>25</v>
      </c>
      <c r="G1159" t="s">
        <v>26</v>
      </c>
      <c r="H1159">
        <v>6055</v>
      </c>
      <c r="I1159" t="s">
        <v>2366</v>
      </c>
      <c r="J1159" t="s">
        <v>2367</v>
      </c>
      <c r="K1159" t="s">
        <v>17</v>
      </c>
      <c r="L1159" t="str">
        <f t="shared" si="18"/>
        <v xml:space="preserve">{ longitude: -63.475406603781, latitude: 44.650837245458, stopType: 'Bus Stop Non-Standard', gotime: \'6055\', location: \'ASTRAL DR NS CARISBROOKE LANE\' }, </v>
      </c>
    </row>
    <row r="1160" spans="1:12" x14ac:dyDescent="0.25">
      <c r="A1160">
        <v>-63.473277613322203</v>
      </c>
      <c r="B1160">
        <v>44.6114260352795</v>
      </c>
      <c r="C1160">
        <v>193</v>
      </c>
      <c r="D1160" t="s">
        <v>22</v>
      </c>
      <c r="E1160" t="s">
        <v>12</v>
      </c>
      <c r="F1160" t="s">
        <v>25</v>
      </c>
      <c r="G1160" t="s">
        <v>26</v>
      </c>
      <c r="H1160">
        <v>6333</v>
      </c>
      <c r="I1160" t="s">
        <v>2368</v>
      </c>
      <c r="J1160" s="1" t="s">
        <v>2369</v>
      </c>
      <c r="K1160" t="s">
        <v>17</v>
      </c>
      <c r="L1160" t="str">
        <f t="shared" si="18"/>
        <v xml:space="preserve">{ longitude: -63.4732776133222, latitude: 44.6114260352795, stopType: 'Bus Stop Shelter Accessible', gotime: \'6333\', location: \'CALDWELL RD FS COW BAY RD\' }, </v>
      </c>
    </row>
    <row r="1161" spans="1:12" x14ac:dyDescent="0.25">
      <c r="A1161">
        <v>-63.4872601585284</v>
      </c>
      <c r="B1161">
        <v>44.657224811430503</v>
      </c>
      <c r="C1161">
        <v>1457</v>
      </c>
      <c r="D1161" t="s">
        <v>11</v>
      </c>
      <c r="E1161" t="s">
        <v>12</v>
      </c>
      <c r="F1161" t="s">
        <v>25</v>
      </c>
      <c r="G1161" t="s">
        <v>26</v>
      </c>
      <c r="H1161">
        <v>6056</v>
      </c>
      <c r="I1161" t="s">
        <v>2370</v>
      </c>
      <c r="J1161" t="s">
        <v>2371</v>
      </c>
      <c r="K1161" t="s">
        <v>17</v>
      </c>
      <c r="L1161" t="str">
        <f t="shared" si="18"/>
        <v xml:space="preserve">{ longitude: -63.4872601585284, latitude: 44.6572248114305, stopType: 'Bus Stop Non-Standard', gotime: \'6056\', location: \'ASTRAL DR NS CIVIC 37\' }, </v>
      </c>
    </row>
    <row r="1162" spans="1:12" x14ac:dyDescent="0.25">
      <c r="A1162">
        <v>-63.466632150181297</v>
      </c>
      <c r="B1162">
        <v>44.602510263934398</v>
      </c>
      <c r="C1162">
        <v>194</v>
      </c>
      <c r="D1162" t="s">
        <v>11</v>
      </c>
      <c r="E1162" t="s">
        <v>12</v>
      </c>
      <c r="F1162" t="s">
        <v>25</v>
      </c>
      <c r="G1162" t="s">
        <v>26</v>
      </c>
      <c r="H1162">
        <v>6334</v>
      </c>
      <c r="I1162" t="s">
        <v>2372</v>
      </c>
      <c r="J1162" t="s">
        <v>2373</v>
      </c>
      <c r="K1162" t="s">
        <v>17</v>
      </c>
      <c r="L1162" t="str">
        <f t="shared" si="18"/>
        <v xml:space="preserve">{ longitude: -63.4666321501813, latitude: 44.6025102639344, stopType: 'Bus Stop Non-Standard', gotime: \'6334\', location: \'CALDWELL RD FS HIMMELMAN DR\' }, </v>
      </c>
    </row>
    <row r="1163" spans="1:12" x14ac:dyDescent="0.25">
      <c r="A1163">
        <v>-63.482732933140497</v>
      </c>
      <c r="B1163">
        <v>44.657256571109599</v>
      </c>
      <c r="C1163">
        <v>1458</v>
      </c>
      <c r="D1163" t="s">
        <v>29</v>
      </c>
      <c r="E1163" t="s">
        <v>12</v>
      </c>
      <c r="F1163" t="s">
        <v>25</v>
      </c>
      <c r="G1163" t="s">
        <v>26</v>
      </c>
      <c r="H1163">
        <v>6057</v>
      </c>
      <c r="I1163" t="s">
        <v>2374</v>
      </c>
      <c r="J1163" t="s">
        <v>2375</v>
      </c>
      <c r="K1163" t="s">
        <v>17</v>
      </c>
      <c r="L1163" t="str">
        <f t="shared" si="18"/>
        <v xml:space="preserve">{ longitude: -63.4827329331405, latitude: 44.6572565711096, stopType: 'Bus Stop Accessible', gotime: \'6057\', location: \'ASTRAL DR NS GRENADIER DR\' }, </v>
      </c>
    </row>
    <row r="1164" spans="1:12" x14ac:dyDescent="0.25">
      <c r="A1164">
        <v>-63.501942796699701</v>
      </c>
      <c r="B1164">
        <v>44.670124711946102</v>
      </c>
      <c r="C1164">
        <v>195</v>
      </c>
      <c r="D1164" t="s">
        <v>29</v>
      </c>
      <c r="E1164" t="s">
        <v>12</v>
      </c>
      <c r="F1164" t="s">
        <v>25</v>
      </c>
      <c r="G1164" t="s">
        <v>26</v>
      </c>
      <c r="H1164">
        <v>6335</v>
      </c>
      <c r="I1164" t="s">
        <v>2376</v>
      </c>
      <c r="J1164" t="s">
        <v>2377</v>
      </c>
      <c r="K1164" t="s">
        <v>17</v>
      </c>
      <c r="L1164" t="str">
        <f t="shared" si="18"/>
        <v xml:space="preserve">{ longitude: -63.5019427966997, latitude: 44.6701247119461, stopType: 'Bus Stop Accessible', gotime: \'6335\', location: \'CALDWELL RD FS PORTLAND ST\' }, </v>
      </c>
    </row>
    <row r="1165" spans="1:12" x14ac:dyDescent="0.25">
      <c r="A1165">
        <v>-63.4767165975381</v>
      </c>
      <c r="B1165">
        <v>44.651622970740803</v>
      </c>
      <c r="C1165">
        <v>1459</v>
      </c>
      <c r="D1165" t="s">
        <v>11</v>
      </c>
      <c r="E1165" t="s">
        <v>12</v>
      </c>
      <c r="F1165" t="s">
        <v>25</v>
      </c>
      <c r="G1165" t="s">
        <v>26</v>
      </c>
      <c r="H1165">
        <v>6058</v>
      </c>
      <c r="I1165" t="s">
        <v>2378</v>
      </c>
      <c r="J1165" t="s">
        <v>2379</v>
      </c>
      <c r="K1165" t="s">
        <v>17</v>
      </c>
      <c r="L1165" t="str">
        <f t="shared" si="18"/>
        <v xml:space="preserve">{ longitude: -63.4767165975381, latitude: 44.6516229707408, stopType: 'Bus Stop Non-Standard', gotime: \'6058\', location: \'ASTRAL DR NS SHREWSBURY RD\' }, </v>
      </c>
    </row>
    <row r="1166" spans="1:12" x14ac:dyDescent="0.25">
      <c r="A1166">
        <v>-63.482934998390597</v>
      </c>
      <c r="B1166">
        <v>44.648582603401501</v>
      </c>
      <c r="C1166">
        <v>196</v>
      </c>
      <c r="D1166" t="s">
        <v>29</v>
      </c>
      <c r="E1166" t="s">
        <v>12</v>
      </c>
      <c r="F1166" t="s">
        <v>25</v>
      </c>
      <c r="G1166" t="s">
        <v>26</v>
      </c>
      <c r="H1166">
        <v>6336</v>
      </c>
      <c r="I1166" t="s">
        <v>2380</v>
      </c>
      <c r="J1166" t="s">
        <v>2381</v>
      </c>
      <c r="K1166" t="s">
        <v>17</v>
      </c>
      <c r="L1166" t="str">
        <f t="shared" si="18"/>
        <v xml:space="preserve">{ longitude: -63.4829349983906, latitude: 44.6485826034015, stopType: 'Bus Stop Accessible', gotime: \'6336\', location: \'CALDWELL RD FS SHERWOOD ST\' }, </v>
      </c>
    </row>
    <row r="1167" spans="1:12" x14ac:dyDescent="0.25">
      <c r="A1167">
        <v>-63.485814001065101</v>
      </c>
      <c r="B1167">
        <v>44.6577249632427</v>
      </c>
      <c r="C1167">
        <v>1460</v>
      </c>
      <c r="D1167" t="s">
        <v>11</v>
      </c>
      <c r="E1167" t="s">
        <v>12</v>
      </c>
      <c r="F1167" t="s">
        <v>25</v>
      </c>
      <c r="G1167" t="s">
        <v>26</v>
      </c>
      <c r="H1167">
        <v>6059</v>
      </c>
      <c r="I1167" t="s">
        <v>2382</v>
      </c>
      <c r="J1167" t="s">
        <v>2383</v>
      </c>
      <c r="K1167" t="s">
        <v>17</v>
      </c>
      <c r="L1167" t="str">
        <f t="shared" si="18"/>
        <v xml:space="preserve">{ longitude: -63.4858140010651, latitude: 44.6577249632427, stopType: 'Bus Stop Non-Standard', gotime: \'6059\', location: \'ASTRAL DR NS SPENCE DR\' }, </v>
      </c>
    </row>
    <row r="1168" spans="1:12" x14ac:dyDescent="0.25">
      <c r="A1168">
        <v>-63.471519096357802</v>
      </c>
      <c r="B1168">
        <v>44.608980259207499</v>
      </c>
      <c r="C1168">
        <v>197</v>
      </c>
      <c r="D1168" t="s">
        <v>22</v>
      </c>
      <c r="E1168" t="s">
        <v>12</v>
      </c>
      <c r="F1168" t="s">
        <v>25</v>
      </c>
      <c r="G1168" t="s">
        <v>26</v>
      </c>
      <c r="H1168">
        <v>6337</v>
      </c>
      <c r="I1168" t="s">
        <v>2384</v>
      </c>
      <c r="J1168" t="s">
        <v>2385</v>
      </c>
      <c r="K1168" t="s">
        <v>17</v>
      </c>
      <c r="L1168" t="str">
        <f t="shared" si="18"/>
        <v xml:space="preserve">{ longitude: -63.4715190963578, latitude: 44.6089802592075, stopType: 'Bus Stop Shelter Accessible', gotime: \'6337\', location: \'CALDWELL RD FS THORNCREST CT\' }, </v>
      </c>
    </row>
    <row r="1169" spans="1:12" x14ac:dyDescent="0.25">
      <c r="A1169">
        <v>-63.485684633745301</v>
      </c>
      <c r="B1169">
        <v>44.657912809048298</v>
      </c>
      <c r="C1169">
        <v>1461</v>
      </c>
      <c r="D1169" t="s">
        <v>29</v>
      </c>
      <c r="E1169" t="s">
        <v>12</v>
      </c>
      <c r="F1169" t="s">
        <v>25</v>
      </c>
      <c r="G1169" t="s">
        <v>26</v>
      </c>
      <c r="H1169">
        <v>6060</v>
      </c>
      <c r="I1169" t="s">
        <v>2386</v>
      </c>
      <c r="J1169" t="s">
        <v>2387</v>
      </c>
      <c r="K1169" t="s">
        <v>17</v>
      </c>
      <c r="L1169" t="str">
        <f t="shared" si="18"/>
        <v xml:space="preserve">{ longitude: -63.4856846337453, latitude: 44.6579128090483, stopType: 'Bus Stop Accessible', gotime: \'6060\', location: \'ASTRAL DR OPP SPENCE DR\' }, </v>
      </c>
    </row>
    <row r="1170" spans="1:12" x14ac:dyDescent="0.25">
      <c r="A1170">
        <v>-63.499331634151801</v>
      </c>
      <c r="B1170">
        <v>44.6672219460458</v>
      </c>
      <c r="C1170">
        <v>198</v>
      </c>
      <c r="D1170" t="s">
        <v>29</v>
      </c>
      <c r="E1170" t="s">
        <v>12</v>
      </c>
      <c r="F1170" t="s">
        <v>25</v>
      </c>
      <c r="G1170" t="s">
        <v>26</v>
      </c>
      <c r="H1170">
        <v>6338</v>
      </c>
      <c r="I1170" t="s">
        <v>2388</v>
      </c>
      <c r="J1170" t="s">
        <v>2389</v>
      </c>
      <c r="K1170" t="s">
        <v>17</v>
      </c>
      <c r="L1170" t="str">
        <f t="shared" si="18"/>
        <v xml:space="preserve">{ longitude: -63.4993316341518, latitude: 44.6672219460458, stopType: 'Bus Stop Accessible', gotime: \'6338\', location: \'CALDWELL RD FS WEXFORD RD\' }, </v>
      </c>
    </row>
    <row r="1171" spans="1:12" x14ac:dyDescent="0.25">
      <c r="A1171">
        <v>-63.669348193092098</v>
      </c>
      <c r="B1171">
        <v>44.758795058214098</v>
      </c>
      <c r="C1171">
        <v>199</v>
      </c>
      <c r="D1171" t="s">
        <v>29</v>
      </c>
      <c r="E1171" t="s">
        <v>12</v>
      </c>
      <c r="F1171" t="s">
        <v>13</v>
      </c>
      <c r="G1171" t="s">
        <v>14</v>
      </c>
      <c r="H1171">
        <v>7330</v>
      </c>
      <c r="I1171" t="s">
        <v>2390</v>
      </c>
      <c r="J1171" t="s">
        <v>2391</v>
      </c>
      <c r="K1171" t="s">
        <v>17</v>
      </c>
      <c r="L1171" t="str">
        <f t="shared" si="18"/>
        <v xml:space="preserve">{ longitude: -63.6693481930921, latitude: 44.7587950582141, stopType: 'Bus Stop Accessible', gotime: \'7330\', location: \'SACKVILLE DR NS ROCK CHURCH\' }, </v>
      </c>
    </row>
    <row r="1172" spans="1:12" x14ac:dyDescent="0.25">
      <c r="A1172">
        <v>-63.479938635385302</v>
      </c>
      <c r="B1172">
        <v>44.644748976141301</v>
      </c>
      <c r="C1172">
        <v>1462</v>
      </c>
      <c r="D1172" t="s">
        <v>29</v>
      </c>
      <c r="E1172" t="s">
        <v>12</v>
      </c>
      <c r="F1172" t="s">
        <v>25</v>
      </c>
      <c r="G1172" t="s">
        <v>26</v>
      </c>
      <c r="H1172">
        <v>6061</v>
      </c>
      <c r="I1172" t="s">
        <v>2392</v>
      </c>
      <c r="J1172" t="s">
        <v>2393</v>
      </c>
      <c r="K1172" t="s">
        <v>17</v>
      </c>
      <c r="L1172" t="str">
        <f t="shared" si="18"/>
        <v xml:space="preserve">{ longitude: -63.4799386353853, latitude: 44.6447489761413, stopType: 'Bus Stop Accessible', gotime: \'6061\', location: \'ATHOLEA DR NS CALDWELL RD\' }, </v>
      </c>
    </row>
    <row r="1173" spans="1:12" x14ac:dyDescent="0.25">
      <c r="A1173">
        <v>-63.671998977051899</v>
      </c>
      <c r="B1173">
        <v>44.760599019087898</v>
      </c>
      <c r="C1173">
        <v>200</v>
      </c>
      <c r="D1173" t="s">
        <v>11</v>
      </c>
      <c r="E1173" t="s">
        <v>12</v>
      </c>
      <c r="F1173" t="s">
        <v>25</v>
      </c>
      <c r="G1173" t="s">
        <v>26</v>
      </c>
      <c r="H1173">
        <v>7331</v>
      </c>
      <c r="I1173" t="s">
        <v>2394</v>
      </c>
      <c r="J1173" t="s">
        <v>2395</v>
      </c>
      <c r="K1173" t="s">
        <v>17</v>
      </c>
      <c r="L1173" t="str">
        <f t="shared" si="18"/>
        <v xml:space="preserve">{ longitude: -63.6719989770519, latitude: 44.7605990190879, stopType: 'Bus Stop Non-Standard', gotime: \'7331\', location: \'SACKVILLE DR NS SKYRIDGE\' }, </v>
      </c>
    </row>
    <row r="1174" spans="1:12" x14ac:dyDescent="0.25">
      <c r="A1174">
        <v>-63.546676808518797</v>
      </c>
      <c r="B1174">
        <v>44.649375496059299</v>
      </c>
      <c r="C1174">
        <v>1463</v>
      </c>
      <c r="D1174" t="s">
        <v>11</v>
      </c>
      <c r="E1174" t="s">
        <v>12</v>
      </c>
      <c r="F1174" t="s">
        <v>25</v>
      </c>
      <c r="G1174" t="s">
        <v>199</v>
      </c>
      <c r="H1174">
        <v>6065</v>
      </c>
      <c r="I1174" t="s">
        <v>2396</v>
      </c>
      <c r="J1174" t="s">
        <v>2397</v>
      </c>
      <c r="K1174" t="s">
        <v>17</v>
      </c>
      <c r="L1174" t="str">
        <f t="shared" si="18"/>
        <v xml:space="preserve">{ longitude: -63.5466768085188, latitude: 44.6493754960593, stopType: 'Bus Stop Non-Standard', gotime: \'6065\', location: \'ATLANTIC ST FS PLEASANT ST (OB/60)\' }, </v>
      </c>
    </row>
    <row r="1175" spans="1:12" x14ac:dyDescent="0.25">
      <c r="A1175">
        <v>-63.5630343831982</v>
      </c>
      <c r="B1175">
        <v>44.667807372469603</v>
      </c>
      <c r="C1175">
        <v>1464</v>
      </c>
      <c r="D1175" t="s">
        <v>29</v>
      </c>
      <c r="E1175" t="s">
        <v>12</v>
      </c>
      <c r="F1175" t="s">
        <v>25</v>
      </c>
      <c r="G1175" t="s">
        <v>19</v>
      </c>
      <c r="H1175">
        <v>8057</v>
      </c>
      <c r="I1175" t="s">
        <v>2398</v>
      </c>
      <c r="J1175" t="s">
        <v>2399</v>
      </c>
      <c r="K1175" t="s">
        <v>17</v>
      </c>
      <c r="L1175" t="str">
        <f t="shared" si="18"/>
        <v xml:space="preserve">{ longitude: -63.5630343831982, latitude: 44.6678073724696, stopType: 'Bus Stop Accessible', gotime: \'8057\', location: \'PORTLAND ST NS OPP CANAL &lt;WB&gt;\' }, </v>
      </c>
    </row>
    <row r="1176" spans="1:12" x14ac:dyDescent="0.25">
      <c r="A1176">
        <v>-63.557916584558498</v>
      </c>
      <c r="B1176">
        <v>44.669214225917102</v>
      </c>
      <c r="C1176">
        <v>1465</v>
      </c>
      <c r="D1176" t="s">
        <v>29</v>
      </c>
      <c r="E1176" t="s">
        <v>12</v>
      </c>
      <c r="F1176" t="s">
        <v>25</v>
      </c>
      <c r="G1176" t="s">
        <v>19</v>
      </c>
      <c r="H1176">
        <v>8058</v>
      </c>
      <c r="I1176" t="s">
        <v>2400</v>
      </c>
      <c r="J1176" t="s">
        <v>2401</v>
      </c>
      <c r="K1176" t="s">
        <v>17</v>
      </c>
      <c r="L1176" t="str">
        <f t="shared" si="18"/>
        <v xml:space="preserve">{ longitude: -63.5579165845585, latitude: 44.6692142259171, stopType: 'Bus Stop Accessible', gotime: \'8058\', location: \'PORTLAND ST NS JAMES &lt;WB&gt;\' }, </v>
      </c>
    </row>
    <row r="1177" spans="1:12" x14ac:dyDescent="0.25">
      <c r="A1177">
        <v>-63.548766330798898</v>
      </c>
      <c r="B1177">
        <v>44.667314577867003</v>
      </c>
      <c r="C1177">
        <v>1466</v>
      </c>
      <c r="D1177" t="s">
        <v>29</v>
      </c>
      <c r="E1177" t="s">
        <v>12</v>
      </c>
      <c r="F1177" t="s">
        <v>13</v>
      </c>
      <c r="G1177" t="s">
        <v>14</v>
      </c>
      <c r="H1177">
        <v>8059</v>
      </c>
      <c r="I1177" t="s">
        <v>2402</v>
      </c>
      <c r="J1177" t="s">
        <v>2403</v>
      </c>
      <c r="K1177" t="s">
        <v>17</v>
      </c>
      <c r="L1177" t="str">
        <f t="shared" si="18"/>
        <v xml:space="preserve">{ longitude: -63.5487663307989, latitude: 44.667314577867, stopType: 'Bus Stop Accessible', gotime: \'8059\', location: \'PORTLAND ST NS LAKEFRONT &lt;EB&gt;\' }, </v>
      </c>
    </row>
    <row r="1178" spans="1:12" x14ac:dyDescent="0.25">
      <c r="A1178">
        <v>-63.700491356169699</v>
      </c>
      <c r="B1178">
        <v>44.781069108811998</v>
      </c>
      <c r="C1178">
        <v>201</v>
      </c>
      <c r="D1178" t="s">
        <v>22</v>
      </c>
      <c r="E1178" t="s">
        <v>12</v>
      </c>
      <c r="F1178" t="s">
        <v>25</v>
      </c>
      <c r="G1178" t="s">
        <v>19</v>
      </c>
      <c r="H1178">
        <v>7332</v>
      </c>
      <c r="I1178" t="s">
        <v>2404</v>
      </c>
      <c r="J1178" t="s">
        <v>2405</v>
      </c>
      <c r="K1178" t="s">
        <v>17</v>
      </c>
      <c r="L1178" t="str">
        <f t="shared" si="18"/>
        <v xml:space="preserve">{ longitude: -63.7004913561697, latitude: 44.781069108812, stopType: 'Bus Stop Shelter Accessible', gotime: \'7332\', location: \'SACKVILLE DR NS STANLEY\' }, </v>
      </c>
    </row>
    <row r="1179" spans="1:12" x14ac:dyDescent="0.25">
      <c r="A1179">
        <v>-63.557452930548102</v>
      </c>
      <c r="B1179">
        <v>44.669030405352999</v>
      </c>
      <c r="C1179">
        <v>1467</v>
      </c>
      <c r="D1179" t="s">
        <v>29</v>
      </c>
      <c r="E1179" t="s">
        <v>12</v>
      </c>
      <c r="F1179" t="s">
        <v>25</v>
      </c>
      <c r="G1179" t="s">
        <v>19</v>
      </c>
      <c r="H1179">
        <v>8060</v>
      </c>
      <c r="I1179" t="s">
        <v>2406</v>
      </c>
      <c r="J1179" s="1" t="s">
        <v>2407</v>
      </c>
      <c r="K1179" t="s">
        <v>17</v>
      </c>
      <c r="L1179" t="str">
        <f t="shared" si="18"/>
        <v xml:space="preserve">{ longitude: -63.5574529305481, latitude: 44.669030405353, stopType: 'Bus Stop Accessible', gotime: \'8060\', location: \'PORTLAND ST NS ST.GEORGE LN &lt;EB&gt;\' }, </v>
      </c>
    </row>
    <row r="1180" spans="1:12" x14ac:dyDescent="0.25">
      <c r="A1180">
        <v>-63.665421334496799</v>
      </c>
      <c r="B1180">
        <v>44.753342455742001</v>
      </c>
      <c r="C1180">
        <v>202</v>
      </c>
      <c r="D1180" t="s">
        <v>29</v>
      </c>
      <c r="E1180" t="s">
        <v>12</v>
      </c>
      <c r="F1180" t="s">
        <v>25</v>
      </c>
      <c r="G1180" t="s">
        <v>19</v>
      </c>
      <c r="H1180">
        <v>7333</v>
      </c>
      <c r="I1180" t="s">
        <v>2408</v>
      </c>
      <c r="J1180" t="s">
        <v>2409</v>
      </c>
      <c r="K1180" t="s">
        <v>17</v>
      </c>
      <c r="L1180" t="str">
        <f t="shared" si="18"/>
        <v xml:space="preserve">{ longitude: -63.6654213344968, latitude: 44.753342455742, stopType: 'Bus Stop Accessible', gotime: \'7333\', location: \'SACKVILLE DR AT TWELVE MILE HOUSE LN\' }, </v>
      </c>
    </row>
    <row r="1181" spans="1:12" x14ac:dyDescent="0.25">
      <c r="A1181">
        <v>-63.550816457819501</v>
      </c>
      <c r="B1181">
        <v>44.667652476860198</v>
      </c>
      <c r="C1181">
        <v>1468</v>
      </c>
      <c r="D1181" t="s">
        <v>29</v>
      </c>
      <c r="E1181" t="s">
        <v>12</v>
      </c>
      <c r="F1181" t="s">
        <v>25</v>
      </c>
      <c r="G1181" t="s">
        <v>19</v>
      </c>
      <c r="H1181">
        <v>8062</v>
      </c>
      <c r="I1181" t="s">
        <v>2410</v>
      </c>
      <c r="J1181" t="s">
        <v>2411</v>
      </c>
      <c r="K1181" t="s">
        <v>17</v>
      </c>
      <c r="L1181" t="str">
        <f t="shared" si="18"/>
        <v xml:space="preserve">{ longitude: -63.5508164578195, latitude: 44.6676524768602, stopType: 'Bus Stop Accessible', gotime: \'8062\', location: \'PORTLAND ST OPP CIVIC 350 &lt;EB&gt;\' }, </v>
      </c>
    </row>
    <row r="1182" spans="1:12" x14ac:dyDescent="0.25">
      <c r="A1182">
        <v>-63.731184207643402</v>
      </c>
      <c r="B1182">
        <v>44.796309122038203</v>
      </c>
      <c r="C1182">
        <v>203</v>
      </c>
      <c r="D1182" t="s">
        <v>11</v>
      </c>
      <c r="E1182" t="s">
        <v>12</v>
      </c>
      <c r="F1182" t="s">
        <v>25</v>
      </c>
      <c r="G1182" t="s">
        <v>26</v>
      </c>
      <c r="H1182">
        <v>7334</v>
      </c>
      <c r="I1182" t="s">
        <v>2140</v>
      </c>
      <c r="J1182" t="s">
        <v>2412</v>
      </c>
      <c r="K1182" t="s">
        <v>17</v>
      </c>
      <c r="L1182" t="str">
        <f t="shared" si="18"/>
        <v xml:space="preserve">{ longitude: -63.7311842076434, latitude: 44.7963091220382, stopType: 'Bus Stop Non-Standard', gotime: \'7334\', location: \'SACKVILLE DR NS ORCHARD DR\' }, </v>
      </c>
    </row>
    <row r="1183" spans="1:12" x14ac:dyDescent="0.25">
      <c r="A1183">
        <v>-63.517773930680299</v>
      </c>
      <c r="B1183">
        <v>44.663962156757499</v>
      </c>
      <c r="C1183">
        <v>1469</v>
      </c>
      <c r="D1183" t="s">
        <v>11</v>
      </c>
      <c r="E1183" t="s">
        <v>12</v>
      </c>
      <c r="F1183" t="s">
        <v>25</v>
      </c>
      <c r="G1183" t="s">
        <v>26</v>
      </c>
      <c r="H1183">
        <v>8064</v>
      </c>
      <c r="I1183" t="s">
        <v>2413</v>
      </c>
      <c r="J1183" t="s">
        <v>2414</v>
      </c>
      <c r="K1183" t="s">
        <v>17</v>
      </c>
      <c r="L1183" t="str">
        <f t="shared" si="18"/>
        <v xml:space="preserve">{ longitude: -63.5177739306803, latitude: 44.6639621567575, stopType: 'Bus Stop Non-Standard', gotime: \'8064\', location: \'PORT.EST.BLVD.WEST AT MAILBOX\' }, </v>
      </c>
    </row>
    <row r="1184" spans="1:12" x14ac:dyDescent="0.25">
      <c r="A1184">
        <v>-63.734631058084801</v>
      </c>
      <c r="B1184">
        <v>44.7985011646442</v>
      </c>
      <c r="C1184">
        <v>204</v>
      </c>
      <c r="D1184" t="s">
        <v>103</v>
      </c>
      <c r="E1184" t="s">
        <v>12</v>
      </c>
      <c r="F1184" t="s">
        <v>25</v>
      </c>
      <c r="G1184" t="s">
        <v>65</v>
      </c>
      <c r="H1184">
        <v>7335</v>
      </c>
      <c r="I1184" t="s">
        <v>2415</v>
      </c>
      <c r="J1184" t="s">
        <v>2416</v>
      </c>
      <c r="K1184" t="s">
        <v>17</v>
      </c>
      <c r="L1184" t="str">
        <f t="shared" si="18"/>
        <v xml:space="preserve">{ longitude: -63.7346310580848, latitude: 44.7985011646442, stopType: 'Bus Stop Inaccessible', gotime: \'7335\', location: \'SACKVILLE DR OPP CIVIC 1815\' }, </v>
      </c>
    </row>
    <row r="1185" spans="1:12" x14ac:dyDescent="0.25">
      <c r="A1185">
        <v>-63.586345689762602</v>
      </c>
      <c r="B1185">
        <v>44.681909833718201</v>
      </c>
      <c r="C1185">
        <v>1470</v>
      </c>
      <c r="D1185" t="s">
        <v>11</v>
      </c>
      <c r="E1185" t="s">
        <v>12</v>
      </c>
      <c r="F1185" t="s">
        <v>25</v>
      </c>
      <c r="G1185" t="s">
        <v>26</v>
      </c>
      <c r="H1185">
        <v>8065</v>
      </c>
      <c r="I1185" t="s">
        <v>2417</v>
      </c>
      <c r="J1185" t="s">
        <v>2418</v>
      </c>
      <c r="K1185" t="s">
        <v>17</v>
      </c>
      <c r="L1185" t="str">
        <f t="shared" si="18"/>
        <v xml:space="preserve">{ longitude: -63.5863456897626, latitude: 44.6819098337182, stopType: 'Bus Stop Non-Standard', gotime: \'8065\', location: \'PRIMROSE ST AT CIVIC 11 &lt;WB&gt;\' }, </v>
      </c>
    </row>
    <row r="1186" spans="1:12" x14ac:dyDescent="0.25">
      <c r="A1186">
        <v>-63.713017969079402</v>
      </c>
      <c r="B1186">
        <v>44.785403914476298</v>
      </c>
      <c r="C1186">
        <v>205</v>
      </c>
      <c r="D1186" t="s">
        <v>11</v>
      </c>
      <c r="E1186" t="s">
        <v>12</v>
      </c>
      <c r="F1186" t="s">
        <v>25</v>
      </c>
      <c r="G1186" t="s">
        <v>26</v>
      </c>
      <c r="H1186">
        <v>7336</v>
      </c>
      <c r="I1186" t="s">
        <v>2419</v>
      </c>
      <c r="J1186" t="s">
        <v>2420</v>
      </c>
      <c r="K1186" t="s">
        <v>17</v>
      </c>
      <c r="L1186" t="str">
        <f t="shared" si="18"/>
        <v xml:space="preserve">{ longitude: -63.7130179690794, latitude: 44.7854039144763, stopType: 'Bus Stop Non-Standard', gotime: \'7336\', location: \'SACKVILLE DR OPP MELHAM DR\' }, </v>
      </c>
    </row>
    <row r="1187" spans="1:12" x14ac:dyDescent="0.25">
      <c r="A1187">
        <v>-63.548432000272001</v>
      </c>
      <c r="B1187">
        <v>44.680054239257103</v>
      </c>
      <c r="C1187">
        <v>1471</v>
      </c>
      <c r="D1187" t="s">
        <v>11</v>
      </c>
      <c r="E1187" t="s">
        <v>12</v>
      </c>
      <c r="F1187" t="s">
        <v>13</v>
      </c>
      <c r="G1187" t="s">
        <v>14</v>
      </c>
      <c r="H1187">
        <v>8066</v>
      </c>
      <c r="I1187" t="s">
        <v>2421</v>
      </c>
      <c r="J1187" t="s">
        <v>2422</v>
      </c>
      <c r="K1187" t="s">
        <v>17</v>
      </c>
      <c r="L1187" t="str">
        <f t="shared" si="18"/>
        <v xml:space="preserve">{ longitude: -63.548432000272, latitude: 44.6800542392571, stopType: 'Bus Stop Non-Standard', gotime: \'8066\', location: \'PRINCE ALBERT &lt;EB&gt; OPP SUPERSTORE\' }, </v>
      </c>
    </row>
    <row r="1188" spans="1:12" x14ac:dyDescent="0.25">
      <c r="A1188">
        <v>-63.689302295501101</v>
      </c>
      <c r="B1188">
        <v>44.769725097000197</v>
      </c>
      <c r="C1188">
        <v>206</v>
      </c>
      <c r="D1188" t="s">
        <v>22</v>
      </c>
      <c r="E1188" t="s">
        <v>12</v>
      </c>
      <c r="F1188" t="s">
        <v>13</v>
      </c>
      <c r="G1188" t="s">
        <v>19</v>
      </c>
      <c r="H1188">
        <v>7337</v>
      </c>
      <c r="I1188" t="s">
        <v>2423</v>
      </c>
      <c r="J1188" t="s">
        <v>2424</v>
      </c>
      <c r="K1188" t="s">
        <v>17</v>
      </c>
      <c r="L1188" t="str">
        <f t="shared" si="18"/>
        <v xml:space="preserve">{ longitude: -63.6893022955011, latitude: 44.7697250970002, stopType: 'Bus Stop Shelter Accessible', gotime: \'7337\', location: \'SACKVILLE DR OPP RIVERSIDE DR\' }, </v>
      </c>
    </row>
    <row r="1189" spans="1:12" x14ac:dyDescent="0.25">
      <c r="A1189">
        <v>-63.555261831072201</v>
      </c>
      <c r="B1189">
        <v>44.678093837334899</v>
      </c>
      <c r="C1189">
        <v>1472</v>
      </c>
      <c r="D1189" t="s">
        <v>11</v>
      </c>
      <c r="E1189" t="s">
        <v>12</v>
      </c>
      <c r="F1189" t="s">
        <v>13</v>
      </c>
      <c r="G1189" t="s">
        <v>14</v>
      </c>
      <c r="H1189">
        <v>8067</v>
      </c>
      <c r="I1189" t="s">
        <v>2425</v>
      </c>
      <c r="J1189" t="s">
        <v>2426</v>
      </c>
      <c r="K1189" t="s">
        <v>17</v>
      </c>
      <c r="L1189" t="str">
        <f t="shared" si="18"/>
        <v xml:space="preserve">{ longitude: -63.5552618310722, latitude: 44.6780938373349, stopType: 'Bus Stop Non-Standard', gotime: \'8067\', location: \'PRINCE ALBERT FS SINCLAIR &lt;EB&gt;\' }, </v>
      </c>
    </row>
    <row r="1190" spans="1:12" x14ac:dyDescent="0.25">
      <c r="A1190">
        <v>-63.665192930803599</v>
      </c>
      <c r="B1190">
        <v>44.753390014186699</v>
      </c>
      <c r="C1190">
        <v>207</v>
      </c>
      <c r="D1190" t="s">
        <v>11</v>
      </c>
      <c r="E1190" t="s">
        <v>12</v>
      </c>
      <c r="F1190" t="s">
        <v>13</v>
      </c>
      <c r="G1190" t="s">
        <v>14</v>
      </c>
      <c r="H1190">
        <v>7338</v>
      </c>
      <c r="I1190" t="s">
        <v>2427</v>
      </c>
      <c r="J1190" t="s">
        <v>2428</v>
      </c>
      <c r="K1190" t="s">
        <v>17</v>
      </c>
      <c r="L1190" t="str">
        <f t="shared" si="18"/>
        <v xml:space="preserve">{ longitude: -63.6651929308036, latitude: 44.7533900141867, stopType: 'Bus Stop Non-Standard', gotime: \'7338\', location: \'SACKVILLE DR OPP TWELVE MILE HOUSE LN\' }, </v>
      </c>
    </row>
    <row r="1191" spans="1:12" x14ac:dyDescent="0.25">
      <c r="A1191">
        <v>-63.5513750264046</v>
      </c>
      <c r="B1191">
        <v>44.679023776998001</v>
      </c>
      <c r="C1191">
        <v>1473</v>
      </c>
      <c r="D1191" t="s">
        <v>11</v>
      </c>
      <c r="E1191" t="s">
        <v>12</v>
      </c>
      <c r="F1191" t="s">
        <v>25</v>
      </c>
      <c r="G1191" t="s">
        <v>26</v>
      </c>
      <c r="H1191">
        <v>8068</v>
      </c>
      <c r="I1191" t="s">
        <v>2429</v>
      </c>
      <c r="J1191" t="s">
        <v>2430</v>
      </c>
      <c r="K1191" t="s">
        <v>17</v>
      </c>
      <c r="L1191" t="str">
        <f t="shared" si="18"/>
        <v xml:space="preserve">{ longitude: -63.5513750264046, latitude: 44.679023776998, stopType: 'Bus Stop Non-Standard', gotime: \'8068\', location: \'PRINCE ALBERT NS GLENWOOD &lt;EB&gt;\' }, </v>
      </c>
    </row>
    <row r="1192" spans="1:12" x14ac:dyDescent="0.25">
      <c r="A1192">
        <v>-63.679306324310801</v>
      </c>
      <c r="B1192">
        <v>44.784239667078602</v>
      </c>
      <c r="C1192">
        <v>208</v>
      </c>
      <c r="D1192" t="s">
        <v>22</v>
      </c>
      <c r="E1192" t="s">
        <v>12</v>
      </c>
      <c r="F1192" t="s">
        <v>25</v>
      </c>
      <c r="G1192" t="s">
        <v>19</v>
      </c>
      <c r="H1192">
        <v>7339</v>
      </c>
      <c r="I1192" t="s">
        <v>2431</v>
      </c>
      <c r="J1192" t="s">
        <v>2432</v>
      </c>
      <c r="K1192" t="s">
        <v>17</v>
      </c>
      <c r="L1192" t="str">
        <f t="shared" si="18"/>
        <v xml:space="preserve">{ longitude: -63.6793063243108, latitude: 44.7842396670786, stopType: 'Bus Stop Shelter Accessible', gotime: \'7339\', location: \'NORDIC FS STOKIL\' }, </v>
      </c>
    </row>
    <row r="1193" spans="1:12" x14ac:dyDescent="0.25">
      <c r="A1193">
        <v>-63.5521961354453</v>
      </c>
      <c r="B1193">
        <v>44.678949597313803</v>
      </c>
      <c r="C1193">
        <v>1474</v>
      </c>
      <c r="D1193" t="s">
        <v>22</v>
      </c>
      <c r="E1193" t="s">
        <v>12</v>
      </c>
      <c r="F1193" t="s">
        <v>25</v>
      </c>
      <c r="G1193" t="s">
        <v>26</v>
      </c>
      <c r="H1193">
        <v>8069</v>
      </c>
      <c r="I1193" t="s">
        <v>2433</v>
      </c>
      <c r="J1193" t="s">
        <v>2434</v>
      </c>
      <c r="K1193" t="s">
        <v>17</v>
      </c>
      <c r="L1193" t="str">
        <f t="shared" si="18"/>
        <v xml:space="preserve">{ longitude: -63.5521961354453, latitude: 44.6789495973138, stopType: 'Bus Stop Shelter Accessible', gotime: \'8069\', location: \'PRINCE ALBERT OPP CELTIC DR\' }, </v>
      </c>
    </row>
    <row r="1194" spans="1:12" x14ac:dyDescent="0.25">
      <c r="A1194">
        <v>-63.679354571195901</v>
      </c>
      <c r="B1194">
        <v>44.784402005909797</v>
      </c>
      <c r="C1194">
        <v>209</v>
      </c>
      <c r="D1194" t="s">
        <v>29</v>
      </c>
      <c r="E1194" t="s">
        <v>12</v>
      </c>
      <c r="F1194" t="s">
        <v>25</v>
      </c>
      <c r="G1194" t="s">
        <v>26</v>
      </c>
      <c r="H1194">
        <v>7340</v>
      </c>
      <c r="I1194" t="s">
        <v>2435</v>
      </c>
      <c r="J1194" t="s">
        <v>2436</v>
      </c>
      <c r="K1194" t="s">
        <v>17</v>
      </c>
      <c r="L1194" t="str">
        <f t="shared" si="18"/>
        <v xml:space="preserve">{ longitude: -63.6793545711959, latitude: 44.7844020059098, stopType: 'Bus Stop Accessible', gotime: \'7340\', location: \'NORDIC NS STOKIL\' }, </v>
      </c>
    </row>
    <row r="1195" spans="1:12" x14ac:dyDescent="0.25">
      <c r="A1195">
        <v>-63.6037037271795</v>
      </c>
      <c r="B1195">
        <v>44.686064050003203</v>
      </c>
      <c r="C1195">
        <v>1475</v>
      </c>
      <c r="D1195" t="s">
        <v>11</v>
      </c>
      <c r="E1195" t="s">
        <v>12</v>
      </c>
      <c r="F1195" t="s">
        <v>13</v>
      </c>
      <c r="G1195" t="s">
        <v>14</v>
      </c>
      <c r="H1195">
        <v>8070</v>
      </c>
      <c r="I1195" t="s">
        <v>2437</v>
      </c>
      <c r="J1195" t="s">
        <v>2438</v>
      </c>
      <c r="K1195" t="s">
        <v>17</v>
      </c>
      <c r="L1195" t="str">
        <f t="shared" si="18"/>
        <v xml:space="preserve">{ longitude: -63.6037037271795, latitude: 44.6860640500032, stopType: 'Bus Stop Non-Standard', gotime: \'8070\', location: \'PRINCESS MARGARET BLVD FS BIO ENTRANCE\' }, </v>
      </c>
    </row>
    <row r="1196" spans="1:12" x14ac:dyDescent="0.25">
      <c r="A1196">
        <v>-63.594484385488201</v>
      </c>
      <c r="B1196">
        <v>44.655029439236202</v>
      </c>
      <c r="C1196">
        <v>210</v>
      </c>
      <c r="D1196" t="s">
        <v>29</v>
      </c>
      <c r="E1196" t="s">
        <v>12</v>
      </c>
      <c r="F1196" t="s">
        <v>25</v>
      </c>
      <c r="G1196" t="s">
        <v>26</v>
      </c>
      <c r="H1196">
        <v>7341</v>
      </c>
      <c r="I1196" t="s">
        <v>2439</v>
      </c>
      <c r="J1196" t="s">
        <v>2440</v>
      </c>
      <c r="K1196" t="s">
        <v>17</v>
      </c>
      <c r="L1196" t="str">
        <f t="shared" si="18"/>
        <v xml:space="preserve">{ longitude: -63.5944843854882, latitude: 44.6550294392362, stopType: 'Bus Stop Accessible', gotime: \'7341\', location: \'NORTH ST AT CIVIC 5797\' }, </v>
      </c>
    </row>
    <row r="1197" spans="1:12" x14ac:dyDescent="0.25">
      <c r="A1197">
        <v>-63.606545240138097</v>
      </c>
      <c r="B1197">
        <v>44.686587510142701</v>
      </c>
      <c r="C1197">
        <v>1476</v>
      </c>
      <c r="D1197" t="s">
        <v>29</v>
      </c>
      <c r="E1197" t="s">
        <v>12</v>
      </c>
      <c r="F1197" t="s">
        <v>25</v>
      </c>
      <c r="G1197" t="s">
        <v>26</v>
      </c>
      <c r="H1197">
        <v>8071</v>
      </c>
      <c r="I1197" t="s">
        <v>2441</v>
      </c>
      <c r="J1197" t="s">
        <v>2442</v>
      </c>
      <c r="K1197" t="s">
        <v>17</v>
      </c>
      <c r="L1197" t="str">
        <f t="shared" si="18"/>
        <v xml:space="preserve">{ longitude: -63.6065452401381, latitude: 44.6865875101427, stopType: 'Bus Stop Accessible', gotime: \'8071\', location: \'PRINCESS MARGARET BLVD AT BLD 2-16\' }, </v>
      </c>
    </row>
    <row r="1198" spans="1:12" x14ac:dyDescent="0.25">
      <c r="A1198">
        <v>-63.594971853025903</v>
      </c>
      <c r="B1198">
        <v>44.654493317798298</v>
      </c>
      <c r="C1198">
        <v>211</v>
      </c>
      <c r="D1198" t="s">
        <v>29</v>
      </c>
      <c r="E1198" t="s">
        <v>12</v>
      </c>
      <c r="F1198" t="s">
        <v>25</v>
      </c>
      <c r="G1198" t="s">
        <v>26</v>
      </c>
      <c r="H1198">
        <v>7342</v>
      </c>
      <c r="I1198" t="s">
        <v>2443</v>
      </c>
      <c r="J1198" t="s">
        <v>2444</v>
      </c>
      <c r="K1198" t="s">
        <v>17</v>
      </c>
      <c r="L1198" t="str">
        <f t="shared" si="18"/>
        <v xml:space="preserve">{ longitude: -63.5949718530259, latitude: 44.6544933177983, stopType: 'Bus Stop Accessible', gotime: \'7342\', location: \'NORTH ST NS ROBIE ST &lt;EB&gt;\' }, </v>
      </c>
    </row>
    <row r="1199" spans="1:12" x14ac:dyDescent="0.25">
      <c r="A1199">
        <v>-63.607003277952998</v>
      </c>
      <c r="B1199">
        <v>44.687977048098801</v>
      </c>
      <c r="C1199">
        <v>1477</v>
      </c>
      <c r="D1199" t="s">
        <v>22</v>
      </c>
      <c r="E1199" t="s">
        <v>12</v>
      </c>
      <c r="F1199" t="s">
        <v>25</v>
      </c>
      <c r="G1199" t="s">
        <v>19</v>
      </c>
      <c r="H1199">
        <v>8072</v>
      </c>
      <c r="I1199" t="s">
        <v>2445</v>
      </c>
      <c r="J1199" t="s">
        <v>2446</v>
      </c>
      <c r="K1199" t="s">
        <v>17</v>
      </c>
      <c r="L1199" t="str">
        <f t="shared" si="18"/>
        <v xml:space="preserve">{ longitude: -63.607003277953, latitude: 44.6879770480988, stopType: 'Bus Stop Shelter Accessible', gotime: \'8072\', location: \'PRINCESS MARGARET BLVD AT BLD 8296\' }, </v>
      </c>
    </row>
    <row r="1200" spans="1:12" x14ac:dyDescent="0.25">
      <c r="A1200">
        <v>-63.5883083338286</v>
      </c>
      <c r="B1200">
        <v>44.658600009112199</v>
      </c>
      <c r="C1200">
        <v>212</v>
      </c>
      <c r="D1200" t="s">
        <v>11</v>
      </c>
      <c r="E1200" t="s">
        <v>12</v>
      </c>
      <c r="F1200" t="s">
        <v>13</v>
      </c>
      <c r="G1200" t="s">
        <v>74</v>
      </c>
      <c r="H1200">
        <v>7343</v>
      </c>
      <c r="I1200" t="s">
        <v>2447</v>
      </c>
      <c r="J1200" t="s">
        <v>2448</v>
      </c>
      <c r="K1200" t="s">
        <v>17</v>
      </c>
      <c r="L1200" t="str">
        <f t="shared" si="18"/>
        <v xml:space="preserve">{ longitude: -63.5883083338286, latitude: 44.6586000091122, stopType: 'Bus Stop Non-Standard', gotime: \'7343\', location: \'NORTH ST&lt;EB&gt; &lt;FS&gt; BRUNSWICK ST\' }, </v>
      </c>
    </row>
    <row r="1201" spans="1:12" x14ac:dyDescent="0.25">
      <c r="A1201">
        <v>-63.609271535238399</v>
      </c>
      <c r="B1201">
        <v>44.687116750705698</v>
      </c>
      <c r="C1201">
        <v>1478</v>
      </c>
      <c r="D1201" t="s">
        <v>29</v>
      </c>
      <c r="E1201" t="s">
        <v>12</v>
      </c>
      <c r="F1201" t="s">
        <v>13</v>
      </c>
      <c r="G1201" t="s">
        <v>14</v>
      </c>
      <c r="H1201">
        <v>8073</v>
      </c>
      <c r="I1201" t="s">
        <v>2449</v>
      </c>
      <c r="J1201" t="s">
        <v>2450</v>
      </c>
      <c r="K1201" t="s">
        <v>17</v>
      </c>
      <c r="L1201" t="str">
        <f t="shared" si="18"/>
        <v xml:space="preserve">{ longitude: -63.6092715352384, latitude: 44.6871167507057, stopType: 'Bus Stop Accessible', gotime: \'8073\', location: \'PRINCESS MARGARET BLVD AT CIVIC 203\' }, </v>
      </c>
    </row>
    <row r="1202" spans="1:12" x14ac:dyDescent="0.25">
      <c r="A1202">
        <v>-63.601113478684198</v>
      </c>
      <c r="B1202">
        <v>44.650329934810699</v>
      </c>
      <c r="C1202">
        <v>213</v>
      </c>
      <c r="D1202" t="s">
        <v>29</v>
      </c>
      <c r="E1202" t="s">
        <v>12</v>
      </c>
      <c r="F1202" t="s">
        <v>25</v>
      </c>
      <c r="G1202" t="s">
        <v>26</v>
      </c>
      <c r="H1202">
        <v>7344</v>
      </c>
      <c r="I1202" t="s">
        <v>2451</v>
      </c>
      <c r="J1202" t="s">
        <v>2452</v>
      </c>
      <c r="K1202" t="s">
        <v>17</v>
      </c>
      <c r="L1202" t="str">
        <f t="shared" si="18"/>
        <v xml:space="preserve">{ longitude: -63.6011134786842, latitude: 44.6503299348107, stopType: 'Bus Stop Accessible', gotime: \'7344\', location: \'NORTH ST FS DUBLIN ST &lt;WB&gt;\' }, </v>
      </c>
    </row>
    <row r="1203" spans="1:12" x14ac:dyDescent="0.25">
      <c r="A1203">
        <v>-63.610258136959601</v>
      </c>
      <c r="B1203">
        <v>44.689082148367802</v>
      </c>
      <c r="C1203">
        <v>1479</v>
      </c>
      <c r="D1203" t="s">
        <v>22</v>
      </c>
      <c r="E1203" t="s">
        <v>12</v>
      </c>
      <c r="F1203" t="s">
        <v>13</v>
      </c>
      <c r="G1203" t="s">
        <v>19</v>
      </c>
      <c r="H1203">
        <v>8074</v>
      </c>
      <c r="I1203" t="s">
        <v>2453</v>
      </c>
      <c r="J1203" t="s">
        <v>2454</v>
      </c>
      <c r="K1203" t="s">
        <v>17</v>
      </c>
      <c r="L1203" t="str">
        <f t="shared" si="18"/>
        <v xml:space="preserve">{ longitude: -63.6102581369596, latitude: 44.6890821483678, stopType: 'Bus Stop Shelter Accessible', gotime: \'8074\', location: \'PRINCESS MARGARET BLVD FS KILLKE GATE\' }, </v>
      </c>
    </row>
    <row r="1204" spans="1:12" x14ac:dyDescent="0.25">
      <c r="A1204">
        <v>-63.600938105685998</v>
      </c>
      <c r="B1204">
        <v>44.650256556163498</v>
      </c>
      <c r="C1204">
        <v>214</v>
      </c>
      <c r="D1204" t="s">
        <v>29</v>
      </c>
      <c r="E1204" t="s">
        <v>12</v>
      </c>
      <c r="F1204" t="s">
        <v>25</v>
      </c>
      <c r="G1204" t="s">
        <v>26</v>
      </c>
      <c r="H1204">
        <v>7345</v>
      </c>
      <c r="I1204" t="s">
        <v>2455</v>
      </c>
      <c r="J1204" t="s">
        <v>2456</v>
      </c>
      <c r="K1204" t="s">
        <v>17</v>
      </c>
      <c r="L1204" t="str">
        <f t="shared" si="18"/>
        <v xml:space="preserve">{ longitude: -63.600938105686, latitude: 44.6502565561635, stopType: 'Bus Stop Accessible', gotime: \'7345\', location: \'NORTH ST NS DUBLIN ST &lt;EB&gt;\' }, </v>
      </c>
    </row>
    <row r="1205" spans="1:12" x14ac:dyDescent="0.25">
      <c r="A1205">
        <v>-63.599409159836298</v>
      </c>
      <c r="B1205">
        <v>44.686311054424699</v>
      </c>
      <c r="C1205">
        <v>1480</v>
      </c>
      <c r="D1205" t="s">
        <v>11</v>
      </c>
      <c r="E1205" t="s">
        <v>12</v>
      </c>
      <c r="F1205" t="s">
        <v>13</v>
      </c>
      <c r="G1205" t="s">
        <v>14</v>
      </c>
      <c r="H1205">
        <v>8075</v>
      </c>
      <c r="I1205" t="s">
        <v>2457</v>
      </c>
      <c r="J1205" t="s">
        <v>2458</v>
      </c>
      <c r="K1205" t="s">
        <v>17</v>
      </c>
      <c r="L1205" t="str">
        <f t="shared" si="18"/>
        <v xml:space="preserve">{ longitude: -63.5994091598363, latitude: 44.6863110544247, stopType: 'Bus Stop Non-Standard', gotime: \'8075\', location: \'PRINCESS MARGARET BLVD FS WINDMILL RD\' }, </v>
      </c>
    </row>
    <row r="1206" spans="1:12" x14ac:dyDescent="0.25">
      <c r="A1206">
        <v>-63.591553476980302</v>
      </c>
      <c r="B1206">
        <v>44.657114805278603</v>
      </c>
      <c r="C1206">
        <v>215</v>
      </c>
      <c r="D1206" t="s">
        <v>22</v>
      </c>
      <c r="E1206" t="s">
        <v>12</v>
      </c>
      <c r="F1206" t="s">
        <v>13</v>
      </c>
      <c r="G1206" t="s">
        <v>14</v>
      </c>
      <c r="H1206">
        <v>7346</v>
      </c>
      <c r="I1206" t="s">
        <v>2459</v>
      </c>
      <c r="J1206" t="s">
        <v>2460</v>
      </c>
      <c r="K1206" t="s">
        <v>17</v>
      </c>
      <c r="L1206" t="str">
        <f t="shared" si="18"/>
        <v xml:space="preserve">{ longitude: -63.5915534769803, latitude: 44.6571148052786, stopType: 'Bus Stop Shelter Accessible', gotime: \'7346\', location: \'NORTH ST FS GOTTINGEN ST &lt;WB&gt;\' }, </v>
      </c>
    </row>
    <row r="1207" spans="1:12" x14ac:dyDescent="0.25">
      <c r="A1207">
        <v>-63.603676086005699</v>
      </c>
      <c r="B1207">
        <v>44.6862285277859</v>
      </c>
      <c r="C1207">
        <v>1481</v>
      </c>
      <c r="D1207" t="s">
        <v>11</v>
      </c>
      <c r="E1207" t="s">
        <v>12</v>
      </c>
      <c r="F1207" t="s">
        <v>13</v>
      </c>
      <c r="G1207" t="s">
        <v>14</v>
      </c>
      <c r="H1207">
        <v>8076</v>
      </c>
      <c r="I1207" t="s">
        <v>2461</v>
      </c>
      <c r="J1207" t="s">
        <v>2462</v>
      </c>
      <c r="K1207" t="s">
        <v>17</v>
      </c>
      <c r="L1207" t="str">
        <f t="shared" si="18"/>
        <v xml:space="preserve">{ longitude: -63.6036760860057, latitude: 44.6862285277859, stopType: 'Bus Stop Non-Standard', gotime: \'8076\', location: \'PRINCESS MARGARET BLVD NS BIO ENTRANCE\' }, </v>
      </c>
    </row>
    <row r="1208" spans="1:12" x14ac:dyDescent="0.25">
      <c r="A1208">
        <v>-63.591217685219</v>
      </c>
      <c r="B1208">
        <v>44.657115553527198</v>
      </c>
      <c r="C1208">
        <v>216</v>
      </c>
      <c r="D1208" t="s">
        <v>29</v>
      </c>
      <c r="E1208" t="s">
        <v>12</v>
      </c>
      <c r="F1208" t="s">
        <v>13</v>
      </c>
      <c r="G1208" t="s">
        <v>14</v>
      </c>
      <c r="H1208">
        <v>7347</v>
      </c>
      <c r="I1208" t="s">
        <v>2463</v>
      </c>
      <c r="J1208" t="s">
        <v>2464</v>
      </c>
      <c r="K1208" t="s">
        <v>17</v>
      </c>
      <c r="L1208" t="str">
        <f t="shared" si="18"/>
        <v xml:space="preserve">{ longitude: -63.591217685219, latitude: 44.6571155535272, stopType: 'Bus Stop Accessible', gotime: \'7347\', location: \'NORTH ST NS GOTTINGEN ST &lt;EB&gt;\' }, </v>
      </c>
    </row>
    <row r="1209" spans="1:12" x14ac:dyDescent="0.25">
      <c r="A1209">
        <v>-63.601483473142402</v>
      </c>
      <c r="B1209">
        <v>44.685962815481403</v>
      </c>
      <c r="C1209">
        <v>1482</v>
      </c>
      <c r="D1209" t="s">
        <v>103</v>
      </c>
      <c r="E1209" t="s">
        <v>12</v>
      </c>
      <c r="F1209" t="s">
        <v>25</v>
      </c>
      <c r="G1209" t="s">
        <v>65</v>
      </c>
      <c r="H1209">
        <v>8077</v>
      </c>
      <c r="I1209" t="s">
        <v>2465</v>
      </c>
      <c r="J1209" t="s">
        <v>2466</v>
      </c>
      <c r="K1209" t="s">
        <v>17</v>
      </c>
      <c r="L1209" t="str">
        <f t="shared" si="18"/>
        <v xml:space="preserve">{ longitude: -63.6014834731424, latitude: 44.6859628154814, stopType: 'Bus Stop Inaccessible', gotime: \'8077\', location: \'PRINCESS MARGARET BLVD NS IROQUOIS DR\' }, </v>
      </c>
    </row>
    <row r="1210" spans="1:12" x14ac:dyDescent="0.25">
      <c r="A1210">
        <v>-63.590103867895301</v>
      </c>
      <c r="B1210">
        <v>44.658594524108999</v>
      </c>
      <c r="C1210">
        <v>217</v>
      </c>
      <c r="D1210" t="s">
        <v>22</v>
      </c>
      <c r="E1210" t="s">
        <v>12</v>
      </c>
      <c r="F1210" t="s">
        <v>25</v>
      </c>
      <c r="G1210" t="s">
        <v>19</v>
      </c>
      <c r="H1210">
        <v>7348</v>
      </c>
      <c r="I1210" t="s">
        <v>2467</v>
      </c>
      <c r="J1210" t="s">
        <v>2468</v>
      </c>
      <c r="K1210" t="s">
        <v>17</v>
      </c>
      <c r="L1210" t="str">
        <f t="shared" si="18"/>
        <v xml:space="preserve">{ longitude: -63.5901038678953, latitude: 44.658594524109, stopType: 'Bus Stop Shelter Accessible', gotime: \'7348\', location: \'NORTH ST&lt;WB&gt; FS LORNE TERRACE\' }, </v>
      </c>
    </row>
    <row r="1211" spans="1:12" x14ac:dyDescent="0.25">
      <c r="A1211">
        <v>-63.599420195241301</v>
      </c>
      <c r="B1211">
        <v>44.686201344969298</v>
      </c>
      <c r="C1211">
        <v>1483</v>
      </c>
      <c r="D1211" t="s">
        <v>11</v>
      </c>
      <c r="E1211" t="s">
        <v>12</v>
      </c>
      <c r="F1211" t="s">
        <v>13</v>
      </c>
      <c r="G1211" t="s">
        <v>14</v>
      </c>
      <c r="H1211">
        <v>8078</v>
      </c>
      <c r="I1211" t="s">
        <v>2469</v>
      </c>
      <c r="J1211" t="s">
        <v>2470</v>
      </c>
      <c r="K1211" t="s">
        <v>17</v>
      </c>
      <c r="L1211" t="str">
        <f t="shared" si="18"/>
        <v xml:space="preserve">{ longitude: -63.5994201952413, latitude: 44.6862013449693, stopType: 'Bus Stop Non-Standard', gotime: \'8078\', location: \'PRINCESS MARGARET BLVD NS WINDMILL RD\' }, </v>
      </c>
    </row>
    <row r="1212" spans="1:12" x14ac:dyDescent="0.25">
      <c r="A1212">
        <v>-63.593812426077598</v>
      </c>
      <c r="B1212">
        <v>44.655267102694403</v>
      </c>
      <c r="C1212">
        <v>218</v>
      </c>
      <c r="D1212" t="s">
        <v>29</v>
      </c>
      <c r="E1212" t="s">
        <v>12</v>
      </c>
      <c r="F1212" t="s">
        <v>25</v>
      </c>
      <c r="G1212" t="s">
        <v>26</v>
      </c>
      <c r="H1212">
        <v>7349</v>
      </c>
      <c r="I1212" t="s">
        <v>2471</v>
      </c>
      <c r="J1212" t="s">
        <v>2472</v>
      </c>
      <c r="K1212" t="s">
        <v>17</v>
      </c>
      <c r="L1212" t="str">
        <f t="shared" si="18"/>
        <v xml:space="preserve">{ longitude: -63.5938124260776, latitude: 44.6552671026944, stopType: 'Bus Stop Accessible', gotime: \'7349\', location: \'NORTH ST NS AGRICOLA ST &lt;EB&gt;\' }, </v>
      </c>
    </row>
    <row r="1213" spans="1:12" x14ac:dyDescent="0.25">
      <c r="A1213">
        <v>-63.607198073486202</v>
      </c>
      <c r="B1213">
        <v>44.686350523540703</v>
      </c>
      <c r="C1213">
        <v>1484</v>
      </c>
      <c r="D1213" t="s">
        <v>22</v>
      </c>
      <c r="E1213" t="s">
        <v>12</v>
      </c>
      <c r="F1213" t="s">
        <v>13</v>
      </c>
      <c r="G1213" t="s">
        <v>19</v>
      </c>
      <c r="H1213">
        <v>8079</v>
      </c>
      <c r="I1213" t="s">
        <v>2473</v>
      </c>
      <c r="J1213" t="s">
        <v>2474</v>
      </c>
      <c r="K1213" t="s">
        <v>17</v>
      </c>
      <c r="L1213" t="str">
        <f t="shared" si="18"/>
        <v xml:space="preserve">{ longitude: -63.6071980734862, latitude: 44.6863505235407, stopType: 'Bus Stop Shelter Accessible', gotime: \'8079\', location: \'PRINCESS MARGARET BLVD NS RYAN GATE\' }, </v>
      </c>
    </row>
    <row r="1214" spans="1:12" x14ac:dyDescent="0.25">
      <c r="A1214">
        <v>-63.593719830939797</v>
      </c>
      <c r="B1214">
        <v>44.655545360439604</v>
      </c>
      <c r="C1214">
        <v>219</v>
      </c>
      <c r="D1214" t="s">
        <v>29</v>
      </c>
      <c r="E1214" t="s">
        <v>12</v>
      </c>
      <c r="F1214" t="s">
        <v>25</v>
      </c>
      <c r="G1214" t="s">
        <v>26</v>
      </c>
      <c r="H1214">
        <v>7350</v>
      </c>
      <c r="I1214" t="s">
        <v>2475</v>
      </c>
      <c r="J1214" t="s">
        <v>2476</v>
      </c>
      <c r="K1214" t="s">
        <v>17</v>
      </c>
      <c r="L1214" t="str">
        <f t="shared" si="18"/>
        <v xml:space="preserve">{ longitude: -63.5937198309398, latitude: 44.6555453604396, stopType: 'Bus Stop Accessible', gotime: \'7350\', location: \'NORTH ST NS AGRICOLA ST &lt;WB&gt;\' }, </v>
      </c>
    </row>
    <row r="1215" spans="1:12" x14ac:dyDescent="0.25">
      <c r="A1215">
        <v>-63.584574922866103</v>
      </c>
      <c r="B1215">
        <v>44.622160350148903</v>
      </c>
      <c r="C1215">
        <v>1485</v>
      </c>
      <c r="D1215" t="s">
        <v>11</v>
      </c>
      <c r="E1215" t="s">
        <v>12</v>
      </c>
      <c r="F1215" t="s">
        <v>13</v>
      </c>
      <c r="G1215" t="s">
        <v>14</v>
      </c>
      <c r="H1215">
        <v>8080</v>
      </c>
      <c r="I1215" t="s">
        <v>2477</v>
      </c>
      <c r="J1215" t="s">
        <v>2478</v>
      </c>
      <c r="K1215" t="s">
        <v>17</v>
      </c>
      <c r="L1215" t="str">
        <f t="shared" si="18"/>
        <v xml:space="preserve">{ longitude: -63.5845749228661, latitude: 44.6221603501489, stopType: 'Bus Stop Non-Standard', gotime: \'8080\', location: \'PURCELLS COVE RD AT SARAGUAY CLUB\' }, </v>
      </c>
    </row>
    <row r="1216" spans="1:12" x14ac:dyDescent="0.25">
      <c r="A1216">
        <v>-63.5896731443909</v>
      </c>
      <c r="B1216">
        <v>44.658126254186797</v>
      </c>
      <c r="C1216">
        <v>220</v>
      </c>
      <c r="D1216" t="s">
        <v>22</v>
      </c>
      <c r="E1216" t="s">
        <v>12</v>
      </c>
      <c r="F1216" t="s">
        <v>13</v>
      </c>
      <c r="G1216" t="s">
        <v>19</v>
      </c>
      <c r="H1216">
        <v>7351</v>
      </c>
      <c r="I1216" t="s">
        <v>2479</v>
      </c>
      <c r="J1216" t="s">
        <v>2480</v>
      </c>
      <c r="K1216" t="s">
        <v>17</v>
      </c>
      <c r="L1216" t="str">
        <f t="shared" si="18"/>
        <v xml:space="preserve">{ longitude: -63.5896731443909, latitude: 44.6581262541868, stopType: 'Bus Stop Shelter Accessible', gotime: \'7351\', location: \'NORTH ST NS BRUNSWICK ST &lt;EB&gt;\' }, </v>
      </c>
    </row>
    <row r="1217" spans="1:12" x14ac:dyDescent="0.25">
      <c r="A1217">
        <v>-63.608993308489801</v>
      </c>
      <c r="B1217">
        <v>44.630238832060101</v>
      </c>
      <c r="C1217">
        <v>1486</v>
      </c>
      <c r="D1217" t="s">
        <v>29</v>
      </c>
      <c r="E1217" t="s">
        <v>12</v>
      </c>
      <c r="F1217" t="s">
        <v>13</v>
      </c>
      <c r="G1217" t="s">
        <v>19</v>
      </c>
      <c r="H1217">
        <v>8081</v>
      </c>
      <c r="I1217" t="s">
        <v>2481</v>
      </c>
      <c r="J1217" t="s">
        <v>2482</v>
      </c>
      <c r="K1217" t="s">
        <v>17</v>
      </c>
      <c r="L1217" t="str">
        <f t="shared" si="18"/>
        <v xml:space="preserve">{ longitude: -63.6089933084898, latitude: 44.6302388320601, stopType: 'Bus Stop Accessible', gotime: \'8081\', location: \'PURCELLS COVE RD OPP CIVIC 144\' }, </v>
      </c>
    </row>
    <row r="1218" spans="1:12" x14ac:dyDescent="0.25">
      <c r="A1218">
        <v>-63.596297653331099</v>
      </c>
      <c r="B1218">
        <v>44.6535588419855</v>
      </c>
      <c r="C1218">
        <v>221</v>
      </c>
      <c r="D1218" t="s">
        <v>29</v>
      </c>
      <c r="E1218" t="s">
        <v>12</v>
      </c>
      <c r="F1218" t="s">
        <v>25</v>
      </c>
      <c r="G1218" t="s">
        <v>26</v>
      </c>
      <c r="H1218">
        <v>7352</v>
      </c>
      <c r="I1218" t="s">
        <v>2483</v>
      </c>
      <c r="J1218" t="s">
        <v>2484</v>
      </c>
      <c r="K1218" t="s">
        <v>17</v>
      </c>
      <c r="L1218" t="str">
        <f t="shared" si="18"/>
        <v xml:space="preserve">{ longitude: -63.5962976533311, latitude: 44.6535588419855, stopType: 'Bus Stop Accessible', gotime: \'7352\', location: \'NORTH ST NS CLIFTON ST &lt;EB&gt;\' }, </v>
      </c>
    </row>
    <row r="1219" spans="1:12" x14ac:dyDescent="0.25">
      <c r="A1219">
        <v>-63.6453332353842</v>
      </c>
      <c r="B1219">
        <v>44.663734468278697</v>
      </c>
      <c r="C1219">
        <v>1487</v>
      </c>
      <c r="D1219" t="s">
        <v>22</v>
      </c>
      <c r="E1219" t="s">
        <v>12</v>
      </c>
      <c r="F1219" t="s">
        <v>13</v>
      </c>
      <c r="G1219" t="s">
        <v>19</v>
      </c>
      <c r="H1219">
        <v>7066</v>
      </c>
      <c r="I1219" t="s">
        <v>2485</v>
      </c>
      <c r="J1219" t="s">
        <v>2486</v>
      </c>
      <c r="K1219" t="s">
        <v>17</v>
      </c>
      <c r="L1219" t="str">
        <f t="shared" ref="L1219:L1282" si="19">CONCATENATE( "{ longitude: ", A1219, ", latitude: ", B1219, ", stopType: '", D1219, "', gotime: \'", H1219, "\', location: \'", I1219, "\' }, ")</f>
        <v xml:space="preserve">{ longitude: -63.6453332353842, latitude: 44.6637344682787, stopType: 'Bus Stop Shelter Accessible', gotime: \'7066\', location: \'LACEWOOD DR FS CLAYTON PARK\' }, </v>
      </c>
    </row>
    <row r="1220" spans="1:12" x14ac:dyDescent="0.25">
      <c r="A1220">
        <v>-63.596218238824697</v>
      </c>
      <c r="B1220">
        <v>44.653801207096599</v>
      </c>
      <c r="C1220">
        <v>222</v>
      </c>
      <c r="D1220" t="s">
        <v>29</v>
      </c>
      <c r="E1220" t="s">
        <v>12</v>
      </c>
      <c r="F1220" t="s">
        <v>25</v>
      </c>
      <c r="G1220" t="s">
        <v>26</v>
      </c>
      <c r="H1220">
        <v>7353</v>
      </c>
      <c r="I1220" t="s">
        <v>2487</v>
      </c>
      <c r="J1220" t="s">
        <v>2488</v>
      </c>
      <c r="K1220" t="s">
        <v>17</v>
      </c>
      <c r="L1220" t="str">
        <f t="shared" si="19"/>
        <v xml:space="preserve">{ longitude: -63.5962182388247, latitude: 44.6538012070966, stopType: 'Bus Stop Accessible', gotime: \'7353\', location: \'NORTH ST NS CLIFTON ST &lt;WB&gt;\' }, </v>
      </c>
    </row>
    <row r="1221" spans="1:12" x14ac:dyDescent="0.25">
      <c r="A1221">
        <v>-63.654022208515798</v>
      </c>
      <c r="B1221">
        <v>44.663148932781198</v>
      </c>
      <c r="C1221">
        <v>1488</v>
      </c>
      <c r="D1221" t="s">
        <v>22</v>
      </c>
      <c r="E1221" t="s">
        <v>12</v>
      </c>
      <c r="F1221" t="s">
        <v>13</v>
      </c>
      <c r="G1221" t="s">
        <v>19</v>
      </c>
      <c r="H1221">
        <v>7067</v>
      </c>
      <c r="I1221" t="s">
        <v>2489</v>
      </c>
      <c r="J1221" t="s">
        <v>2490</v>
      </c>
      <c r="K1221" t="s">
        <v>17</v>
      </c>
      <c r="L1221" t="str">
        <f t="shared" si="19"/>
        <v xml:space="preserve">{ longitude: -63.6540222085158, latitude: 44.6631489327812, stopType: 'Bus Stop Shelter Accessible', gotime: \'7067\', location: \'LACEWOOD DR FS DUNBRACK ST\' }, </v>
      </c>
    </row>
    <row r="1222" spans="1:12" x14ac:dyDescent="0.25">
      <c r="A1222">
        <v>-63.592702976507198</v>
      </c>
      <c r="B1222">
        <v>44.656068272050703</v>
      </c>
      <c r="C1222">
        <v>223</v>
      </c>
      <c r="D1222" t="s">
        <v>29</v>
      </c>
      <c r="E1222" t="s">
        <v>12</v>
      </c>
      <c r="F1222" t="s">
        <v>25</v>
      </c>
      <c r="G1222" t="s">
        <v>26</v>
      </c>
      <c r="H1222">
        <v>7354</v>
      </c>
      <c r="I1222" t="s">
        <v>2491</v>
      </c>
      <c r="J1222" t="s">
        <v>2492</v>
      </c>
      <c r="K1222" t="s">
        <v>17</v>
      </c>
      <c r="L1222" t="str">
        <f t="shared" si="19"/>
        <v xml:space="preserve">{ longitude: -63.5927029765072, latitude: 44.6560682720507, stopType: 'Bus Stop Accessible', gotime: \'7354\', location: \'NORTH ST NS FULLER TERRACE &lt;EB&gt;\' }, </v>
      </c>
    </row>
    <row r="1223" spans="1:12" x14ac:dyDescent="0.25">
      <c r="A1223">
        <v>-63.638265191365399</v>
      </c>
      <c r="B1223">
        <v>44.661093655356702</v>
      </c>
      <c r="C1223">
        <v>1489</v>
      </c>
      <c r="D1223" t="s">
        <v>22</v>
      </c>
      <c r="E1223" t="s">
        <v>12</v>
      </c>
      <c r="F1223" t="s">
        <v>13</v>
      </c>
      <c r="G1223" t="s">
        <v>19</v>
      </c>
      <c r="H1223">
        <v>7068</v>
      </c>
      <c r="I1223" t="s">
        <v>2493</v>
      </c>
      <c r="J1223" t="s">
        <v>2494</v>
      </c>
      <c r="K1223" t="s">
        <v>17</v>
      </c>
      <c r="L1223" t="str">
        <f t="shared" si="19"/>
        <v xml:space="preserve">{ longitude: -63.6382651913654, latitude: 44.6610936553567, stopType: 'Bus Stop Shelter Accessible', gotime: \'7068\', location: \'LACEWOOD DR FS GLENFOREST\' }, </v>
      </c>
    </row>
    <row r="1224" spans="1:12" x14ac:dyDescent="0.25">
      <c r="A1224">
        <v>-63.602844611244301</v>
      </c>
      <c r="B1224">
        <v>44.648916454330497</v>
      </c>
      <c r="C1224">
        <v>224</v>
      </c>
      <c r="D1224" t="s">
        <v>22</v>
      </c>
      <c r="E1224" t="s">
        <v>12</v>
      </c>
      <c r="F1224" t="s">
        <v>13</v>
      </c>
      <c r="G1224" t="s">
        <v>14</v>
      </c>
      <c r="H1224">
        <v>7355</v>
      </c>
      <c r="I1224" t="s">
        <v>2495</v>
      </c>
      <c r="J1224" t="s">
        <v>2496</v>
      </c>
      <c r="K1224" t="s">
        <v>17</v>
      </c>
      <c r="L1224" t="str">
        <f t="shared" si="19"/>
        <v xml:space="preserve">{ longitude: -63.6028446112443, latitude: 44.6489164543305, stopType: 'Bus Stop Shelter Accessible', gotime: \'7355\', location: \'NORTH ST NS OXFORD ST &lt;EB&gt;\' }, </v>
      </c>
    </row>
    <row r="1225" spans="1:12" x14ac:dyDescent="0.25">
      <c r="A1225">
        <v>-63.642965104025997</v>
      </c>
      <c r="B1225">
        <v>44.662912863469103</v>
      </c>
      <c r="C1225">
        <v>1490</v>
      </c>
      <c r="D1225" t="s">
        <v>22</v>
      </c>
      <c r="E1225" t="s">
        <v>12</v>
      </c>
      <c r="F1225" t="s">
        <v>13</v>
      </c>
      <c r="G1225" t="s">
        <v>19</v>
      </c>
      <c r="H1225">
        <v>7069</v>
      </c>
      <c r="I1225" t="s">
        <v>2497</v>
      </c>
      <c r="J1225" s="1" t="s">
        <v>2498</v>
      </c>
      <c r="K1225" t="s">
        <v>17</v>
      </c>
      <c r="L1225" t="str">
        <f t="shared" si="19"/>
        <v xml:space="preserve">{ longitude: -63.642965104026, latitude: 44.6629128634691, stopType: 'Bus Stop Shelter Accessible', gotime: \'7069\', location: \'LACEWOOD DR FS OPP GATEWAY\' }, </v>
      </c>
    </row>
    <row r="1226" spans="1:12" x14ac:dyDescent="0.25">
      <c r="A1226">
        <v>-63.679262588367102</v>
      </c>
      <c r="B1226">
        <v>44.838053274095898</v>
      </c>
      <c r="C1226">
        <v>225</v>
      </c>
      <c r="D1226" t="s">
        <v>103</v>
      </c>
      <c r="E1226" t="s">
        <v>12</v>
      </c>
      <c r="F1226" t="s">
        <v>25</v>
      </c>
      <c r="G1226" t="s">
        <v>1456</v>
      </c>
      <c r="H1226">
        <v>8747</v>
      </c>
      <c r="I1226" t="s">
        <v>2499</v>
      </c>
      <c r="J1226" t="s">
        <v>2500</v>
      </c>
      <c r="K1226" t="s">
        <v>17</v>
      </c>
      <c r="L1226" t="str">
        <f t="shared" si="19"/>
        <v xml:space="preserve">{ longitude: -63.6792625883671, latitude: 44.8380532740959, stopType: 'Bus Stop Inaccessible', gotime: \'8747\', location: \'BEAVER BANK RD &lt;AT&gt; CIVIC 1260\' }, </v>
      </c>
    </row>
    <row r="1227" spans="1:12" x14ac:dyDescent="0.25">
      <c r="A1227">
        <v>-63.5754027977002</v>
      </c>
      <c r="B1227">
        <v>44.670853175887302</v>
      </c>
      <c r="C1227">
        <v>1491</v>
      </c>
      <c r="D1227" t="s">
        <v>1573</v>
      </c>
      <c r="E1227" t="s">
        <v>12</v>
      </c>
      <c r="F1227" t="s">
        <v>13</v>
      </c>
      <c r="G1227" t="s">
        <v>1632</v>
      </c>
      <c r="H1227">
        <v>7616</v>
      </c>
      <c r="I1227" t="s">
        <v>2501</v>
      </c>
      <c r="J1227" t="s">
        <v>2502</v>
      </c>
      <c r="K1227" t="s">
        <v>17</v>
      </c>
      <c r="L1227" t="str">
        <f t="shared" si="19"/>
        <v xml:space="preserve">{ longitude: -63.5754027977002, latitude: 44.6708531758873, stopType: 'Bus Terminal Accessible', gotime: \'7616\', location: \'DARTMOUTH TRANSIT TERMINAL BAY 16\' }, </v>
      </c>
    </row>
    <row r="1228" spans="1:12" x14ac:dyDescent="0.25">
      <c r="A1228">
        <v>-63.680472461778898</v>
      </c>
      <c r="B1228">
        <v>44.835804664082197</v>
      </c>
      <c r="C1228">
        <v>226</v>
      </c>
      <c r="D1228" t="s">
        <v>103</v>
      </c>
      <c r="E1228" t="s">
        <v>12</v>
      </c>
      <c r="F1228" t="s">
        <v>25</v>
      </c>
      <c r="G1228" t="s">
        <v>1456</v>
      </c>
      <c r="H1228">
        <v>8748</v>
      </c>
      <c r="I1228" t="s">
        <v>2503</v>
      </c>
      <c r="J1228" t="s">
        <v>2504</v>
      </c>
      <c r="K1228" t="s">
        <v>17</v>
      </c>
      <c r="L1228" t="str">
        <f t="shared" si="19"/>
        <v xml:space="preserve">{ longitude: -63.6804724617789, latitude: 44.8358046640822, stopType: 'Bus Stop Inaccessible', gotime: \'8748\', location: \'BEAVER BANK RD &lt;AT&gt; CIVIC 1210\' }, </v>
      </c>
    </row>
    <row r="1229" spans="1:12" x14ac:dyDescent="0.25">
      <c r="A1229">
        <v>-63.574565639666297</v>
      </c>
      <c r="B1229">
        <v>44.6705124330527</v>
      </c>
      <c r="C1229">
        <v>1492</v>
      </c>
      <c r="D1229" t="s">
        <v>740</v>
      </c>
      <c r="E1229" t="s">
        <v>12</v>
      </c>
      <c r="F1229" t="s">
        <v>25</v>
      </c>
      <c r="G1229" t="s">
        <v>1632</v>
      </c>
      <c r="I1229" t="s">
        <v>2505</v>
      </c>
      <c r="J1229" t="s">
        <v>2506</v>
      </c>
      <c r="K1229" t="s">
        <v>17</v>
      </c>
      <c r="L1229" t="str">
        <f t="shared" si="19"/>
        <v xml:space="preserve">{ longitude: -63.5745656396663, latitude: 44.6705124330527, stopType: 'Bus Terminal Non-Standard', gotime: \'\', location: \'DARTMOUTH BRIDGE TERMINAL\' }, </v>
      </c>
    </row>
    <row r="1230" spans="1:12" x14ac:dyDescent="0.25">
      <c r="A1230">
        <v>-63.680973599234498</v>
      </c>
      <c r="B1230">
        <v>44.830193580937099</v>
      </c>
      <c r="C1230">
        <v>227</v>
      </c>
      <c r="D1230" t="s">
        <v>103</v>
      </c>
      <c r="E1230" t="s">
        <v>12</v>
      </c>
      <c r="F1230" t="s">
        <v>25</v>
      </c>
      <c r="G1230" t="s">
        <v>1456</v>
      </c>
      <c r="H1230">
        <v>8749</v>
      </c>
      <c r="I1230" t="s">
        <v>2507</v>
      </c>
      <c r="J1230" t="s">
        <v>2508</v>
      </c>
      <c r="K1230" t="s">
        <v>17</v>
      </c>
      <c r="L1230" t="str">
        <f t="shared" si="19"/>
        <v xml:space="preserve">{ longitude: -63.6809735992345, latitude: 44.8301935809371, stopType: 'Bus Stop Inaccessible', gotime: \'8749\', location: \'BEAVER BANK RD &lt;AT&gt; CIVIC 1064\' }, </v>
      </c>
    </row>
    <row r="1231" spans="1:12" x14ac:dyDescent="0.25">
      <c r="A1231">
        <v>-63.574041711359598</v>
      </c>
      <c r="B1231">
        <v>44.670084630455001</v>
      </c>
      <c r="C1231">
        <v>1493</v>
      </c>
      <c r="D1231" t="s">
        <v>1573</v>
      </c>
      <c r="E1231" t="s">
        <v>12</v>
      </c>
      <c r="F1231" t="s">
        <v>13</v>
      </c>
      <c r="G1231" t="s">
        <v>1632</v>
      </c>
      <c r="H1231">
        <v>7617</v>
      </c>
      <c r="I1231" t="s">
        <v>1798</v>
      </c>
      <c r="J1231" t="s">
        <v>2509</v>
      </c>
      <c r="K1231" t="s">
        <v>17</v>
      </c>
      <c r="L1231" t="str">
        <f t="shared" si="19"/>
        <v xml:space="preserve">{ longitude: -63.5740417113596, latitude: 44.670084630455, stopType: 'Bus Terminal Accessible', gotime: \'7617\', location: \'DARTMOUTH TRANSIT TERMINAL BAY 10\' }, </v>
      </c>
    </row>
    <row r="1232" spans="1:12" x14ac:dyDescent="0.25">
      <c r="A1232">
        <v>-63.680898534368403</v>
      </c>
      <c r="B1232">
        <v>44.824625981563898</v>
      </c>
      <c r="C1232">
        <v>228</v>
      </c>
      <c r="D1232" t="s">
        <v>103</v>
      </c>
      <c r="E1232" t="s">
        <v>12</v>
      </c>
      <c r="F1232" t="s">
        <v>25</v>
      </c>
      <c r="G1232" t="s">
        <v>1456</v>
      </c>
      <c r="H1232">
        <v>8750</v>
      </c>
      <c r="I1232" t="s">
        <v>2510</v>
      </c>
      <c r="J1232" t="s">
        <v>2511</v>
      </c>
      <c r="K1232" t="s">
        <v>17</v>
      </c>
      <c r="L1232" t="str">
        <f t="shared" si="19"/>
        <v xml:space="preserve">{ longitude: -63.6808985343684, latitude: 44.8246259815639, stopType: 'Bus Stop Inaccessible', gotime: \'8750\', location: \'BEAVER BANK RD &lt;FS&gt; DANNY DR\' }, </v>
      </c>
    </row>
    <row r="1233" spans="1:12" x14ac:dyDescent="0.25">
      <c r="A1233">
        <v>-63.475272942656098</v>
      </c>
      <c r="B1233">
        <v>44.669905950634998</v>
      </c>
      <c r="C1233">
        <v>1494</v>
      </c>
      <c r="D1233" t="s">
        <v>103</v>
      </c>
      <c r="E1233" t="s">
        <v>12</v>
      </c>
      <c r="F1233" t="s">
        <v>25</v>
      </c>
      <c r="G1233" t="s">
        <v>1456</v>
      </c>
      <c r="H1233">
        <v>8759</v>
      </c>
      <c r="I1233" t="s">
        <v>2512</v>
      </c>
      <c r="J1233" t="s">
        <v>2513</v>
      </c>
      <c r="K1233" t="s">
        <v>17</v>
      </c>
      <c r="L1233" t="str">
        <f t="shared" si="19"/>
        <v xml:space="preserve">{ longitude: -63.4752729426561, latitude: 44.669905950635, stopType: 'Bus Stop Inaccessible', gotime: \'8759\', location: \'COLE HARBOUR RD &lt;FS&gt; BISSETT RD\' }, </v>
      </c>
    </row>
    <row r="1234" spans="1:12" x14ac:dyDescent="0.25">
      <c r="A1234">
        <v>-63.681379271756597</v>
      </c>
      <c r="B1234">
        <v>44.821685396367599</v>
      </c>
      <c r="C1234">
        <v>229</v>
      </c>
      <c r="D1234" t="s">
        <v>103</v>
      </c>
      <c r="E1234" t="s">
        <v>12</v>
      </c>
      <c r="F1234" t="s">
        <v>25</v>
      </c>
      <c r="G1234" t="s">
        <v>1456</v>
      </c>
      <c r="H1234">
        <v>8751</v>
      </c>
      <c r="I1234" t="s">
        <v>2514</v>
      </c>
      <c r="J1234" t="s">
        <v>2515</v>
      </c>
      <c r="K1234" t="s">
        <v>17</v>
      </c>
      <c r="L1234" t="str">
        <f t="shared" si="19"/>
        <v xml:space="preserve">{ longitude: -63.6813792717566, latitude: 44.8216853963676, stopType: 'Bus Stop Inaccessible', gotime: \'8751\', location: \'BEAVER BANK RD &lt;AT&gt; CIVIC 840\' }, </v>
      </c>
    </row>
    <row r="1235" spans="1:12" x14ac:dyDescent="0.25">
      <c r="A1235">
        <v>-63.453855769487497</v>
      </c>
      <c r="B1235">
        <v>44.682527888560401</v>
      </c>
      <c r="C1235">
        <v>1495</v>
      </c>
      <c r="D1235" t="s">
        <v>103</v>
      </c>
      <c r="E1235" t="s">
        <v>12</v>
      </c>
      <c r="F1235" t="s">
        <v>25</v>
      </c>
      <c r="G1235" t="s">
        <v>1456</v>
      </c>
      <c r="H1235">
        <v>8760</v>
      </c>
      <c r="I1235" t="s">
        <v>2516</v>
      </c>
      <c r="J1235" t="s">
        <v>2517</v>
      </c>
      <c r="K1235" t="s">
        <v>17</v>
      </c>
      <c r="L1235" t="str">
        <f t="shared" si="19"/>
        <v xml:space="preserve">{ longitude: -63.4538557694875, latitude: 44.6825278885604, stopType: 'Bus Stop Inaccessible', gotime: \'8760\', location: \'COLE HARBOUR RD &lt;NS&gt; ROSS RD\' }, </v>
      </c>
    </row>
    <row r="1236" spans="1:12" x14ac:dyDescent="0.25">
      <c r="A1236">
        <v>-63.684539185349998</v>
      </c>
      <c r="B1236">
        <v>44.817926713618498</v>
      </c>
      <c r="C1236">
        <v>230</v>
      </c>
      <c r="D1236" t="s">
        <v>103</v>
      </c>
      <c r="E1236" t="s">
        <v>12</v>
      </c>
      <c r="F1236" t="s">
        <v>25</v>
      </c>
      <c r="G1236" t="s">
        <v>1456</v>
      </c>
      <c r="H1236">
        <v>8752</v>
      </c>
      <c r="I1236" t="s">
        <v>2518</v>
      </c>
      <c r="J1236" t="s">
        <v>2519</v>
      </c>
      <c r="K1236" t="s">
        <v>17</v>
      </c>
      <c r="L1236" t="str">
        <f t="shared" si="19"/>
        <v xml:space="preserve">{ longitude: -63.68453918535, latitude: 44.8179267136185, stopType: 'Bus Stop Inaccessible', gotime: \'8752\', location: \'BEAVER BANK RD &lt;FS&gt; PINEHAVEN DR\' }, </v>
      </c>
    </row>
    <row r="1237" spans="1:12" x14ac:dyDescent="0.25">
      <c r="A1237">
        <v>-63.453602003082601</v>
      </c>
      <c r="B1237">
        <v>44.684560696287697</v>
      </c>
      <c r="C1237">
        <v>1496</v>
      </c>
      <c r="D1237" t="s">
        <v>103</v>
      </c>
      <c r="E1237" t="s">
        <v>12</v>
      </c>
      <c r="F1237" t="s">
        <v>25</v>
      </c>
      <c r="G1237" t="s">
        <v>1456</v>
      </c>
      <c r="H1237">
        <v>8761</v>
      </c>
      <c r="I1237" t="s">
        <v>2520</v>
      </c>
      <c r="J1237" t="s">
        <v>2521</v>
      </c>
      <c r="K1237" t="s">
        <v>17</v>
      </c>
      <c r="L1237" t="str">
        <f t="shared" si="19"/>
        <v xml:space="preserve">{ longitude: -63.4536020030826, latitude: 44.6845606962877, stopType: 'Bus Stop Inaccessible', gotime: \'8761\', location: \'ROSS RD &lt;AT&gt; CIVIC 436\' }, </v>
      </c>
    </row>
    <row r="1238" spans="1:12" x14ac:dyDescent="0.25">
      <c r="A1238">
        <v>-63.686256952975498</v>
      </c>
      <c r="B1238">
        <v>44.813771996725499</v>
      </c>
      <c r="C1238">
        <v>231</v>
      </c>
      <c r="D1238" t="s">
        <v>103</v>
      </c>
      <c r="E1238" t="s">
        <v>12</v>
      </c>
      <c r="F1238" t="s">
        <v>25</v>
      </c>
      <c r="G1238" t="s">
        <v>1456</v>
      </c>
      <c r="H1238">
        <v>8753</v>
      </c>
      <c r="I1238" t="s">
        <v>2522</v>
      </c>
      <c r="J1238" t="s">
        <v>2523</v>
      </c>
      <c r="K1238" t="s">
        <v>17</v>
      </c>
      <c r="L1238" t="str">
        <f t="shared" si="19"/>
        <v xml:space="preserve">{ longitude: -63.6862569529755, latitude: 44.8137719967255, stopType: 'Bus Stop Inaccessible', gotime: \'8753\', location: \'BEAVER BANK RD &lt;AT&gt; CIVIC 632\' }, </v>
      </c>
    </row>
    <row r="1239" spans="1:12" x14ac:dyDescent="0.25">
      <c r="A1239">
        <v>-63.453705483760302</v>
      </c>
      <c r="B1239">
        <v>44.687711941216399</v>
      </c>
      <c r="C1239">
        <v>1497</v>
      </c>
      <c r="D1239" t="s">
        <v>103</v>
      </c>
      <c r="E1239" t="s">
        <v>12</v>
      </c>
      <c r="F1239" t="s">
        <v>25</v>
      </c>
      <c r="G1239" t="s">
        <v>1456</v>
      </c>
      <c r="H1239">
        <v>8762</v>
      </c>
      <c r="I1239" t="s">
        <v>2524</v>
      </c>
      <c r="J1239" t="s">
        <v>2525</v>
      </c>
      <c r="K1239" t="s">
        <v>17</v>
      </c>
      <c r="L1239" t="str">
        <f t="shared" si="19"/>
        <v xml:space="preserve">{ longitude: -63.4537054837603, latitude: 44.6877119412164, stopType: 'Bus Stop Inaccessible', gotime: \'8762\', location: \'ROSS RD &lt;AT&gt; CIVIC 370\' }, </v>
      </c>
    </row>
    <row r="1240" spans="1:12" x14ac:dyDescent="0.25">
      <c r="A1240">
        <v>-63.6883638701348</v>
      </c>
      <c r="B1240">
        <v>44.807610343459601</v>
      </c>
      <c r="C1240">
        <v>232</v>
      </c>
      <c r="D1240" t="s">
        <v>103</v>
      </c>
      <c r="E1240" t="s">
        <v>12</v>
      </c>
      <c r="F1240" t="s">
        <v>25</v>
      </c>
      <c r="G1240" t="s">
        <v>1456</v>
      </c>
      <c r="H1240">
        <v>8754</v>
      </c>
      <c r="I1240" t="s">
        <v>2526</v>
      </c>
      <c r="J1240" t="s">
        <v>2527</v>
      </c>
      <c r="K1240" t="s">
        <v>17</v>
      </c>
      <c r="L1240" t="str">
        <f t="shared" si="19"/>
        <v xml:space="preserve">{ longitude: -63.6883638701348, latitude: 44.8076103434596, stopType: 'Bus Stop Inaccessible', gotime: \'8754\', location: \'BEAVER BANK RD &lt;OP&gt; MAJESTIC AVE\' }, </v>
      </c>
    </row>
    <row r="1241" spans="1:12" x14ac:dyDescent="0.25">
      <c r="A1241">
        <v>-63.455604381218699</v>
      </c>
      <c r="B1241">
        <v>44.690983200971303</v>
      </c>
      <c r="C1241">
        <v>1498</v>
      </c>
      <c r="D1241" t="s">
        <v>103</v>
      </c>
      <c r="E1241" t="s">
        <v>12</v>
      </c>
      <c r="F1241" t="s">
        <v>25</v>
      </c>
      <c r="G1241" t="s">
        <v>1456</v>
      </c>
      <c r="H1241">
        <v>8763</v>
      </c>
      <c r="I1241" t="s">
        <v>2528</v>
      </c>
      <c r="J1241" t="s">
        <v>2529</v>
      </c>
      <c r="K1241" t="s">
        <v>17</v>
      </c>
      <c r="L1241" t="str">
        <f t="shared" si="19"/>
        <v xml:space="preserve">{ longitude: -63.4556043812187, latitude: 44.6909832009713, stopType: 'Bus Stop Inaccessible', gotime: \'8763\', location: \'ROSS RD &lt;AT&gt; CIVIC 284\' }, </v>
      </c>
    </row>
    <row r="1242" spans="1:12" x14ac:dyDescent="0.25">
      <c r="A1242">
        <v>-63.688370414454702</v>
      </c>
      <c r="B1242">
        <v>44.801807761291002</v>
      </c>
      <c r="C1242">
        <v>233</v>
      </c>
      <c r="D1242" t="s">
        <v>103</v>
      </c>
      <c r="E1242" t="s">
        <v>12</v>
      </c>
      <c r="F1242" t="s">
        <v>25</v>
      </c>
      <c r="G1242" t="s">
        <v>1456</v>
      </c>
      <c r="H1242">
        <v>8755</v>
      </c>
      <c r="I1242" t="s">
        <v>2530</v>
      </c>
      <c r="J1242" t="s">
        <v>2531</v>
      </c>
      <c r="K1242" t="s">
        <v>17</v>
      </c>
      <c r="L1242" t="str">
        <f t="shared" si="19"/>
        <v xml:space="preserve">{ longitude: -63.6883704144547, latitude: 44.801807761291, stopType: 'Bus Stop Inaccessible', gotime: \'8755\', location: \'BEAVER BANK RD &lt;AT&gt; EMERSON GOLF\' }, </v>
      </c>
    </row>
    <row r="1243" spans="1:12" x14ac:dyDescent="0.25">
      <c r="A1243">
        <v>-63.458759598217398</v>
      </c>
      <c r="B1243">
        <v>44.6959731902542</v>
      </c>
      <c r="C1243">
        <v>1499</v>
      </c>
      <c r="D1243" t="s">
        <v>103</v>
      </c>
      <c r="E1243" t="s">
        <v>12</v>
      </c>
      <c r="F1243" t="s">
        <v>25</v>
      </c>
      <c r="G1243" t="s">
        <v>1456</v>
      </c>
      <c r="H1243">
        <v>8764</v>
      </c>
      <c r="I1243" t="s">
        <v>2532</v>
      </c>
      <c r="J1243" t="s">
        <v>2533</v>
      </c>
      <c r="K1243" t="s">
        <v>17</v>
      </c>
      <c r="L1243" t="str">
        <f t="shared" si="19"/>
        <v xml:space="preserve">{ longitude: -63.4587595982174, latitude: 44.6959731902542, stopType: 'Bus Stop Inaccessible', gotime: \'8764\', location: \'ROSS RD &lt;AT&gt; CIVIC 156\' }, </v>
      </c>
    </row>
    <row r="1244" spans="1:12" x14ac:dyDescent="0.25">
      <c r="A1244">
        <v>-63.689435204740597</v>
      </c>
      <c r="B1244">
        <v>44.797419752521897</v>
      </c>
      <c r="C1244">
        <v>234</v>
      </c>
      <c r="D1244" t="s">
        <v>103</v>
      </c>
      <c r="E1244" t="s">
        <v>12</v>
      </c>
      <c r="F1244" t="s">
        <v>25</v>
      </c>
      <c r="G1244" t="s">
        <v>1456</v>
      </c>
      <c r="H1244">
        <v>8756</v>
      </c>
      <c r="I1244" t="s">
        <v>2534</v>
      </c>
      <c r="J1244" t="s">
        <v>2535</v>
      </c>
      <c r="K1244" t="s">
        <v>17</v>
      </c>
      <c r="L1244" t="str">
        <f t="shared" si="19"/>
        <v xml:space="preserve">{ longitude: -63.6894352047406, latitude: 44.7974197525219, stopType: 'Bus Stop Inaccessible', gotime: \'8756\', location: \'BEAVER BANK RD &lt;AT&gt; CIVIC 278\' }, </v>
      </c>
    </row>
    <row r="1245" spans="1:12" x14ac:dyDescent="0.25">
      <c r="A1245">
        <v>-63.461235687965001</v>
      </c>
      <c r="B1245">
        <v>44.700603308057097</v>
      </c>
      <c r="C1245">
        <v>1500</v>
      </c>
      <c r="D1245" t="s">
        <v>103</v>
      </c>
      <c r="E1245" t="s">
        <v>12</v>
      </c>
      <c r="F1245" t="s">
        <v>25</v>
      </c>
      <c r="G1245" t="s">
        <v>1456</v>
      </c>
      <c r="H1245">
        <v>8765</v>
      </c>
      <c r="I1245" t="s">
        <v>2536</v>
      </c>
      <c r="J1245" t="s">
        <v>2537</v>
      </c>
      <c r="K1245" t="s">
        <v>17</v>
      </c>
      <c r="L1245" t="str">
        <f t="shared" si="19"/>
        <v xml:space="preserve">{ longitude: -63.461235687965, latitude: 44.7006033080571, stopType: 'Bus Stop Inaccessible', gotime: \'8765\', location: \'ROSS RD &lt;AT&gt; CIVIC 36\' }, </v>
      </c>
    </row>
    <row r="1246" spans="1:12" x14ac:dyDescent="0.25">
      <c r="A1246">
        <v>-63.692412680776201</v>
      </c>
      <c r="B1246">
        <v>44.791107029550098</v>
      </c>
      <c r="C1246">
        <v>235</v>
      </c>
      <c r="D1246" t="s">
        <v>103</v>
      </c>
      <c r="E1246" t="s">
        <v>12</v>
      </c>
      <c r="F1246" t="s">
        <v>25</v>
      </c>
      <c r="G1246" t="s">
        <v>1456</v>
      </c>
      <c r="H1246">
        <v>8757</v>
      </c>
      <c r="I1246" t="s">
        <v>2538</v>
      </c>
      <c r="J1246" t="s">
        <v>2539</v>
      </c>
      <c r="K1246" t="s">
        <v>17</v>
      </c>
      <c r="L1246" t="str">
        <f t="shared" si="19"/>
        <v xml:space="preserve">{ longitude: -63.6924126807762, latitude: 44.7911070295501, stopType: 'Bus Stop Inaccessible', gotime: \'8757\', location: \'BEAVER BANK RD &lt;AT&gt; CIVIC 204\' }, </v>
      </c>
    </row>
    <row r="1247" spans="1:12" x14ac:dyDescent="0.25">
      <c r="A1247">
        <v>-63.464810896075498</v>
      </c>
      <c r="B1247">
        <v>44.703462735359501</v>
      </c>
      <c r="C1247">
        <v>1501</v>
      </c>
      <c r="D1247" t="s">
        <v>103</v>
      </c>
      <c r="E1247" t="s">
        <v>12</v>
      </c>
      <c r="F1247" t="s">
        <v>25</v>
      </c>
      <c r="G1247" t="s">
        <v>1456</v>
      </c>
      <c r="H1247">
        <v>8766</v>
      </c>
      <c r="I1247" t="s">
        <v>2540</v>
      </c>
      <c r="J1247" t="s">
        <v>2541</v>
      </c>
      <c r="K1247" t="s">
        <v>17</v>
      </c>
      <c r="L1247" t="str">
        <f t="shared" si="19"/>
        <v xml:space="preserve">{ longitude: -63.4648108960755, latitude: 44.7034627353595, stopType: 'Bus Stop Inaccessible', gotime: \'8766\', location: \'ROSS RD &lt;NS&gt; HWY 7\' }, </v>
      </c>
    </row>
    <row r="1248" spans="1:12" x14ac:dyDescent="0.25">
      <c r="A1248">
        <v>-63.692235550619998</v>
      </c>
      <c r="B1248">
        <v>44.784148092676801</v>
      </c>
      <c r="C1248">
        <v>236</v>
      </c>
      <c r="D1248" t="s">
        <v>103</v>
      </c>
      <c r="E1248" t="s">
        <v>12</v>
      </c>
      <c r="F1248" t="s">
        <v>25</v>
      </c>
      <c r="G1248" t="s">
        <v>1456</v>
      </c>
      <c r="H1248">
        <v>8758</v>
      </c>
      <c r="I1248" t="s">
        <v>2542</v>
      </c>
      <c r="J1248" t="s">
        <v>2543</v>
      </c>
      <c r="K1248" t="s">
        <v>17</v>
      </c>
      <c r="L1248" t="str">
        <f t="shared" si="19"/>
        <v xml:space="preserve">{ longitude: -63.69223555062, latitude: 44.7841480926768, stopType: 'Bus Stop Inaccessible', gotime: \'8758\', location: \'BEAVER BANK RD &lt;AT&gt; CIVIC 92\' }, </v>
      </c>
    </row>
    <row r="1249" spans="1:12" x14ac:dyDescent="0.25">
      <c r="A1249">
        <v>-63.4394664484701</v>
      </c>
      <c r="B1249">
        <v>44.708895237647603</v>
      </c>
      <c r="C1249">
        <v>1502</v>
      </c>
      <c r="D1249" t="s">
        <v>103</v>
      </c>
      <c r="E1249" t="s">
        <v>12</v>
      </c>
      <c r="F1249" t="s">
        <v>25</v>
      </c>
      <c r="G1249" t="s">
        <v>1456</v>
      </c>
      <c r="H1249">
        <v>8767</v>
      </c>
      <c r="I1249" t="s">
        <v>2544</v>
      </c>
      <c r="J1249" t="s">
        <v>2545</v>
      </c>
      <c r="K1249" t="s">
        <v>17</v>
      </c>
      <c r="L1249" t="str">
        <f t="shared" si="19"/>
        <v xml:space="preserve">{ longitude: -63.4394664484701, latitude: 44.7088952376476, stopType: 'Bus Stop Inaccessible', gotime: \'8767\', location: \'HWY 7 &lt;FS&gt; CIVIC 1776\' }, </v>
      </c>
    </row>
    <row r="1250" spans="1:12" x14ac:dyDescent="0.25">
      <c r="A1250">
        <v>-63.575316458605101</v>
      </c>
      <c r="B1250">
        <v>44.674005021116599</v>
      </c>
      <c r="C1250">
        <v>237</v>
      </c>
      <c r="D1250" t="s">
        <v>11</v>
      </c>
      <c r="E1250" t="s">
        <v>12</v>
      </c>
      <c r="F1250" t="s">
        <v>25</v>
      </c>
      <c r="G1250" t="s">
        <v>2546</v>
      </c>
      <c r="H1250">
        <v>7197</v>
      </c>
      <c r="I1250" t="s">
        <v>2547</v>
      </c>
      <c r="J1250" t="s">
        <v>2548</v>
      </c>
      <c r="K1250" t="s">
        <v>17</v>
      </c>
      <c r="L1250" t="str">
        <f t="shared" si="19"/>
        <v xml:space="preserve">{ longitude: -63.5753164586051, latitude: 44.6740050211166, stopType: 'Bus Stop Non-Standard', gotime: \'7197\', location: \'VICTORIA RD &lt;NB&gt; &lt;NS&gt; BOLAND RD\' }, </v>
      </c>
    </row>
    <row r="1251" spans="1:12" x14ac:dyDescent="0.25">
      <c r="A1251">
        <v>-63.434455143446399</v>
      </c>
      <c r="B1251">
        <v>44.715386135290302</v>
      </c>
      <c r="C1251">
        <v>1503</v>
      </c>
      <c r="D1251" t="s">
        <v>103</v>
      </c>
      <c r="E1251" t="s">
        <v>12</v>
      </c>
      <c r="F1251" t="s">
        <v>25</v>
      </c>
      <c r="G1251" t="s">
        <v>1456</v>
      </c>
      <c r="H1251">
        <v>8768</v>
      </c>
      <c r="I1251" t="s">
        <v>2549</v>
      </c>
      <c r="J1251" t="s">
        <v>2550</v>
      </c>
      <c r="K1251" t="s">
        <v>17</v>
      </c>
      <c r="L1251" t="str">
        <f t="shared" si="19"/>
        <v xml:space="preserve">{ longitude: -63.4344551434464, latitude: 44.7153861352903, stopType: 'Bus Stop Inaccessible', gotime: \'8768\', location: \'HWY 7 &lt;NS&gt; LOWER GOVERNOR ST\' }, </v>
      </c>
    </row>
    <row r="1252" spans="1:12" x14ac:dyDescent="0.25">
      <c r="A1252">
        <v>-63.286255492896501</v>
      </c>
      <c r="B1252">
        <v>44.744711309286899</v>
      </c>
      <c r="C1252">
        <v>238</v>
      </c>
      <c r="D1252" t="s">
        <v>103</v>
      </c>
      <c r="E1252" t="s">
        <v>12</v>
      </c>
      <c r="F1252" t="s">
        <v>25</v>
      </c>
      <c r="G1252" t="s">
        <v>2551</v>
      </c>
      <c r="H1252">
        <v>9078</v>
      </c>
      <c r="I1252" t="s">
        <v>2552</v>
      </c>
      <c r="J1252" t="s">
        <v>2553</v>
      </c>
      <c r="K1252" t="s">
        <v>17</v>
      </c>
      <c r="L1252" t="str">
        <f t="shared" si="19"/>
        <v xml:space="preserve">{ longitude: -63.2862554928965, latitude: 44.7447113092869, stopType: 'Bus Stop Inaccessible', gotime: \'9078\', location: \'HWY 7 WILLIAM PORTER CONNECTOR\' }, </v>
      </c>
    </row>
    <row r="1253" spans="1:12" x14ac:dyDescent="0.25">
      <c r="A1253">
        <v>-63.433537524550502</v>
      </c>
      <c r="B1253">
        <v>44.719480560034299</v>
      </c>
      <c r="C1253">
        <v>1504</v>
      </c>
      <c r="D1253" t="s">
        <v>103</v>
      </c>
      <c r="E1253" t="s">
        <v>12</v>
      </c>
      <c r="F1253" t="s">
        <v>25</v>
      </c>
      <c r="G1253" t="s">
        <v>1456</v>
      </c>
      <c r="H1253">
        <v>8769</v>
      </c>
      <c r="I1253" t="s">
        <v>2554</v>
      </c>
      <c r="J1253" t="s">
        <v>2555</v>
      </c>
      <c r="K1253" t="s">
        <v>17</v>
      </c>
      <c r="L1253" t="str">
        <f t="shared" si="19"/>
        <v xml:space="preserve">{ longitude: -63.4335375245505, latitude: 44.7194805600343, stopType: 'Bus Stop Inaccessible', gotime: \'8769\', location: \'BROOKS RD &lt;OP&gt; EAST PRESTON REC CENTRE\' }, </v>
      </c>
    </row>
    <row r="1254" spans="1:12" x14ac:dyDescent="0.25">
      <c r="A1254">
        <v>-63.286460169894703</v>
      </c>
      <c r="B1254">
        <v>44.744626298083901</v>
      </c>
      <c r="C1254">
        <v>239</v>
      </c>
      <c r="D1254" t="s">
        <v>103</v>
      </c>
      <c r="E1254" t="s">
        <v>12</v>
      </c>
      <c r="F1254" t="s">
        <v>25</v>
      </c>
      <c r="G1254" t="s">
        <v>2551</v>
      </c>
      <c r="H1254">
        <v>9079</v>
      </c>
      <c r="I1254" t="s">
        <v>2552</v>
      </c>
      <c r="J1254" t="s">
        <v>2556</v>
      </c>
      <c r="K1254" t="s">
        <v>17</v>
      </c>
      <c r="L1254" t="str">
        <f t="shared" si="19"/>
        <v xml:space="preserve">{ longitude: -63.2864601698947, latitude: 44.7446262980839, stopType: 'Bus Stop Inaccessible', gotime: \'9079\', location: \'HWY 7 WILLIAM PORTER CONNECTOR\' }, </v>
      </c>
    </row>
    <row r="1255" spans="1:12" x14ac:dyDescent="0.25">
      <c r="A1255">
        <v>-63.606291809872197</v>
      </c>
      <c r="B1255">
        <v>44.655944579608402</v>
      </c>
      <c r="C1255">
        <v>1505</v>
      </c>
      <c r="D1255" t="s">
        <v>29</v>
      </c>
      <c r="E1255" t="s">
        <v>12</v>
      </c>
      <c r="F1255" t="s">
        <v>13</v>
      </c>
      <c r="G1255" t="s">
        <v>19</v>
      </c>
      <c r="H1255">
        <v>8561</v>
      </c>
      <c r="I1255" t="s">
        <v>2557</v>
      </c>
      <c r="J1255" t="s">
        <v>2558</v>
      </c>
      <c r="K1255" t="s">
        <v>17</v>
      </c>
      <c r="L1255" t="str">
        <f t="shared" si="19"/>
        <v xml:space="preserve">{ longitude: -63.6062918098722, latitude: 44.6559445796084, stopType: 'Bus Stop Accessible', gotime: \'8561\', location: \'WINDSOR ST  NS CORK ST\' }, </v>
      </c>
    </row>
    <row r="1256" spans="1:12" x14ac:dyDescent="0.25">
      <c r="A1256">
        <v>-63.669462454954598</v>
      </c>
      <c r="B1256">
        <v>44.657855723478797</v>
      </c>
      <c r="C1256">
        <v>240</v>
      </c>
      <c r="D1256" t="s">
        <v>11</v>
      </c>
      <c r="E1256" t="s">
        <v>12</v>
      </c>
      <c r="F1256" t="s">
        <v>25</v>
      </c>
      <c r="G1256" t="s">
        <v>2559</v>
      </c>
      <c r="H1256">
        <v>9080</v>
      </c>
      <c r="I1256" t="s">
        <v>2560</v>
      </c>
      <c r="J1256" t="s">
        <v>2561</v>
      </c>
      <c r="K1256" t="s">
        <v>17</v>
      </c>
      <c r="L1256" t="str">
        <f t="shared" si="19"/>
        <v xml:space="preserve">{ longitude: -63.6694624549546, latitude: 44.6578557234788, stopType: 'Bus Stop Non-Standard', gotime: \'9080\', location: \'REGENCY PK DR &lt;FS&gt; LACEWOOD\' }, </v>
      </c>
    </row>
    <row r="1257" spans="1:12" x14ac:dyDescent="0.25">
      <c r="A1257">
        <v>-63.420861143452299</v>
      </c>
      <c r="B1257">
        <v>44.728124147142204</v>
      </c>
      <c r="C1257">
        <v>1506</v>
      </c>
      <c r="D1257" t="s">
        <v>103</v>
      </c>
      <c r="E1257" t="s">
        <v>12</v>
      </c>
      <c r="F1257" t="s">
        <v>25</v>
      </c>
      <c r="G1257" t="s">
        <v>1456</v>
      </c>
      <c r="H1257">
        <v>8771</v>
      </c>
      <c r="I1257" t="s">
        <v>2562</v>
      </c>
      <c r="J1257" t="s">
        <v>2563</v>
      </c>
      <c r="K1257" t="s">
        <v>17</v>
      </c>
      <c r="L1257" t="str">
        <f t="shared" si="19"/>
        <v xml:space="preserve">{ longitude: -63.4208611434523, latitude: 44.7281241471422, stopType: 'Bus Stop Inaccessible', gotime: \'8771\', location: \'BROOKS RD &lt;AT&gt; CIVIC 377\' }, </v>
      </c>
    </row>
    <row r="1258" spans="1:12" x14ac:dyDescent="0.25">
      <c r="A1258">
        <v>-63.668912460339698</v>
      </c>
      <c r="B1258">
        <v>44.656450229256698</v>
      </c>
      <c r="C1258">
        <v>241</v>
      </c>
      <c r="D1258" t="s">
        <v>11</v>
      </c>
      <c r="E1258" t="s">
        <v>12</v>
      </c>
      <c r="F1258" t="s">
        <v>25</v>
      </c>
      <c r="G1258" t="s">
        <v>2559</v>
      </c>
      <c r="H1258">
        <v>9081</v>
      </c>
      <c r="I1258" t="s">
        <v>2564</v>
      </c>
      <c r="J1258" t="s">
        <v>2565</v>
      </c>
      <c r="K1258" t="s">
        <v>17</v>
      </c>
      <c r="L1258" t="str">
        <f t="shared" si="19"/>
        <v xml:space="preserve">{ longitude: -63.6689124603397, latitude: 44.6564502292567, stopType: 'Bus Stop Non-Standard', gotime: \'9081\', location: \'REGENCY PK DR &lt;NS&gt; SOLUTIONS DR\' }, </v>
      </c>
    </row>
    <row r="1259" spans="1:12" x14ac:dyDescent="0.25">
      <c r="A1259">
        <v>-63.608578871907604</v>
      </c>
      <c r="B1259">
        <v>44.702146063047799</v>
      </c>
      <c r="C1259">
        <v>1507</v>
      </c>
      <c r="D1259" t="s">
        <v>103</v>
      </c>
      <c r="E1259" t="s">
        <v>12</v>
      </c>
      <c r="F1259" t="s">
        <v>13</v>
      </c>
      <c r="G1259" t="s">
        <v>65</v>
      </c>
      <c r="H1259">
        <v>8537</v>
      </c>
      <c r="I1259" t="s">
        <v>2566</v>
      </c>
      <c r="J1259" t="s">
        <v>2567</v>
      </c>
      <c r="K1259" t="s">
        <v>17</v>
      </c>
      <c r="L1259" t="str">
        <f t="shared" si="19"/>
        <v xml:space="preserve">{ longitude: -63.6085788719076, latitude: 44.7021460630478, stopType: 'Bus Stop Inaccessible', gotime: \'8537\', location: \'WINDMILL RD OPP DAWN DR\' }, </v>
      </c>
    </row>
    <row r="1260" spans="1:12" x14ac:dyDescent="0.25">
      <c r="A1260">
        <v>-63.665710770948998</v>
      </c>
      <c r="B1260">
        <v>44.6549072482714</v>
      </c>
      <c r="C1260">
        <v>242</v>
      </c>
      <c r="D1260" t="s">
        <v>11</v>
      </c>
      <c r="E1260" t="s">
        <v>12</v>
      </c>
      <c r="F1260" t="s">
        <v>25</v>
      </c>
      <c r="G1260" t="s">
        <v>2559</v>
      </c>
      <c r="H1260">
        <v>9082</v>
      </c>
      <c r="I1260" t="s">
        <v>2568</v>
      </c>
      <c r="J1260" t="s">
        <v>2569</v>
      </c>
      <c r="K1260" t="s">
        <v>17</v>
      </c>
      <c r="L1260" t="str">
        <f t="shared" si="19"/>
        <v xml:space="preserve">{ longitude: -63.665710770949, latitude: 44.6549072482714, stopType: 'Bus Stop Non-Standard', gotime: \'9082\', location: \'REGENCY PK DR &lt;NS&gt; GREENPARK CLOSE\' }, </v>
      </c>
    </row>
    <row r="1261" spans="1:12" x14ac:dyDescent="0.25">
      <c r="A1261">
        <v>-63.583031043871003</v>
      </c>
      <c r="B1261">
        <v>44.668678415929897</v>
      </c>
      <c r="C1261">
        <v>1508</v>
      </c>
      <c r="D1261" t="s">
        <v>29</v>
      </c>
      <c r="E1261" t="s">
        <v>12</v>
      </c>
      <c r="F1261" t="s">
        <v>13</v>
      </c>
      <c r="G1261" t="s">
        <v>19</v>
      </c>
      <c r="H1261">
        <v>8538</v>
      </c>
      <c r="I1261" t="s">
        <v>2570</v>
      </c>
      <c r="J1261" t="s">
        <v>2571</v>
      </c>
      <c r="K1261" t="s">
        <v>17</v>
      </c>
      <c r="L1261" t="str">
        <f t="shared" si="19"/>
        <v xml:space="preserve">{ longitude: -63.583031043871, latitude: 44.6686784159299, stopType: 'Bus Stop Accessible', gotime: \'8538\', location: \'WINDMILL RD  OPP DAWSON ST\' }, </v>
      </c>
    </row>
    <row r="1262" spans="1:12" x14ac:dyDescent="0.25">
      <c r="A1262">
        <v>-63.664068175195702</v>
      </c>
      <c r="B1262">
        <v>44.655429868942697</v>
      </c>
      <c r="C1262">
        <v>243</v>
      </c>
      <c r="D1262" t="s">
        <v>11</v>
      </c>
      <c r="E1262" t="s">
        <v>12</v>
      </c>
      <c r="F1262" t="s">
        <v>25</v>
      </c>
      <c r="G1262" t="s">
        <v>2559</v>
      </c>
      <c r="H1262">
        <v>9083</v>
      </c>
      <c r="I1262" t="s">
        <v>2572</v>
      </c>
      <c r="J1262" t="s">
        <v>2573</v>
      </c>
      <c r="K1262" t="s">
        <v>17</v>
      </c>
      <c r="L1262" t="str">
        <f t="shared" si="19"/>
        <v xml:space="preserve">{ longitude: -63.6640681751957, latitude: 44.6554298689427, stopType: 'Bus Stop Non-Standard', gotime: \'9083\', location: \'THOMAS RADDALL DR &lt;OP&gt; HALIFAX WEST\' }, </v>
      </c>
    </row>
    <row r="1263" spans="1:12" x14ac:dyDescent="0.25">
      <c r="A1263">
        <v>-63.5889638250652</v>
      </c>
      <c r="B1263">
        <v>44.672645013734403</v>
      </c>
      <c r="C1263">
        <v>1509</v>
      </c>
      <c r="D1263" t="s">
        <v>29</v>
      </c>
      <c r="E1263" t="s">
        <v>12</v>
      </c>
      <c r="F1263" t="s">
        <v>13</v>
      </c>
      <c r="G1263" t="s">
        <v>19</v>
      </c>
      <c r="H1263">
        <v>8539</v>
      </c>
      <c r="I1263" t="s">
        <v>2574</v>
      </c>
      <c r="J1263" t="s">
        <v>2575</v>
      </c>
      <c r="K1263" t="s">
        <v>17</v>
      </c>
      <c r="L1263" t="str">
        <f t="shared" si="19"/>
        <v xml:space="preserve">{ longitude: -63.5889638250652, latitude: 44.6726450137344, stopType: 'Bus Stop Accessible', gotime: \'8539\', location: \'WINDMILL RD OPP ELMWOOD AVE\' }, </v>
      </c>
    </row>
    <row r="1264" spans="1:12" x14ac:dyDescent="0.25">
      <c r="A1264">
        <v>-63.661256991393799</v>
      </c>
      <c r="B1264">
        <v>44.657166498245303</v>
      </c>
      <c r="C1264">
        <v>244</v>
      </c>
      <c r="D1264" t="s">
        <v>11</v>
      </c>
      <c r="E1264" t="s">
        <v>12</v>
      </c>
      <c r="F1264" t="s">
        <v>25</v>
      </c>
      <c r="G1264" t="s">
        <v>2559</v>
      </c>
      <c r="H1264">
        <v>9084</v>
      </c>
      <c r="I1264" t="s">
        <v>2576</v>
      </c>
      <c r="J1264" t="s">
        <v>2577</v>
      </c>
      <c r="K1264" t="s">
        <v>17</v>
      </c>
      <c r="L1264" t="str">
        <f t="shared" si="19"/>
        <v xml:space="preserve">{ longitude: -63.6612569913938, latitude: 44.6571664982453, stopType: 'Bus Stop Non-Standard', gotime: \'9084\', location: \'THOMAS RADDALL &lt;AT&gt; SOCCER FIELD\' }, </v>
      </c>
    </row>
    <row r="1265" spans="1:12" x14ac:dyDescent="0.25">
      <c r="A1265">
        <v>-63.664904127271903</v>
      </c>
      <c r="B1265">
        <v>44.658780784528503</v>
      </c>
      <c r="C1265">
        <v>245</v>
      </c>
      <c r="D1265" t="s">
        <v>29</v>
      </c>
      <c r="E1265" t="s">
        <v>12</v>
      </c>
      <c r="F1265" t="s">
        <v>25</v>
      </c>
      <c r="G1265" t="s">
        <v>2559</v>
      </c>
      <c r="H1265">
        <v>9085</v>
      </c>
      <c r="I1265" t="s">
        <v>2578</v>
      </c>
      <c r="J1265" t="s">
        <v>2579</v>
      </c>
      <c r="K1265" t="s">
        <v>17</v>
      </c>
      <c r="L1265" t="str">
        <f t="shared" si="19"/>
        <v xml:space="preserve">{ longitude: -63.6649041272719, latitude: 44.6587807845285, stopType: 'Bus Stop Accessible', gotime: \'9085\', location: \'THOMAS RADDALL &lt;AT&gt; CANADA GAMES CENTRE\' }, </v>
      </c>
    </row>
    <row r="1266" spans="1:12" x14ac:dyDescent="0.25">
      <c r="A1266">
        <v>-63.584175785683399</v>
      </c>
      <c r="B1266">
        <v>44.6705691768463</v>
      </c>
      <c r="C1266">
        <v>1510</v>
      </c>
      <c r="D1266" t="s">
        <v>22</v>
      </c>
      <c r="E1266" t="s">
        <v>12</v>
      </c>
      <c r="F1266" t="s">
        <v>13</v>
      </c>
      <c r="G1266" t="s">
        <v>19</v>
      </c>
      <c r="H1266">
        <v>8540</v>
      </c>
      <c r="I1266" t="s">
        <v>2580</v>
      </c>
      <c r="J1266" t="s">
        <v>2581</v>
      </c>
      <c r="K1266" t="s">
        <v>17</v>
      </c>
      <c r="L1266" t="str">
        <f t="shared" si="19"/>
        <v xml:space="preserve">{ longitude: -63.5841757856834, latitude: 44.6705691768463, stopType: 'Bus Stop Shelter Accessible', gotime: \'8540\', location: \'WINDMILL RD OPP JAMIESON ST\' }, </v>
      </c>
    </row>
    <row r="1267" spans="1:12" x14ac:dyDescent="0.25">
      <c r="A1267">
        <v>-63.665807108020601</v>
      </c>
      <c r="B1267">
        <v>44.6591469621615</v>
      </c>
      <c r="C1267">
        <v>246</v>
      </c>
      <c r="D1267" t="s">
        <v>11</v>
      </c>
      <c r="E1267" t="s">
        <v>12</v>
      </c>
      <c r="F1267" t="s">
        <v>25</v>
      </c>
      <c r="G1267" t="s">
        <v>2559</v>
      </c>
      <c r="H1267">
        <v>9086</v>
      </c>
      <c r="I1267" t="s">
        <v>2582</v>
      </c>
      <c r="J1267" t="s">
        <v>2583</v>
      </c>
      <c r="K1267" t="s">
        <v>17</v>
      </c>
      <c r="L1267" t="str">
        <f t="shared" si="19"/>
        <v xml:space="preserve">{ longitude: -63.6658071080206, latitude: 44.6591469621615, stopType: 'Bus Stop Non-Standard', gotime: \'9086\', location: \'THOMAS RADDALL &lt;OP&gt; CANADA GAMES CENTRE\' }, </v>
      </c>
    </row>
    <row r="1268" spans="1:12" x14ac:dyDescent="0.25">
      <c r="A1268">
        <v>-63.5954925764105</v>
      </c>
      <c r="B1268">
        <v>44.680433795260498</v>
      </c>
      <c r="C1268">
        <v>1511</v>
      </c>
      <c r="D1268" t="s">
        <v>22</v>
      </c>
      <c r="E1268" t="s">
        <v>12</v>
      </c>
      <c r="F1268" t="s">
        <v>13</v>
      </c>
      <c r="G1268" t="s">
        <v>19</v>
      </c>
      <c r="H1268">
        <v>8541</v>
      </c>
      <c r="I1268" t="s">
        <v>2584</v>
      </c>
      <c r="J1268" t="s">
        <v>2585</v>
      </c>
      <c r="K1268" t="s">
        <v>17</v>
      </c>
      <c r="L1268" t="str">
        <f t="shared" si="19"/>
        <v xml:space="preserve">{ longitude: -63.5954925764105, latitude: 44.6804337952605, stopType: 'Bus Stop Shelter Accessible', gotime: \'8541\', location: \'WINDMILL RD  OPP PARKSTONE RD\' }, </v>
      </c>
    </row>
    <row r="1269" spans="1:12" x14ac:dyDescent="0.25">
      <c r="A1269">
        <v>-63.661437320030799</v>
      </c>
      <c r="B1269">
        <v>44.6569235507732</v>
      </c>
      <c r="C1269">
        <v>247</v>
      </c>
      <c r="D1269" t="s">
        <v>11</v>
      </c>
      <c r="E1269" t="s">
        <v>12</v>
      </c>
      <c r="F1269" t="s">
        <v>25</v>
      </c>
      <c r="G1269" t="s">
        <v>2559</v>
      </c>
      <c r="H1269">
        <v>9087</v>
      </c>
      <c r="I1269" t="s">
        <v>2586</v>
      </c>
      <c r="J1269" t="s">
        <v>2587</v>
      </c>
      <c r="K1269" t="s">
        <v>17</v>
      </c>
      <c r="L1269" t="str">
        <f t="shared" si="19"/>
        <v xml:space="preserve">{ longitude: -63.6614373200308, latitude: 44.6569235507732, stopType: 'Bus Stop Non-Standard', gotime: \'9087\', location: \'THOMAS RADDALL &lt;OP&gt; SOCCER FIELD\' }, </v>
      </c>
    </row>
    <row r="1270" spans="1:12" x14ac:dyDescent="0.25">
      <c r="A1270">
        <v>-63.583582550928099</v>
      </c>
      <c r="B1270">
        <v>44.669702693160303</v>
      </c>
      <c r="C1270">
        <v>1512</v>
      </c>
      <c r="D1270" t="s">
        <v>22</v>
      </c>
      <c r="E1270" t="s">
        <v>12</v>
      </c>
      <c r="F1270" t="s">
        <v>13</v>
      </c>
      <c r="G1270" t="s">
        <v>19</v>
      </c>
      <c r="H1270">
        <v>8542</v>
      </c>
      <c r="I1270" t="s">
        <v>2588</v>
      </c>
      <c r="J1270" t="s">
        <v>2589</v>
      </c>
      <c r="K1270" t="s">
        <v>17</v>
      </c>
      <c r="L1270" t="str">
        <f t="shared" si="19"/>
        <v xml:space="preserve">{ longitude: -63.5835825509281, latitude: 44.6697026931603, stopType: 'Bus Stop Shelter Accessible', gotime: \'8542\', location: \'WINDMILL RD OPP PELZANT ST\' }, </v>
      </c>
    </row>
    <row r="1271" spans="1:12" x14ac:dyDescent="0.25">
      <c r="A1271">
        <v>-63.663948577100101</v>
      </c>
      <c r="B1271">
        <v>44.655783623407899</v>
      </c>
      <c r="C1271">
        <v>248</v>
      </c>
      <c r="D1271" t="s">
        <v>11</v>
      </c>
      <c r="E1271" t="s">
        <v>12</v>
      </c>
      <c r="F1271" t="s">
        <v>25</v>
      </c>
      <c r="G1271" t="s">
        <v>2559</v>
      </c>
      <c r="H1271">
        <v>9088</v>
      </c>
      <c r="I1271" t="s">
        <v>2590</v>
      </c>
      <c r="J1271" t="s">
        <v>2591</v>
      </c>
      <c r="K1271" t="s">
        <v>17</v>
      </c>
      <c r="L1271" t="str">
        <f t="shared" si="19"/>
        <v xml:space="preserve">{ longitude: -63.6639485771001, latitude: 44.6557836234079, stopType: 'Bus Stop Non-Standard', gotime: \'9088\', location: \'THOMAS RADDALL DR &lt;AT&gt; HALIFAX WEST\' }, </v>
      </c>
    </row>
    <row r="1272" spans="1:12" x14ac:dyDescent="0.25">
      <c r="A1272">
        <v>-63.607190227250499</v>
      </c>
      <c r="B1272">
        <v>44.700680685460497</v>
      </c>
      <c r="C1272">
        <v>1513</v>
      </c>
      <c r="D1272" t="s">
        <v>18</v>
      </c>
      <c r="E1272" t="s">
        <v>12</v>
      </c>
      <c r="F1272" t="s">
        <v>13</v>
      </c>
      <c r="G1272" t="s">
        <v>19</v>
      </c>
      <c r="H1272">
        <v>8543</v>
      </c>
      <c r="I1272" t="s">
        <v>2592</v>
      </c>
      <c r="J1272" t="s">
        <v>2593</v>
      </c>
      <c r="K1272" t="s">
        <v>17</v>
      </c>
      <c r="L1272" t="str">
        <f t="shared" si="19"/>
        <v xml:space="preserve">{ longitude: -63.6071902272505, latitude: 44.7006806854605, stopType: 'Bus Stop Shelter Non-Standard', gotime: \'8543\', location: \'WINDMILL RD OPP RALSTON AVE\' }, </v>
      </c>
    </row>
    <row r="1273" spans="1:12" x14ac:dyDescent="0.25">
      <c r="A1273">
        <v>-63.665426422784698</v>
      </c>
      <c r="B1273">
        <v>44.655060821533702</v>
      </c>
      <c r="C1273">
        <v>249</v>
      </c>
      <c r="D1273" t="s">
        <v>11</v>
      </c>
      <c r="E1273" t="s">
        <v>12</v>
      </c>
      <c r="F1273" t="s">
        <v>25</v>
      </c>
      <c r="G1273" t="s">
        <v>2559</v>
      </c>
      <c r="H1273">
        <v>9089</v>
      </c>
      <c r="I1273" t="s">
        <v>2594</v>
      </c>
      <c r="J1273" t="s">
        <v>2595</v>
      </c>
      <c r="K1273" t="s">
        <v>17</v>
      </c>
      <c r="L1273" t="str">
        <f t="shared" si="19"/>
        <v xml:space="preserve">{ longitude: -63.6654264227847, latitude: 44.6550608215337, stopType: 'Bus Stop Non-Standard', gotime: \'9089\', location: \'REGENCY PK DR &lt;OP&gt; GREENPARK CLOSE\' }, </v>
      </c>
    </row>
    <row r="1274" spans="1:12" x14ac:dyDescent="0.25">
      <c r="A1274">
        <v>-63.598484027793702</v>
      </c>
      <c r="B1274">
        <v>44.684931208844297</v>
      </c>
      <c r="C1274">
        <v>1514</v>
      </c>
      <c r="D1274" t="s">
        <v>29</v>
      </c>
      <c r="E1274" t="s">
        <v>12</v>
      </c>
      <c r="F1274" t="s">
        <v>13</v>
      </c>
      <c r="G1274" t="s">
        <v>19</v>
      </c>
      <c r="H1274">
        <v>8544</v>
      </c>
      <c r="I1274" t="s">
        <v>2596</v>
      </c>
      <c r="J1274" t="s">
        <v>2597</v>
      </c>
      <c r="K1274" t="s">
        <v>17</v>
      </c>
      <c r="L1274" t="str">
        <f t="shared" si="19"/>
        <v xml:space="preserve">{ longitude: -63.5984840277937, latitude: 44.6849312088443, stopType: 'Bus Stop Accessible', gotime: \'8544\', location: \'WINDMILL RD  OPP SHANNON PLAZA ENTRANCE\' }, </v>
      </c>
    </row>
    <row r="1275" spans="1:12" x14ac:dyDescent="0.25">
      <c r="A1275">
        <v>-63.668890317515803</v>
      </c>
      <c r="B1275">
        <v>44.6567747710017</v>
      </c>
      <c r="C1275">
        <v>250</v>
      </c>
      <c r="D1275" t="s">
        <v>11</v>
      </c>
      <c r="E1275" t="s">
        <v>12</v>
      </c>
      <c r="F1275" t="s">
        <v>25</v>
      </c>
      <c r="G1275" t="s">
        <v>2559</v>
      </c>
      <c r="H1275">
        <v>9090</v>
      </c>
      <c r="I1275" t="s">
        <v>2598</v>
      </c>
      <c r="J1275" t="s">
        <v>2599</v>
      </c>
      <c r="K1275" t="s">
        <v>17</v>
      </c>
      <c r="L1275" t="str">
        <f t="shared" si="19"/>
        <v xml:space="preserve">{ longitude: -63.6688903175158, latitude: 44.6567747710017, stopType: 'Bus Stop Non-Standard', gotime: \'9090\', location: \'REGENCY PK DR &lt;OP&gt; SOLUTIONS DR\' }, </v>
      </c>
    </row>
    <row r="1276" spans="1:12" x14ac:dyDescent="0.25">
      <c r="A1276">
        <v>-63.592214221718002</v>
      </c>
      <c r="B1276">
        <v>44.677901449718</v>
      </c>
      <c r="C1276">
        <v>1515</v>
      </c>
      <c r="D1276" t="s">
        <v>29</v>
      </c>
      <c r="E1276" t="s">
        <v>12</v>
      </c>
      <c r="F1276" t="s">
        <v>13</v>
      </c>
      <c r="G1276" t="s">
        <v>19</v>
      </c>
      <c r="H1276">
        <v>8545</v>
      </c>
      <c r="I1276" t="s">
        <v>2600</v>
      </c>
      <c r="J1276" t="s">
        <v>2601</v>
      </c>
      <c r="K1276" t="s">
        <v>17</v>
      </c>
      <c r="L1276" t="str">
        <f t="shared" si="19"/>
        <v xml:space="preserve">{ longitude: -63.592214221718, latitude: 44.677901449718, stopType: 'Bus Stop Accessible', gotime: \'8545\', location: \'WINDMILL RD  OPP SUNNYDALE AVE\' }, </v>
      </c>
    </row>
    <row r="1277" spans="1:12" x14ac:dyDescent="0.25">
      <c r="A1277">
        <v>-63.669284682249497</v>
      </c>
      <c r="B1277">
        <v>44.658372450888102</v>
      </c>
      <c r="C1277">
        <v>251</v>
      </c>
      <c r="D1277" t="s">
        <v>11</v>
      </c>
      <c r="E1277" t="s">
        <v>12</v>
      </c>
      <c r="F1277" t="s">
        <v>25</v>
      </c>
      <c r="G1277" t="s">
        <v>2559</v>
      </c>
      <c r="H1277">
        <v>9091</v>
      </c>
      <c r="I1277" t="s">
        <v>2602</v>
      </c>
      <c r="J1277" t="s">
        <v>2603</v>
      </c>
      <c r="K1277" t="s">
        <v>17</v>
      </c>
      <c r="L1277" t="str">
        <f t="shared" si="19"/>
        <v xml:space="preserve">{ longitude: -63.6692846822495, latitude: 44.6583724508881, stopType: 'Bus Stop Non-Standard', gotime: \'9091\', location: \'REGENCY PK DR &lt;NS&gt; LACEWOOD DR\' }, </v>
      </c>
    </row>
    <row r="1278" spans="1:12" x14ac:dyDescent="0.25">
      <c r="A1278">
        <v>-63.5904063898708</v>
      </c>
      <c r="B1278">
        <v>44.674760469772998</v>
      </c>
      <c r="C1278">
        <v>1516</v>
      </c>
      <c r="D1278" t="s">
        <v>22</v>
      </c>
      <c r="E1278" t="s">
        <v>12</v>
      </c>
      <c r="F1278" t="s">
        <v>13</v>
      </c>
      <c r="G1278" t="s">
        <v>19</v>
      </c>
      <c r="H1278">
        <v>8546</v>
      </c>
      <c r="I1278" t="s">
        <v>2604</v>
      </c>
      <c r="J1278" t="s">
        <v>2605</v>
      </c>
      <c r="K1278" t="s">
        <v>17</v>
      </c>
      <c r="L1278" t="str">
        <f t="shared" si="19"/>
        <v xml:space="preserve">{ longitude: -63.5904063898708, latitude: 44.674760469773, stopType: 'Bus Stop Shelter Accessible', gotime: \'8546\', location: \'WINDMILL RD OPP WALLACE ST\' }, </v>
      </c>
    </row>
    <row r="1279" spans="1:12" x14ac:dyDescent="0.25">
      <c r="A1279">
        <v>-63.602642861200401</v>
      </c>
      <c r="B1279">
        <v>44.649261990312397</v>
      </c>
      <c r="C1279">
        <v>252</v>
      </c>
      <c r="D1279" t="s">
        <v>22</v>
      </c>
      <c r="E1279" t="s">
        <v>12</v>
      </c>
      <c r="F1279" t="s">
        <v>25</v>
      </c>
      <c r="G1279" t="s">
        <v>26</v>
      </c>
      <c r="H1279">
        <v>7356</v>
      </c>
      <c r="I1279" t="s">
        <v>2606</v>
      </c>
      <c r="J1279" t="s">
        <v>2607</v>
      </c>
      <c r="K1279" t="s">
        <v>17</v>
      </c>
      <c r="L1279" t="str">
        <f t="shared" si="19"/>
        <v xml:space="preserve">{ longitude: -63.6026428612004, latitude: 44.6492619903124, stopType: 'Bus Stop Shelter Accessible', gotime: \'7356\', location: \'NORTH ST NS OXFORD ST &lt;WB&gt;\' }, </v>
      </c>
    </row>
    <row r="1280" spans="1:12" x14ac:dyDescent="0.25">
      <c r="A1280">
        <v>-63.605184935816801</v>
      </c>
      <c r="B1280">
        <v>44.698678758726203</v>
      </c>
      <c r="C1280">
        <v>1517</v>
      </c>
      <c r="D1280" t="s">
        <v>22</v>
      </c>
      <c r="E1280" t="s">
        <v>12</v>
      </c>
      <c r="F1280" t="s">
        <v>13</v>
      </c>
      <c r="G1280" t="s">
        <v>19</v>
      </c>
      <c r="H1280">
        <v>8547</v>
      </c>
      <c r="I1280" t="s">
        <v>2608</v>
      </c>
      <c r="J1280" t="s">
        <v>2609</v>
      </c>
      <c r="K1280" t="s">
        <v>17</v>
      </c>
      <c r="L1280" t="str">
        <f t="shared" si="19"/>
        <v xml:space="preserve">{ longitude: -63.6051849358168, latitude: 44.6986787587262, stopType: 'Bus Stop Shelter Accessible', gotime: \'8547\', location: \'WINDMILL RD  AT WRIGHT AVE LINK [OB]\' }, </v>
      </c>
    </row>
    <row r="1281" spans="1:12" x14ac:dyDescent="0.25">
      <c r="A1281">
        <v>-63.598477392606803</v>
      </c>
      <c r="B1281">
        <v>44.652028110775397</v>
      </c>
      <c r="C1281">
        <v>253</v>
      </c>
      <c r="D1281" t="s">
        <v>22</v>
      </c>
      <c r="E1281" t="s">
        <v>12</v>
      </c>
      <c r="F1281" t="s">
        <v>25</v>
      </c>
      <c r="G1281" t="s">
        <v>19</v>
      </c>
      <c r="H1281">
        <v>7357</v>
      </c>
      <c r="I1281" t="s">
        <v>2610</v>
      </c>
      <c r="J1281" t="s">
        <v>2611</v>
      </c>
      <c r="K1281" t="s">
        <v>17</v>
      </c>
      <c r="L1281" t="str">
        <f t="shared" si="19"/>
        <v xml:space="preserve">{ longitude: -63.5984773926068, latitude: 44.6520281107754, stopType: 'Bus Stop Shelter Accessible', gotime: \'7357\', location: \'NORTH ST NS WINDSOR ST &lt;EB&gt;\' }, </v>
      </c>
    </row>
    <row r="1282" spans="1:12" x14ac:dyDescent="0.25">
      <c r="A1282">
        <v>-63.605427986783802</v>
      </c>
      <c r="B1282">
        <v>44.698521368340501</v>
      </c>
      <c r="C1282">
        <v>1518</v>
      </c>
      <c r="D1282" t="s">
        <v>22</v>
      </c>
      <c r="E1282" t="s">
        <v>12</v>
      </c>
      <c r="F1282" t="s">
        <v>25</v>
      </c>
      <c r="G1282" t="s">
        <v>19</v>
      </c>
      <c r="H1282">
        <v>8548</v>
      </c>
      <c r="I1282" t="s">
        <v>2612</v>
      </c>
      <c r="J1282" t="s">
        <v>2613</v>
      </c>
      <c r="K1282" t="s">
        <v>17</v>
      </c>
      <c r="L1282" t="str">
        <f t="shared" si="19"/>
        <v xml:space="preserve">{ longitude: -63.6054279867838, latitude: 44.6985213683405, stopType: 'Bus Stop Shelter Accessible', gotime: \'8548\', location: \'WINDMILL RD  NS WRIGHT AVE [IB] LINK\' }, </v>
      </c>
    </row>
    <row r="1283" spans="1:12" x14ac:dyDescent="0.25">
      <c r="A1283">
        <v>-63.598372358048003</v>
      </c>
      <c r="B1283">
        <v>44.6522972744906</v>
      </c>
      <c r="C1283">
        <v>254</v>
      </c>
      <c r="D1283" t="s">
        <v>22</v>
      </c>
      <c r="E1283" t="s">
        <v>12</v>
      </c>
      <c r="F1283" t="s">
        <v>25</v>
      </c>
      <c r="G1283" t="s">
        <v>26</v>
      </c>
      <c r="H1283">
        <v>7358</v>
      </c>
      <c r="I1283" t="s">
        <v>2614</v>
      </c>
      <c r="J1283" t="s">
        <v>2615</v>
      </c>
      <c r="K1283" t="s">
        <v>17</v>
      </c>
      <c r="L1283" t="str">
        <f t="shared" ref="L1283:L1346" si="20">CONCATENATE( "{ longitude: ", A1283, ", latitude: ", B1283, ", stopType: '", D1283, "', gotime: \'", H1283, "\', location: \'", I1283, "\' }, ")</f>
        <v xml:space="preserve">{ longitude: -63.598372358048, latitude: 44.6522972744906, stopType: 'Bus Stop Shelter Accessible', gotime: \'7358\', location: \'NORTH ST NS WINDSOR ST &lt;WB&gt;\' }, </v>
      </c>
    </row>
    <row r="1284" spans="1:12" x14ac:dyDescent="0.25">
      <c r="A1284">
        <v>-63.611447075479902</v>
      </c>
      <c r="B1284">
        <v>44.659452233023401</v>
      </c>
      <c r="C1284">
        <v>1519</v>
      </c>
      <c r="D1284" t="s">
        <v>22</v>
      </c>
      <c r="E1284" t="s">
        <v>12</v>
      </c>
      <c r="F1284" t="s">
        <v>13</v>
      </c>
      <c r="G1284" t="s">
        <v>19</v>
      </c>
      <c r="H1284">
        <v>8549</v>
      </c>
      <c r="I1284" t="s">
        <v>2616</v>
      </c>
      <c r="J1284" t="s">
        <v>2617</v>
      </c>
      <c r="K1284" t="s">
        <v>17</v>
      </c>
      <c r="L1284" t="str">
        <f t="shared" si="20"/>
        <v xml:space="preserve">{ longitude: -63.6114470754799, latitude: 44.6594522330234, stopType: 'Bus Stop Shelter Accessible', gotime: \'8549\', location: \'WINDSOR ST  AT CFB MOTOR POOL\' }, </v>
      </c>
    </row>
    <row r="1285" spans="1:12" x14ac:dyDescent="0.25">
      <c r="A1285">
        <v>-63.6153702877345</v>
      </c>
      <c r="B1285">
        <v>44.673390442929801</v>
      </c>
      <c r="C1285">
        <v>255</v>
      </c>
      <c r="D1285" t="s">
        <v>11</v>
      </c>
      <c r="E1285" t="s">
        <v>12</v>
      </c>
      <c r="F1285" t="s">
        <v>13</v>
      </c>
      <c r="G1285" t="s">
        <v>14</v>
      </c>
      <c r="H1285">
        <v>7360</v>
      </c>
      <c r="I1285" t="s">
        <v>2618</v>
      </c>
      <c r="J1285" t="s">
        <v>2619</v>
      </c>
      <c r="K1285" t="s">
        <v>17</v>
      </c>
      <c r="L1285" t="str">
        <f t="shared" si="20"/>
        <v xml:space="preserve">{ longitude: -63.6153702877345, latitude: 44.6733904429298, stopType: 'Bus Stop Non-Standard', gotime: \'7360\', location: \'NORTHRIDGE RD FS NOVALEA DR &lt;WB&gt; TO VIC MANOR\' }, </v>
      </c>
    </row>
    <row r="1286" spans="1:12" x14ac:dyDescent="0.25">
      <c r="A1286">
        <v>-63.6088170203221</v>
      </c>
      <c r="B1286">
        <v>44.657843552637097</v>
      </c>
      <c r="C1286">
        <v>1520</v>
      </c>
      <c r="D1286" t="s">
        <v>29</v>
      </c>
      <c r="E1286" t="s">
        <v>12</v>
      </c>
      <c r="F1286" t="s">
        <v>13</v>
      </c>
      <c r="G1286" t="s">
        <v>19</v>
      </c>
      <c r="H1286">
        <v>8550</v>
      </c>
      <c r="I1286" t="s">
        <v>2620</v>
      </c>
      <c r="J1286" t="s">
        <v>2621</v>
      </c>
      <c r="K1286" t="s">
        <v>17</v>
      </c>
      <c r="L1286" t="str">
        <f t="shared" si="20"/>
        <v xml:space="preserve">{ longitude: -63.6088170203221, latitude: 44.6578435526371, stopType: 'Bus Stop Accessible', gotime: \'8550\', location: \'WINDSOR ST  AT WILLOW PARK\' }, </v>
      </c>
    </row>
    <row r="1287" spans="1:12" x14ac:dyDescent="0.25">
      <c r="A1287">
        <v>-63.6149786470911</v>
      </c>
      <c r="B1287">
        <v>44.673234233062097</v>
      </c>
      <c r="C1287">
        <v>256</v>
      </c>
      <c r="D1287" t="s">
        <v>29</v>
      </c>
      <c r="E1287" t="s">
        <v>12</v>
      </c>
      <c r="F1287" t="s">
        <v>13</v>
      </c>
      <c r="G1287" t="s">
        <v>19</v>
      </c>
      <c r="H1287">
        <v>7361</v>
      </c>
      <c r="I1287" t="s">
        <v>2622</v>
      </c>
      <c r="J1287" t="s">
        <v>2623</v>
      </c>
      <c r="K1287" t="s">
        <v>17</v>
      </c>
      <c r="L1287" t="str">
        <f t="shared" si="20"/>
        <v xml:space="preserve">{ longitude: -63.6149786470911, latitude: 44.6732342330621, stopType: 'Bus Stop Accessible', gotime: \'7361\', location: \'NOVALEA DR (SB OPP KENCREST AVE\' }, </v>
      </c>
    </row>
    <row r="1288" spans="1:12" x14ac:dyDescent="0.25">
      <c r="A1288">
        <v>-63.6189533182785</v>
      </c>
      <c r="B1288">
        <v>44.660234779516401</v>
      </c>
      <c r="C1288">
        <v>1521</v>
      </c>
      <c r="D1288" t="s">
        <v>29</v>
      </c>
      <c r="E1288" t="s">
        <v>12</v>
      </c>
      <c r="F1288" t="s">
        <v>13</v>
      </c>
      <c r="G1288" t="s">
        <v>19</v>
      </c>
      <c r="H1288">
        <v>8551</v>
      </c>
      <c r="I1288" t="s">
        <v>2624</v>
      </c>
      <c r="J1288" t="s">
        <v>2625</v>
      </c>
      <c r="K1288" t="s">
        <v>17</v>
      </c>
      <c r="L1288" t="str">
        <f t="shared" si="20"/>
        <v xml:space="preserve">{ longitude: -63.6189533182785, latitude: 44.6602347795164, stopType: 'Bus Stop Accessible', gotime: \'8551\', location: \'WINDSOR ST  NS CONNOLLY ST\' }, </v>
      </c>
    </row>
    <row r="1289" spans="1:12" x14ac:dyDescent="0.25">
      <c r="A1289">
        <v>-63.604636368448098</v>
      </c>
      <c r="B1289">
        <v>44.666244336743901</v>
      </c>
      <c r="C1289">
        <v>257</v>
      </c>
      <c r="D1289" t="s">
        <v>29</v>
      </c>
      <c r="E1289" t="s">
        <v>12</v>
      </c>
      <c r="F1289" t="s">
        <v>13</v>
      </c>
      <c r="G1289" t="s">
        <v>19</v>
      </c>
      <c r="H1289">
        <v>7362</v>
      </c>
      <c r="I1289" t="s">
        <v>2626</v>
      </c>
      <c r="J1289" t="s">
        <v>2627</v>
      </c>
      <c r="K1289" t="s">
        <v>17</v>
      </c>
      <c r="L1289" t="str">
        <f t="shared" si="20"/>
        <v xml:space="preserve">{ longitude: -63.6046363684481, latitude: 44.6662443367439, stopType: 'Bus Stop Accessible', gotime: \'7362\', location: \'NOVALEA DR AT CABOT PLACE\' }, </v>
      </c>
    </row>
    <row r="1290" spans="1:12" x14ac:dyDescent="0.25">
      <c r="A1290">
        <v>-63.6200684100587</v>
      </c>
      <c r="B1290">
        <v>44.660550898387797</v>
      </c>
      <c r="C1290">
        <v>1522</v>
      </c>
      <c r="D1290" t="s">
        <v>29</v>
      </c>
      <c r="E1290" t="s">
        <v>12</v>
      </c>
      <c r="F1290" t="s">
        <v>13</v>
      </c>
      <c r="G1290" t="s">
        <v>14</v>
      </c>
      <c r="H1290">
        <v>8552</v>
      </c>
      <c r="I1290" t="s">
        <v>2628</v>
      </c>
      <c r="J1290" t="s">
        <v>2629</v>
      </c>
      <c r="K1290" t="s">
        <v>17</v>
      </c>
      <c r="L1290" t="str">
        <f t="shared" si="20"/>
        <v xml:space="preserve">{ longitude: -63.6200684100587, latitude: 44.6605508983878, stopType: 'Bus Stop Accessible', gotime: \'8552\', location: \'WINDSOR ST  FS CONNAUGHT AVE\' }, </v>
      </c>
    </row>
    <row r="1291" spans="1:12" x14ac:dyDescent="0.25">
      <c r="A1291">
        <v>-63.601029603869598</v>
      </c>
      <c r="B1291">
        <v>44.6639189070385</v>
      </c>
      <c r="C1291">
        <v>258</v>
      </c>
      <c r="D1291" t="s">
        <v>11</v>
      </c>
      <c r="E1291" t="s">
        <v>12</v>
      </c>
      <c r="F1291" t="s">
        <v>25</v>
      </c>
      <c r="G1291" t="s">
        <v>26</v>
      </c>
      <c r="H1291">
        <v>7363</v>
      </c>
      <c r="I1291" t="s">
        <v>2630</v>
      </c>
      <c r="J1291" t="s">
        <v>2631</v>
      </c>
      <c r="K1291" t="s">
        <v>17</v>
      </c>
      <c r="L1291" t="str">
        <f t="shared" si="20"/>
        <v xml:space="preserve">{ longitude: -63.6010296038696, latitude: 44.6639189070385, stopType: 'Bus Stop Non-Standard', gotime: \'7363\', location: \'NOVALEA DR AT LIVINGSTONE &lt;SB&gt;\' }, </v>
      </c>
    </row>
    <row r="1292" spans="1:12" x14ac:dyDescent="0.25">
      <c r="A1292">
        <v>-63.622386346382598</v>
      </c>
      <c r="B1292">
        <v>44.6622812973471</v>
      </c>
      <c r="C1292">
        <v>1523</v>
      </c>
      <c r="D1292" t="s">
        <v>29</v>
      </c>
      <c r="E1292" t="s">
        <v>12</v>
      </c>
      <c r="F1292" t="s">
        <v>13</v>
      </c>
      <c r="G1292" t="s">
        <v>19</v>
      </c>
      <c r="H1292">
        <v>8553</v>
      </c>
      <c r="I1292" t="s">
        <v>2632</v>
      </c>
      <c r="J1292" t="s">
        <v>2633</v>
      </c>
      <c r="K1292" t="s">
        <v>17</v>
      </c>
      <c r="L1292" t="str">
        <f t="shared" si="20"/>
        <v xml:space="preserve">{ longitude: -63.6223863463826, latitude: 44.6622812973471, stopType: 'Bus Stop Accessible', gotime: \'8553\', location: \'WINDSOR ST  FS LADY HAMMOND RD\' }, </v>
      </c>
    </row>
    <row r="1293" spans="1:12" x14ac:dyDescent="0.25">
      <c r="A1293">
        <v>-63.6010183725692</v>
      </c>
      <c r="B1293">
        <v>44.663911258840102</v>
      </c>
      <c r="C1293">
        <v>259</v>
      </c>
      <c r="D1293" t="s">
        <v>29</v>
      </c>
      <c r="E1293" t="s">
        <v>12</v>
      </c>
      <c r="F1293" t="s">
        <v>13</v>
      </c>
      <c r="G1293" t="s">
        <v>19</v>
      </c>
      <c r="H1293">
        <v>7364</v>
      </c>
      <c r="I1293" t="s">
        <v>2634</v>
      </c>
      <c r="J1293" t="s">
        <v>2635</v>
      </c>
      <c r="K1293" t="s">
        <v>17</v>
      </c>
      <c r="L1293" t="str">
        <f t="shared" si="20"/>
        <v xml:space="preserve">{ longitude: -63.6010183725692, latitude: 44.6639112588401, stopType: 'Bus Stop Accessible', gotime: \'7364\', location: \'NOVALEA DR NS LIVINGSTONE\' }, </v>
      </c>
    </row>
    <row r="1294" spans="1:12" x14ac:dyDescent="0.25">
      <c r="A1294">
        <v>-63.598628072418798</v>
      </c>
      <c r="B1294">
        <v>44.652352751691097</v>
      </c>
      <c r="C1294">
        <v>1524</v>
      </c>
      <c r="D1294" t="s">
        <v>29</v>
      </c>
      <c r="E1294" t="s">
        <v>12</v>
      </c>
      <c r="F1294" t="s">
        <v>13</v>
      </c>
      <c r="G1294" t="s">
        <v>19</v>
      </c>
      <c r="H1294">
        <v>8554</v>
      </c>
      <c r="I1294" t="s">
        <v>2636</v>
      </c>
      <c r="J1294" t="s">
        <v>2637</v>
      </c>
      <c r="K1294" t="s">
        <v>17</v>
      </c>
      <c r="L1294" t="str">
        <f t="shared" si="20"/>
        <v xml:space="preserve">{ longitude: -63.5986280724188, latitude: 44.6523527516911, stopType: 'Bus Stop Accessible', gotime: \'8554\', location: \'WINDSOR ST  FS NORTH RD\' }, </v>
      </c>
    </row>
    <row r="1295" spans="1:12" x14ac:dyDescent="0.25">
      <c r="A1295">
        <v>-63.6023954692402</v>
      </c>
      <c r="B1295">
        <v>44.664841324967803</v>
      </c>
      <c r="C1295">
        <v>260</v>
      </c>
      <c r="D1295" t="s">
        <v>29</v>
      </c>
      <c r="E1295" t="s">
        <v>12</v>
      </c>
      <c r="F1295" t="s">
        <v>13</v>
      </c>
      <c r="G1295" t="s">
        <v>19</v>
      </c>
      <c r="H1295">
        <v>7365</v>
      </c>
      <c r="I1295" t="s">
        <v>2638</v>
      </c>
      <c r="J1295" t="s">
        <v>2639</v>
      </c>
      <c r="K1295" t="s">
        <v>17</v>
      </c>
      <c r="L1295" t="str">
        <f t="shared" si="20"/>
        <v xml:space="preserve">{ longitude: -63.6023954692402, latitude: 44.6648413249678, stopType: 'Bus Stop Accessible', gotime: \'7365\', location: \'NOVALEA DR AT STANLEY PLACE &lt;SB&gt;\' }, </v>
      </c>
    </row>
    <row r="1296" spans="1:12" x14ac:dyDescent="0.25">
      <c r="A1296">
        <v>-63.6080097051926</v>
      </c>
      <c r="B1296">
        <v>44.657124469094697</v>
      </c>
      <c r="C1296">
        <v>1525</v>
      </c>
      <c r="D1296" t="s">
        <v>22</v>
      </c>
      <c r="E1296" t="s">
        <v>12</v>
      </c>
      <c r="F1296" t="s">
        <v>13</v>
      </c>
      <c r="G1296" t="s">
        <v>19</v>
      </c>
      <c r="H1296">
        <v>8555</v>
      </c>
      <c r="I1296" t="s">
        <v>2640</v>
      </c>
      <c r="J1296" t="s">
        <v>2641</v>
      </c>
      <c r="K1296" t="s">
        <v>17</v>
      </c>
      <c r="L1296" t="str">
        <f t="shared" si="20"/>
        <v xml:space="preserve">{ longitude: -63.6080097051926, latitude: 44.6571244690947, stopType: 'Bus Stop Shelter Accessible', gotime: \'8555\', location: \'WINDSOR ST AT WINDSOR PARK ENTRANCE\' }, </v>
      </c>
    </row>
    <row r="1297" spans="1:12" x14ac:dyDescent="0.25">
      <c r="A1297">
        <v>-63.492531980030499</v>
      </c>
      <c r="B1297">
        <v>44.6098065548384</v>
      </c>
      <c r="C1297">
        <v>261</v>
      </c>
      <c r="D1297" t="s">
        <v>22</v>
      </c>
      <c r="E1297" t="s">
        <v>12</v>
      </c>
      <c r="F1297" t="s">
        <v>25</v>
      </c>
      <c r="G1297" t="s">
        <v>26</v>
      </c>
      <c r="H1297">
        <v>8275</v>
      </c>
      <c r="I1297" t="s">
        <v>2642</v>
      </c>
      <c r="J1297" t="s">
        <v>2643</v>
      </c>
      <c r="K1297" t="s">
        <v>17</v>
      </c>
      <c r="L1297" t="str">
        <f t="shared" si="20"/>
        <v xml:space="preserve">{ longitude: -63.4925319800305, latitude: 44.6098065548384, stopType: 'Bus Stop Shelter Accessible', gotime: \'8275\', location: \'SHORE RD NS QUIGLEYS CORNER\' }, </v>
      </c>
    </row>
    <row r="1298" spans="1:12" x14ac:dyDescent="0.25">
      <c r="A1298">
        <v>-63.602492199822798</v>
      </c>
      <c r="B1298">
        <v>44.654174948035298</v>
      </c>
      <c r="C1298">
        <v>1526</v>
      </c>
      <c r="D1298" t="s">
        <v>29</v>
      </c>
      <c r="E1298" t="s">
        <v>12</v>
      </c>
      <c r="F1298" t="s">
        <v>13</v>
      </c>
      <c r="G1298" t="s">
        <v>19</v>
      </c>
      <c r="H1298">
        <v>8556</v>
      </c>
      <c r="I1298" t="s">
        <v>2644</v>
      </c>
      <c r="J1298" t="s">
        <v>2645</v>
      </c>
      <c r="K1298" t="s">
        <v>17</v>
      </c>
      <c r="L1298" t="str">
        <f t="shared" si="20"/>
        <v xml:space="preserve">{ longitude: -63.6024921998228, latitude: 44.6541749480353, stopType: 'Bus Stop Accessible', gotime: \'8556\', location: \'WINDSOR ST  NS ALMON ST\' }, </v>
      </c>
    </row>
    <row r="1299" spans="1:12" x14ac:dyDescent="0.25">
      <c r="A1299">
        <v>-63.490092960368102</v>
      </c>
      <c r="B1299">
        <v>44.607328059091103</v>
      </c>
      <c r="C1299">
        <v>262</v>
      </c>
      <c r="D1299" t="s">
        <v>29</v>
      </c>
      <c r="E1299" t="s">
        <v>12</v>
      </c>
      <c r="F1299" t="s">
        <v>25</v>
      </c>
      <c r="G1299" t="s">
        <v>26</v>
      </c>
      <c r="H1299">
        <v>8276</v>
      </c>
      <c r="I1299" t="s">
        <v>2646</v>
      </c>
      <c r="J1299" t="s">
        <v>2647</v>
      </c>
      <c r="K1299" t="s">
        <v>17</v>
      </c>
      <c r="L1299" t="str">
        <f t="shared" si="20"/>
        <v xml:space="preserve">{ longitude: -63.4900929603681, latitude: 44.6073280590911, stopType: 'Bus Stop Accessible', gotime: \'8276\', location: \'SHORE RD NS CIVIC 1638\' }, </v>
      </c>
    </row>
    <row r="1300" spans="1:12" x14ac:dyDescent="0.25">
      <c r="A1300">
        <v>-63.603048783211001</v>
      </c>
      <c r="B1300">
        <v>44.654245559119602</v>
      </c>
      <c r="C1300">
        <v>1527</v>
      </c>
      <c r="D1300" t="s">
        <v>29</v>
      </c>
      <c r="E1300" t="s">
        <v>12</v>
      </c>
      <c r="F1300" t="s">
        <v>13</v>
      </c>
      <c r="G1300" t="s">
        <v>19</v>
      </c>
      <c r="H1300">
        <v>8557</v>
      </c>
      <c r="I1300" t="s">
        <v>2644</v>
      </c>
      <c r="J1300" t="s">
        <v>2648</v>
      </c>
      <c r="K1300" t="s">
        <v>17</v>
      </c>
      <c r="L1300" t="str">
        <f t="shared" si="20"/>
        <v xml:space="preserve">{ longitude: -63.603048783211, latitude: 44.6542455591196, stopType: 'Bus Stop Accessible', gotime: \'8557\', location: \'WINDSOR ST  NS ALMON ST\' }, </v>
      </c>
    </row>
    <row r="1301" spans="1:12" x14ac:dyDescent="0.25">
      <c r="A1301">
        <v>-63.488235315969497</v>
      </c>
      <c r="B1301">
        <v>44.606204637213203</v>
      </c>
      <c r="C1301">
        <v>263</v>
      </c>
      <c r="D1301" t="s">
        <v>22</v>
      </c>
      <c r="E1301" t="s">
        <v>12</v>
      </c>
      <c r="F1301" t="s">
        <v>25</v>
      </c>
      <c r="G1301" t="s">
        <v>26</v>
      </c>
      <c r="H1301">
        <v>8277</v>
      </c>
      <c r="I1301" t="s">
        <v>2649</v>
      </c>
      <c r="J1301" t="s">
        <v>2650</v>
      </c>
      <c r="K1301" t="s">
        <v>17</v>
      </c>
      <c r="L1301" t="str">
        <f t="shared" si="20"/>
        <v xml:space="preserve">{ longitude: -63.4882353159695, latitude: 44.6062046372132, stopType: 'Bus Stop Shelter Accessible', gotime: \'8277\', location: \'SHORE RD NS NORMANS LANE\' }, </v>
      </c>
    </row>
    <row r="1302" spans="1:12" x14ac:dyDescent="0.25">
      <c r="A1302">
        <v>-63.596641873734498</v>
      </c>
      <c r="B1302">
        <v>44.651235306445599</v>
      </c>
      <c r="C1302">
        <v>1528</v>
      </c>
      <c r="D1302" t="s">
        <v>29</v>
      </c>
      <c r="E1302" t="s">
        <v>12</v>
      </c>
      <c r="F1302" t="s">
        <v>13</v>
      </c>
      <c r="G1302" t="s">
        <v>19</v>
      </c>
      <c r="H1302">
        <v>8558</v>
      </c>
      <c r="I1302" t="s">
        <v>2651</v>
      </c>
      <c r="J1302" t="s">
        <v>2652</v>
      </c>
      <c r="K1302" t="s">
        <v>17</v>
      </c>
      <c r="L1302" t="str">
        <f t="shared" si="20"/>
        <v xml:space="preserve">{ longitude: -63.5966418737345, latitude: 44.6512353064456, stopType: 'Bus Stop Accessible', gotime: \'8558\', location: \'WINDSOR ST  NS CHARLES ST\' }, </v>
      </c>
    </row>
    <row r="1303" spans="1:12" x14ac:dyDescent="0.25">
      <c r="A1303">
        <v>-63.480788312590697</v>
      </c>
      <c r="B1303">
        <v>44.6509394021868</v>
      </c>
      <c r="C1303">
        <v>264</v>
      </c>
      <c r="D1303" t="s">
        <v>103</v>
      </c>
      <c r="E1303" t="s">
        <v>12</v>
      </c>
      <c r="F1303" t="s">
        <v>25</v>
      </c>
      <c r="G1303" t="s">
        <v>65</v>
      </c>
      <c r="H1303">
        <v>8278</v>
      </c>
      <c r="I1303" t="s">
        <v>2653</v>
      </c>
      <c r="J1303" t="s">
        <v>2654</v>
      </c>
      <c r="K1303" t="s">
        <v>17</v>
      </c>
      <c r="L1303" t="str">
        <f t="shared" si="20"/>
        <v xml:space="preserve">{ longitude: -63.4807883125907, latitude: 44.6509394021868, stopType: 'Bus Stop Inaccessible', gotime: \'8278\', location: \'SHREWSBURY RD OPP HUNTINGTON DR\' }, </v>
      </c>
    </row>
    <row r="1304" spans="1:12" x14ac:dyDescent="0.25">
      <c r="A1304">
        <v>-63.596974032811197</v>
      </c>
      <c r="B1304">
        <v>44.651312091490603</v>
      </c>
      <c r="C1304">
        <v>1529</v>
      </c>
      <c r="D1304" t="s">
        <v>29</v>
      </c>
      <c r="E1304" t="s">
        <v>12</v>
      </c>
      <c r="F1304" t="s">
        <v>13</v>
      </c>
      <c r="G1304" t="s">
        <v>19</v>
      </c>
      <c r="H1304">
        <v>8559</v>
      </c>
      <c r="I1304" t="s">
        <v>2651</v>
      </c>
      <c r="J1304" t="s">
        <v>2655</v>
      </c>
      <c r="K1304" t="s">
        <v>17</v>
      </c>
      <c r="L1304" t="str">
        <f t="shared" si="20"/>
        <v xml:space="preserve">{ longitude: -63.5969740328112, latitude: 44.6513120914906, stopType: 'Bus Stop Accessible', gotime: \'8559\', location: \'WINDSOR ST  NS CHARLES ST\' }, </v>
      </c>
    </row>
    <row r="1305" spans="1:12" x14ac:dyDescent="0.25">
      <c r="A1305">
        <v>-63.482074062423798</v>
      </c>
      <c r="B1305">
        <v>44.648790926930303</v>
      </c>
      <c r="C1305">
        <v>265</v>
      </c>
      <c r="D1305" t="s">
        <v>11</v>
      </c>
      <c r="E1305" t="s">
        <v>12</v>
      </c>
      <c r="F1305" t="s">
        <v>25</v>
      </c>
      <c r="G1305" t="s">
        <v>26</v>
      </c>
      <c r="H1305">
        <v>8279</v>
      </c>
      <c r="I1305" t="s">
        <v>2656</v>
      </c>
      <c r="J1305" t="s">
        <v>2657</v>
      </c>
      <c r="K1305" t="s">
        <v>17</v>
      </c>
      <c r="L1305" t="str">
        <f t="shared" si="20"/>
        <v xml:space="preserve">{ longitude: -63.4820740624238, latitude: 44.6487909269303, stopType: 'Bus Stop Non-Standard', gotime: \'8279\', location: \'SHREWSBURY RD AT CIVIC 147\' }, </v>
      </c>
    </row>
    <row r="1306" spans="1:12" x14ac:dyDescent="0.25">
      <c r="A1306">
        <v>-63.620244218021099</v>
      </c>
      <c r="B1306">
        <v>44.660365688010401</v>
      </c>
      <c r="C1306">
        <v>1530</v>
      </c>
      <c r="D1306" t="s">
        <v>29</v>
      </c>
      <c r="E1306" t="s">
        <v>12</v>
      </c>
      <c r="F1306" t="s">
        <v>13</v>
      </c>
      <c r="G1306" t="s">
        <v>14</v>
      </c>
      <c r="H1306">
        <v>8560</v>
      </c>
      <c r="I1306" t="s">
        <v>2658</v>
      </c>
      <c r="J1306" t="s">
        <v>2659</v>
      </c>
      <c r="K1306" t="s">
        <v>17</v>
      </c>
      <c r="L1306" t="str">
        <f t="shared" si="20"/>
        <v xml:space="preserve">{ longitude: -63.6202442180211, latitude: 44.6603656880104, stopType: 'Bus Stop Accessible', gotime: \'8560\', location: \'WINDSOR ST  NS CONNAUGHT AVE\' }, </v>
      </c>
    </row>
    <row r="1307" spans="1:12" x14ac:dyDescent="0.25">
      <c r="A1307">
        <v>-63.465224100261402</v>
      </c>
      <c r="B1307">
        <v>44.746214127864398</v>
      </c>
      <c r="C1307">
        <v>266</v>
      </c>
      <c r="D1307" t="s">
        <v>11</v>
      </c>
      <c r="E1307" t="s">
        <v>12</v>
      </c>
      <c r="F1307" t="s">
        <v>25</v>
      </c>
      <c r="G1307" t="s">
        <v>26</v>
      </c>
      <c r="H1307">
        <v>8280</v>
      </c>
      <c r="I1307" t="s">
        <v>2660</v>
      </c>
      <c r="J1307" t="s">
        <v>2661</v>
      </c>
      <c r="K1307" t="s">
        <v>17</v>
      </c>
      <c r="L1307" t="str">
        <f t="shared" si="20"/>
        <v xml:space="preserve">{ longitude: -63.4652241002614, latitude: 44.7462141278644, stopType: 'Bus Stop Non-Standard', gotime: \'8280\', location: \'SIMMONDS RD FS NORTH PRESTON RD\' }, </v>
      </c>
    </row>
    <row r="1308" spans="1:12" x14ac:dyDescent="0.25">
      <c r="A1308">
        <v>-63.419027344331901</v>
      </c>
      <c r="B1308">
        <v>44.725255362932302</v>
      </c>
      <c r="C1308">
        <v>1531</v>
      </c>
      <c r="D1308" t="s">
        <v>103</v>
      </c>
      <c r="E1308" t="s">
        <v>12</v>
      </c>
      <c r="F1308" t="s">
        <v>25</v>
      </c>
      <c r="G1308" t="s">
        <v>1456</v>
      </c>
      <c r="H1308">
        <v>8772</v>
      </c>
      <c r="I1308" t="s">
        <v>2662</v>
      </c>
      <c r="J1308" t="s">
        <v>2663</v>
      </c>
      <c r="K1308" t="s">
        <v>17</v>
      </c>
      <c r="L1308" t="str">
        <f t="shared" si="20"/>
        <v xml:space="preserve">{ longitude: -63.4190273443319, latitude: 44.7252553629323, stopType: 'Bus Stop Inaccessible', gotime: \'8772\', location: \'UPPER PARTRIDGE RIVER RD &lt;AT&gt; CIVIC 52\' }, </v>
      </c>
    </row>
    <row r="1309" spans="1:12" x14ac:dyDescent="0.25">
      <c r="A1309">
        <v>-63.465023683610099</v>
      </c>
      <c r="B1309">
        <v>44.7461223154679</v>
      </c>
      <c r="C1309">
        <v>267</v>
      </c>
      <c r="D1309" t="s">
        <v>103</v>
      </c>
      <c r="E1309" t="s">
        <v>12</v>
      </c>
      <c r="F1309" t="s">
        <v>25</v>
      </c>
      <c r="G1309" t="s">
        <v>65</v>
      </c>
      <c r="H1309">
        <v>8281</v>
      </c>
      <c r="I1309" t="s">
        <v>2664</v>
      </c>
      <c r="J1309" t="s">
        <v>2665</v>
      </c>
      <c r="K1309" t="s">
        <v>17</v>
      </c>
      <c r="L1309" t="str">
        <f t="shared" si="20"/>
        <v xml:space="preserve">{ longitude: -63.4650236836101, latitude: 44.7461223154679, stopType: 'Bus Stop Inaccessible', gotime: \'8281\', location: \'SIMMONDS RD NS NORTH PRESTON RD\' }, </v>
      </c>
    </row>
    <row r="1310" spans="1:12" x14ac:dyDescent="0.25">
      <c r="A1310">
        <v>-63.416334397802302</v>
      </c>
      <c r="B1310">
        <v>44.722227151993501</v>
      </c>
      <c r="C1310">
        <v>1532</v>
      </c>
      <c r="D1310" t="s">
        <v>103</v>
      </c>
      <c r="E1310" t="s">
        <v>12</v>
      </c>
      <c r="F1310" t="s">
        <v>25</v>
      </c>
      <c r="G1310" t="s">
        <v>1456</v>
      </c>
      <c r="H1310">
        <v>8773</v>
      </c>
      <c r="I1310" t="s">
        <v>2666</v>
      </c>
      <c r="J1310" t="s">
        <v>2667</v>
      </c>
      <c r="K1310" t="s">
        <v>17</v>
      </c>
      <c r="L1310" t="str">
        <f t="shared" si="20"/>
        <v xml:space="preserve">{ longitude: -63.4163343978023, latitude: 44.7222271519935, stopType: 'Bus Stop Inaccessible', gotime: \'8773\', location: \'HWY 7 &lt;FS&gt; LOWER PARTRIDGE RIVER RD\' }, </v>
      </c>
    </row>
    <row r="1311" spans="1:12" x14ac:dyDescent="0.25">
      <c r="A1311">
        <v>-63.467430227159802</v>
      </c>
      <c r="B1311">
        <v>44.745721119176501</v>
      </c>
      <c r="C1311">
        <v>268</v>
      </c>
      <c r="D1311" t="s">
        <v>22</v>
      </c>
      <c r="E1311" t="s">
        <v>12</v>
      </c>
      <c r="F1311" t="s">
        <v>25</v>
      </c>
      <c r="G1311" t="s">
        <v>19</v>
      </c>
      <c r="H1311">
        <v>8282</v>
      </c>
      <c r="I1311" t="s">
        <v>2668</v>
      </c>
      <c r="J1311" t="s">
        <v>2669</v>
      </c>
      <c r="K1311" t="s">
        <v>17</v>
      </c>
      <c r="L1311" t="str">
        <f t="shared" si="20"/>
        <v xml:space="preserve">{ longitude: -63.4674302271598, latitude: 44.7457211191765, stopType: 'Bus Stop Shelter Accessible', gotime: \'8282\', location: \'SIMMONDS RD AT REC CENTER\' }, </v>
      </c>
    </row>
    <row r="1312" spans="1:12" x14ac:dyDescent="0.25">
      <c r="A1312">
        <v>-63.406234884832301</v>
      </c>
      <c r="B1312">
        <v>44.720702167139599</v>
      </c>
      <c r="C1312">
        <v>1533</v>
      </c>
      <c r="D1312" t="s">
        <v>103</v>
      </c>
      <c r="E1312" t="s">
        <v>12</v>
      </c>
      <c r="F1312" t="s">
        <v>25</v>
      </c>
      <c r="G1312" t="s">
        <v>1456</v>
      </c>
      <c r="H1312">
        <v>8774</v>
      </c>
      <c r="I1312" t="s">
        <v>2670</v>
      </c>
      <c r="J1312" t="s">
        <v>2671</v>
      </c>
      <c r="K1312" t="s">
        <v>17</v>
      </c>
      <c r="L1312" t="str">
        <f t="shared" si="20"/>
        <v xml:space="preserve">{ longitude: -63.4062348848323, latitude: 44.7207021671396, stopType: 'Bus Stop Inaccessible', gotime: \'8774\', location: \'HWY 7 &lt;OP&gt; CIVIC 2559\' }, </v>
      </c>
    </row>
    <row r="1313" spans="1:12" x14ac:dyDescent="0.25">
      <c r="A1313">
        <v>-63.621631401510399</v>
      </c>
      <c r="B1313">
        <v>44.6458007088589</v>
      </c>
      <c r="C1313">
        <v>269</v>
      </c>
      <c r="D1313" t="s">
        <v>29</v>
      </c>
      <c r="E1313" t="s">
        <v>12</v>
      </c>
      <c r="F1313" t="s">
        <v>25</v>
      </c>
      <c r="G1313" t="s">
        <v>19</v>
      </c>
      <c r="H1313">
        <v>8283</v>
      </c>
      <c r="I1313" t="s">
        <v>2672</v>
      </c>
      <c r="J1313" t="s">
        <v>2673</v>
      </c>
      <c r="K1313" t="s">
        <v>17</v>
      </c>
      <c r="L1313" t="str">
        <f t="shared" si="20"/>
        <v xml:space="preserve">{ longitude: -63.6216314015104, latitude: 44.6458007088589, stopType: 'Bus Stop Accessible', gotime: \'8283\', location: \'SIMPSONS LANE AT WALMART\' }, </v>
      </c>
    </row>
    <row r="1314" spans="1:12" x14ac:dyDescent="0.25">
      <c r="A1314">
        <v>-63.4006846985518</v>
      </c>
      <c r="B1314">
        <v>44.721725100977203</v>
      </c>
      <c r="C1314">
        <v>1534</v>
      </c>
      <c r="D1314" t="s">
        <v>103</v>
      </c>
      <c r="E1314" t="s">
        <v>12</v>
      </c>
      <c r="F1314" t="s">
        <v>25</v>
      </c>
      <c r="G1314" t="s">
        <v>1456</v>
      </c>
      <c r="H1314">
        <v>8775</v>
      </c>
      <c r="I1314" t="s">
        <v>2674</v>
      </c>
      <c r="J1314" t="s">
        <v>2675</v>
      </c>
      <c r="K1314" t="s">
        <v>17</v>
      </c>
      <c r="L1314" t="str">
        <f t="shared" si="20"/>
        <v xml:space="preserve">{ longitude: -63.4006846985518, latitude: 44.7217251009772, stopType: 'Bus Stop Inaccessible', gotime: \'8775\', location: \'HWY 7 &lt;NS&gt; MINEVILLE RD\' }, </v>
      </c>
    </row>
    <row r="1315" spans="1:12" x14ac:dyDescent="0.25">
      <c r="A1315">
        <v>-63.558582864796101</v>
      </c>
      <c r="B1315">
        <v>44.674799554389402</v>
      </c>
      <c r="C1315">
        <v>270</v>
      </c>
      <c r="D1315" t="s">
        <v>11</v>
      </c>
      <c r="E1315" t="s">
        <v>12</v>
      </c>
      <c r="F1315" t="s">
        <v>25</v>
      </c>
      <c r="G1315" t="s">
        <v>26</v>
      </c>
      <c r="H1315">
        <v>8284</v>
      </c>
      <c r="I1315" t="s">
        <v>2676</v>
      </c>
      <c r="J1315" t="s">
        <v>2677</v>
      </c>
      <c r="K1315" t="s">
        <v>17</v>
      </c>
      <c r="L1315" t="str">
        <f t="shared" si="20"/>
        <v xml:space="preserve">{ longitude: -63.5585828647961, latitude: 44.6747995543894, stopType: 'Bus Stop Non-Standard', gotime: \'8284\', location: \'SINCLAIR ST FS HIGHWOOD &lt;NB&gt;\' }, </v>
      </c>
    </row>
    <row r="1316" spans="1:12" x14ac:dyDescent="0.25">
      <c r="A1316">
        <v>-63.393614400969497</v>
      </c>
      <c r="B1316">
        <v>44.730106000619003</v>
      </c>
      <c r="C1316">
        <v>1535</v>
      </c>
      <c r="D1316" t="s">
        <v>103</v>
      </c>
      <c r="E1316" t="s">
        <v>12</v>
      </c>
      <c r="F1316" t="s">
        <v>25</v>
      </c>
      <c r="G1316" t="s">
        <v>1456</v>
      </c>
      <c r="H1316">
        <v>8776</v>
      </c>
      <c r="I1316" t="s">
        <v>2678</v>
      </c>
      <c r="J1316" t="s">
        <v>2679</v>
      </c>
      <c r="K1316" t="s">
        <v>17</v>
      </c>
      <c r="L1316" t="str">
        <f t="shared" si="20"/>
        <v xml:space="preserve">{ longitude: -63.3936144009695, latitude: 44.730106000619, stopType: 'Bus Stop Inaccessible', gotime: \'8776\', location: \'HWY 7 &lt;FS&gt; ARBOR HILL\' }, </v>
      </c>
    </row>
    <row r="1317" spans="1:12" x14ac:dyDescent="0.25">
      <c r="A1317">
        <v>-63.555465561647203</v>
      </c>
      <c r="B1317">
        <v>44.678022714801898</v>
      </c>
      <c r="C1317">
        <v>271</v>
      </c>
      <c r="D1317" t="s">
        <v>11</v>
      </c>
      <c r="E1317" t="s">
        <v>12</v>
      </c>
      <c r="F1317" t="s">
        <v>25</v>
      </c>
      <c r="G1317" t="s">
        <v>26</v>
      </c>
      <c r="H1317">
        <v>8285</v>
      </c>
      <c r="I1317" t="s">
        <v>2680</v>
      </c>
      <c r="J1317" t="s">
        <v>2681</v>
      </c>
      <c r="K1317" t="s">
        <v>17</v>
      </c>
      <c r="L1317" t="str">
        <f t="shared" si="20"/>
        <v xml:space="preserve">{ longitude: -63.5554655616472, latitude: 44.6780227148019, stopType: 'Bus Stop Non-Standard', gotime: \'8285\', location: \'SINCLAIR ST FS PRINCE ALBERT RD\' }, </v>
      </c>
    </row>
    <row r="1318" spans="1:12" x14ac:dyDescent="0.25">
      <c r="A1318">
        <v>-63.390941625722498</v>
      </c>
      <c r="B1318">
        <v>44.734196946677997</v>
      </c>
      <c r="C1318">
        <v>1536</v>
      </c>
      <c r="D1318" t="s">
        <v>103</v>
      </c>
      <c r="E1318" t="s">
        <v>12</v>
      </c>
      <c r="F1318" t="s">
        <v>25</v>
      </c>
      <c r="G1318" t="s">
        <v>1456</v>
      </c>
      <c r="H1318">
        <v>8777</v>
      </c>
      <c r="I1318" t="s">
        <v>2682</v>
      </c>
      <c r="J1318" t="s">
        <v>2683</v>
      </c>
      <c r="K1318" t="s">
        <v>17</v>
      </c>
      <c r="L1318" t="str">
        <f t="shared" si="20"/>
        <v xml:space="preserve">{ longitude: -63.3909416257225, latitude: 44.734196946678, stopType: 'Bus Stop Inaccessible', gotime: \'8777\', location: \'HWY 7 &lt;FS&gt; ROBINA DR\' }, </v>
      </c>
    </row>
    <row r="1319" spans="1:12" x14ac:dyDescent="0.25">
      <c r="A1319">
        <v>-63.558836109255502</v>
      </c>
      <c r="B1319">
        <v>44.674738643665698</v>
      </c>
      <c r="C1319">
        <v>272</v>
      </c>
      <c r="D1319" t="s">
        <v>103</v>
      </c>
      <c r="E1319" t="s">
        <v>12</v>
      </c>
      <c r="F1319" t="s">
        <v>25</v>
      </c>
      <c r="G1319" t="s">
        <v>65</v>
      </c>
      <c r="H1319">
        <v>8286</v>
      </c>
      <c r="I1319" t="s">
        <v>2684</v>
      </c>
      <c r="J1319" t="s">
        <v>2685</v>
      </c>
      <c r="K1319" t="s">
        <v>17</v>
      </c>
      <c r="L1319" t="str">
        <f t="shared" si="20"/>
        <v xml:space="preserve">{ longitude: -63.5588361092555, latitude: 44.6747386436657, stopType: 'Bus Stop Inaccessible', gotime: \'8286\', location: \'SINCLAIR ST &lt;WB&gt; OPP HIGHWOOD\' }, </v>
      </c>
    </row>
    <row r="1320" spans="1:12" x14ac:dyDescent="0.25">
      <c r="A1320">
        <v>-63.388224146230399</v>
      </c>
      <c r="B1320">
        <v>44.736545726677797</v>
      </c>
      <c r="C1320">
        <v>1537</v>
      </c>
      <c r="D1320" t="s">
        <v>103</v>
      </c>
      <c r="E1320" t="s">
        <v>12</v>
      </c>
      <c r="F1320" t="s">
        <v>25</v>
      </c>
      <c r="G1320" t="s">
        <v>1456</v>
      </c>
      <c r="H1320">
        <v>8778</v>
      </c>
      <c r="I1320" t="s">
        <v>2686</v>
      </c>
      <c r="J1320" t="s">
        <v>2687</v>
      </c>
      <c r="K1320" t="s">
        <v>17</v>
      </c>
      <c r="L1320" t="str">
        <f t="shared" si="20"/>
        <v xml:space="preserve">{ longitude: -63.3882241462304, latitude: 44.7365457266778, stopType: 'Bus Stop Inaccessible', gotime: \'8778\', location: \'HWY 7 &lt;FS&gt; CIVIC 3102\' }, </v>
      </c>
    </row>
    <row r="1321" spans="1:12" x14ac:dyDescent="0.25">
      <c r="A1321">
        <v>-63.542830943647701</v>
      </c>
      <c r="B1321">
        <v>44.676999543850201</v>
      </c>
      <c r="C1321">
        <v>273</v>
      </c>
      <c r="D1321" t="s">
        <v>11</v>
      </c>
      <c r="E1321" t="s">
        <v>12</v>
      </c>
      <c r="F1321" t="s">
        <v>25</v>
      </c>
      <c r="G1321" t="s">
        <v>26</v>
      </c>
      <c r="H1321">
        <v>8287</v>
      </c>
      <c r="I1321" t="s">
        <v>2688</v>
      </c>
      <c r="J1321" t="s">
        <v>2689</v>
      </c>
      <c r="K1321" t="s">
        <v>17</v>
      </c>
      <c r="L1321" t="str">
        <f t="shared" si="20"/>
        <v xml:space="preserve">{ longitude: -63.5428309436477, latitude: 44.6769995438502, stopType: 'Bus Stop Non-Standard', gotime: \'8287\', location: \'SOMERSET FS CIVIC 4A\' }, </v>
      </c>
    </row>
    <row r="1322" spans="1:12" x14ac:dyDescent="0.25">
      <c r="A1322">
        <v>-63.386273368055399</v>
      </c>
      <c r="B1322">
        <v>44.739536865741897</v>
      </c>
      <c r="C1322">
        <v>1538</v>
      </c>
      <c r="D1322" t="s">
        <v>103</v>
      </c>
      <c r="E1322" t="s">
        <v>12</v>
      </c>
      <c r="F1322" t="s">
        <v>25</v>
      </c>
      <c r="G1322" t="s">
        <v>1456</v>
      </c>
      <c r="H1322">
        <v>8779</v>
      </c>
      <c r="I1322" t="s">
        <v>2690</v>
      </c>
      <c r="J1322" t="s">
        <v>2691</v>
      </c>
      <c r="K1322" t="s">
        <v>17</v>
      </c>
      <c r="L1322" t="str">
        <f t="shared" si="20"/>
        <v xml:space="preserve">{ longitude: -63.3862733680554, latitude: 44.7395368657419, stopType: 'Bus Stop Inaccessible', gotime: \'8779\', location: \'HWY 7 &lt;FS&gt; LAKE ECHO COMMUNITY CENTRE\' }, </v>
      </c>
    </row>
    <row r="1323" spans="1:12" x14ac:dyDescent="0.25">
      <c r="A1323">
        <v>-63.545071979397299</v>
      </c>
      <c r="B1323">
        <v>44.674948368405701</v>
      </c>
      <c r="C1323">
        <v>274</v>
      </c>
      <c r="D1323" t="s">
        <v>11</v>
      </c>
      <c r="E1323" t="s">
        <v>12</v>
      </c>
      <c r="F1323" t="s">
        <v>25</v>
      </c>
      <c r="G1323" t="s">
        <v>26</v>
      </c>
      <c r="H1323">
        <v>8288</v>
      </c>
      <c r="I1323" t="s">
        <v>2692</v>
      </c>
      <c r="J1323" t="s">
        <v>2693</v>
      </c>
      <c r="K1323" t="s">
        <v>17</v>
      </c>
      <c r="L1323" t="str">
        <f t="shared" si="20"/>
        <v xml:space="preserve">{ longitude: -63.5450719793973, latitude: 44.6749483684057, stopType: 'Bus Stop Non-Standard', gotime: \'8288\', location: \'SOMERSET FS GLENWOOD\' }, </v>
      </c>
    </row>
    <row r="1324" spans="1:12" x14ac:dyDescent="0.25">
      <c r="A1324">
        <v>-63.3815776339476</v>
      </c>
      <c r="B1324">
        <v>44.738926076664598</v>
      </c>
      <c r="C1324">
        <v>1539</v>
      </c>
      <c r="D1324" t="s">
        <v>103</v>
      </c>
      <c r="E1324" t="s">
        <v>12</v>
      </c>
      <c r="F1324" t="s">
        <v>25</v>
      </c>
      <c r="G1324" t="s">
        <v>1456</v>
      </c>
      <c r="H1324">
        <v>8780</v>
      </c>
      <c r="I1324" t="s">
        <v>2694</v>
      </c>
      <c r="J1324" t="s">
        <v>2695</v>
      </c>
      <c r="K1324" t="s">
        <v>17</v>
      </c>
      <c r="L1324" t="str">
        <f t="shared" si="20"/>
        <v xml:space="preserve">{ longitude: -63.3815776339476, latitude: 44.7389260766646, stopType: 'Bus Stop Inaccessible', gotime: \'8780\', location: \'HWY 7 &lt;OP&gt; ST ANNES CHURCH\' }, </v>
      </c>
    </row>
    <row r="1325" spans="1:12" x14ac:dyDescent="0.25">
      <c r="A1325">
        <v>-63.544896309191401</v>
      </c>
      <c r="B1325">
        <v>44.674892900959897</v>
      </c>
      <c r="C1325">
        <v>275</v>
      </c>
      <c r="D1325" t="s">
        <v>11</v>
      </c>
      <c r="E1325" t="s">
        <v>12</v>
      </c>
      <c r="F1325" t="s">
        <v>25</v>
      </c>
      <c r="G1325" t="s">
        <v>26</v>
      </c>
      <c r="H1325">
        <v>8289</v>
      </c>
      <c r="I1325" t="s">
        <v>2696</v>
      </c>
      <c r="J1325" t="s">
        <v>2697</v>
      </c>
      <c r="K1325" t="s">
        <v>17</v>
      </c>
      <c r="L1325" t="str">
        <f t="shared" si="20"/>
        <v xml:space="preserve">{ longitude: -63.5448963091914, latitude: 44.6748929009599, stopType: 'Bus Stop Non-Standard', gotime: \'8289\', location: \'SOMERSET NS GLENWOOD\' }, </v>
      </c>
    </row>
    <row r="1326" spans="1:12" x14ac:dyDescent="0.25">
      <c r="A1326">
        <v>-63.377058488756703</v>
      </c>
      <c r="B1326">
        <v>44.7372327755523</v>
      </c>
      <c r="C1326">
        <v>1540</v>
      </c>
      <c r="D1326" t="s">
        <v>103</v>
      </c>
      <c r="E1326" t="s">
        <v>12</v>
      </c>
      <c r="F1326" t="s">
        <v>25</v>
      </c>
      <c r="G1326" t="s">
        <v>1456</v>
      </c>
      <c r="H1326">
        <v>8781</v>
      </c>
      <c r="I1326" t="s">
        <v>2698</v>
      </c>
      <c r="J1326" t="s">
        <v>2699</v>
      </c>
      <c r="K1326" t="s">
        <v>17</v>
      </c>
      <c r="L1326" t="str">
        <f t="shared" si="20"/>
        <v xml:space="preserve">{ longitude: -63.3770584887567, latitude: 44.7372327755523, stopType: 'Bus Stop Inaccessible', gotime: \'8781\', location: \'HWY 7 &lt;AT&gt; CIVIC 3372\' }, </v>
      </c>
    </row>
    <row r="1327" spans="1:12" x14ac:dyDescent="0.25">
      <c r="A1327">
        <v>-63.346823186499499</v>
      </c>
      <c r="B1327">
        <v>44.739836856087102</v>
      </c>
      <c r="C1327">
        <v>1541</v>
      </c>
      <c r="D1327" t="s">
        <v>103</v>
      </c>
      <c r="E1327" t="s">
        <v>12</v>
      </c>
      <c r="F1327" t="s">
        <v>25</v>
      </c>
      <c r="G1327" t="s">
        <v>1456</v>
      </c>
      <c r="I1327" t="s">
        <v>2700</v>
      </c>
      <c r="J1327" t="s">
        <v>2701</v>
      </c>
      <c r="K1327" t="s">
        <v>17</v>
      </c>
      <c r="L1327" t="str">
        <f t="shared" si="20"/>
        <v xml:space="preserve">{ longitude: -63.3468231864995, latitude: 44.7398368560871, stopType: 'Bus Stop Inaccessible', gotime: \'\', location: \'HWY 7 &lt;OP&gt; PARKER LANE\' }, </v>
      </c>
    </row>
    <row r="1328" spans="1:12" x14ac:dyDescent="0.25">
      <c r="A1328">
        <v>-63.542656280370899</v>
      </c>
      <c r="B1328">
        <v>44.6768980028287</v>
      </c>
      <c r="C1328">
        <v>276</v>
      </c>
      <c r="D1328" t="s">
        <v>18</v>
      </c>
      <c r="E1328" t="s">
        <v>12</v>
      </c>
      <c r="F1328" t="s">
        <v>13</v>
      </c>
      <c r="G1328" t="s">
        <v>14</v>
      </c>
      <c r="H1328">
        <v>8290</v>
      </c>
      <c r="I1328" t="s">
        <v>2702</v>
      </c>
      <c r="J1328" t="s">
        <v>2703</v>
      </c>
      <c r="K1328" t="s">
        <v>17</v>
      </c>
      <c r="L1328" t="str">
        <f t="shared" si="20"/>
        <v xml:space="preserve">{ longitude: -63.5426562803709, latitude: 44.6768980028287, stopType: 'Bus Stop Shelter Non-Standard', gotime: \'8290\', location: \'SOMERSET OPP CIVIC 4A\' }, </v>
      </c>
    </row>
    <row r="1329" spans="1:12" x14ac:dyDescent="0.25">
      <c r="A1329">
        <v>-63.591277910803399</v>
      </c>
      <c r="B1329">
        <v>44.6349870300932</v>
      </c>
      <c r="C1329">
        <v>277</v>
      </c>
      <c r="D1329" t="s">
        <v>29</v>
      </c>
      <c r="E1329" t="s">
        <v>12</v>
      </c>
      <c r="F1329" t="s">
        <v>13</v>
      </c>
      <c r="G1329" t="s">
        <v>19</v>
      </c>
      <c r="H1329">
        <v>8291</v>
      </c>
      <c r="I1329" t="s">
        <v>2704</v>
      </c>
      <c r="J1329" t="s">
        <v>2705</v>
      </c>
      <c r="K1329" t="s">
        <v>17</v>
      </c>
      <c r="L1329" t="str">
        <f t="shared" si="20"/>
        <v xml:space="preserve">{ longitude: -63.5912779108034, latitude: 44.6349870300932, stopType: 'Bus Stop Accessible', gotime: \'8291\', location: \'SOUTH ST FS DALPLEX &lt;EB&gt;\' }, </v>
      </c>
    </row>
    <row r="1330" spans="1:12" x14ac:dyDescent="0.25">
      <c r="A1330">
        <v>-63.324776084437197</v>
      </c>
      <c r="B1330">
        <v>44.740516922351098</v>
      </c>
      <c r="C1330">
        <v>1542</v>
      </c>
      <c r="D1330" t="s">
        <v>103</v>
      </c>
      <c r="E1330" t="s">
        <v>12</v>
      </c>
      <c r="F1330" t="s">
        <v>25</v>
      </c>
      <c r="G1330" t="s">
        <v>1456</v>
      </c>
      <c r="H1330">
        <v>8782</v>
      </c>
      <c r="I1330" t="s">
        <v>2706</v>
      </c>
      <c r="J1330" t="s">
        <v>2707</v>
      </c>
      <c r="K1330" t="s">
        <v>17</v>
      </c>
      <c r="L1330" t="str">
        <f t="shared" si="20"/>
        <v xml:space="preserve">{ longitude: -63.3247760844372, latitude: 44.7405169223511, stopType: 'Bus Stop Inaccessible', gotime: \'8782\', location: \'HWY 7 &lt;AT&gt; CIVIC 4296\' }, </v>
      </c>
    </row>
    <row r="1331" spans="1:12" x14ac:dyDescent="0.25">
      <c r="A1331">
        <v>-63.574317764188102</v>
      </c>
      <c r="B1331">
        <v>44.639041656202998</v>
      </c>
      <c r="C1331">
        <v>278</v>
      </c>
      <c r="D1331" t="s">
        <v>22</v>
      </c>
      <c r="E1331" t="s">
        <v>12</v>
      </c>
      <c r="F1331" t="s">
        <v>13</v>
      </c>
      <c r="G1331" t="s">
        <v>19</v>
      </c>
      <c r="H1331">
        <v>8292</v>
      </c>
      <c r="I1331" t="s">
        <v>2708</v>
      </c>
      <c r="J1331" t="s">
        <v>2709</v>
      </c>
      <c r="K1331" t="s">
        <v>17</v>
      </c>
      <c r="L1331" t="str">
        <f t="shared" si="20"/>
        <v xml:space="preserve">{ longitude: -63.5743177641881, latitude: 44.639041656203, stopType: 'Bus Stop Shelter Accessible', gotime: \'8292\', location: \'SOUTH ST FS QUEEN ST &lt;WB&gt;\' }, </v>
      </c>
    </row>
    <row r="1332" spans="1:12" x14ac:dyDescent="0.25">
      <c r="A1332">
        <v>-63.319603182524702</v>
      </c>
      <c r="B1332">
        <v>44.739832561843301</v>
      </c>
      <c r="C1332">
        <v>1543</v>
      </c>
      <c r="D1332" t="s">
        <v>103</v>
      </c>
      <c r="E1332" t="s">
        <v>12</v>
      </c>
      <c r="F1332" t="s">
        <v>25</v>
      </c>
      <c r="G1332" t="s">
        <v>1456</v>
      </c>
      <c r="H1332">
        <v>8783</v>
      </c>
      <c r="I1332" t="s">
        <v>1768</v>
      </c>
      <c r="J1332" t="s">
        <v>2710</v>
      </c>
      <c r="K1332" t="s">
        <v>17</v>
      </c>
      <c r="L1332" t="str">
        <f t="shared" si="20"/>
        <v xml:space="preserve">{ longitude: -63.3196031825247, latitude: 44.7398325618433, stopType: 'Bus Stop Inaccessible', gotime: \'8783\', location: \'HWY 7 &lt;AT&gt; CIVIC 4396\' }, </v>
      </c>
    </row>
    <row r="1333" spans="1:12" x14ac:dyDescent="0.25">
      <c r="A1333">
        <v>-63.571618084274</v>
      </c>
      <c r="B1333">
        <v>44.639604727305297</v>
      </c>
      <c r="C1333">
        <v>279</v>
      </c>
      <c r="D1333" t="s">
        <v>29</v>
      </c>
      <c r="E1333" t="s">
        <v>12</v>
      </c>
      <c r="F1333" t="s">
        <v>13</v>
      </c>
      <c r="G1333" t="s">
        <v>19</v>
      </c>
      <c r="H1333">
        <v>8293</v>
      </c>
      <c r="I1333" t="s">
        <v>2711</v>
      </c>
      <c r="J1333" t="s">
        <v>2712</v>
      </c>
      <c r="K1333" t="s">
        <v>17</v>
      </c>
      <c r="L1333" t="str">
        <f t="shared" si="20"/>
        <v xml:space="preserve">{ longitude: -63.571618084274, latitude: 44.6396047273053, stopType: 'Bus Stop Accessible', gotime: \'8293\', location: \'SOUTH ST AT CIVIC 5244 &lt;EB&gt;\' }, </v>
      </c>
    </row>
    <row r="1334" spans="1:12" x14ac:dyDescent="0.25">
      <c r="A1334">
        <v>-63.310270485216698</v>
      </c>
      <c r="B1334">
        <v>44.737545045848698</v>
      </c>
      <c r="C1334">
        <v>1544</v>
      </c>
      <c r="D1334" t="s">
        <v>103</v>
      </c>
      <c r="E1334" t="s">
        <v>12</v>
      </c>
      <c r="F1334" t="s">
        <v>25</v>
      </c>
      <c r="G1334" t="s">
        <v>1456</v>
      </c>
      <c r="H1334">
        <v>8784</v>
      </c>
      <c r="I1334" t="s">
        <v>2713</v>
      </c>
      <c r="J1334" t="s">
        <v>2714</v>
      </c>
      <c r="K1334" t="s">
        <v>17</v>
      </c>
      <c r="L1334" t="str">
        <f t="shared" si="20"/>
        <v xml:space="preserve">{ longitude: -63.3102704852167, latitude: 44.7375450458487, stopType: 'Bus Stop Inaccessible', gotime: \'8784\', location: \'HWY 7 &lt;AT&gt; CIVIC 4560\' }, </v>
      </c>
    </row>
    <row r="1335" spans="1:12" x14ac:dyDescent="0.25">
      <c r="A1335">
        <v>-63.572685093945999</v>
      </c>
      <c r="B1335">
        <v>44.639456170238802</v>
      </c>
      <c r="C1335">
        <v>280</v>
      </c>
      <c r="D1335" t="s">
        <v>29</v>
      </c>
      <c r="E1335" t="s">
        <v>12</v>
      </c>
      <c r="F1335" t="s">
        <v>13</v>
      </c>
      <c r="G1335" t="s">
        <v>19</v>
      </c>
      <c r="H1335">
        <v>8294</v>
      </c>
      <c r="I1335" t="s">
        <v>2715</v>
      </c>
      <c r="J1335" t="s">
        <v>2716</v>
      </c>
      <c r="K1335" t="s">
        <v>17</v>
      </c>
      <c r="L1335" t="str">
        <f t="shared" si="20"/>
        <v xml:space="preserve">{ longitude: -63.572685093946, latitude: 44.6394561702388, stopType: 'Bus Stop Accessible', gotime: \'8294\', location: \'SOUTH ST AT CIVIC 5283 &lt;WB&gt;\' }, </v>
      </c>
    </row>
    <row r="1336" spans="1:12" x14ac:dyDescent="0.25">
      <c r="A1336">
        <v>-63.305157520191003</v>
      </c>
      <c r="B1336">
        <v>44.738805479100797</v>
      </c>
      <c r="C1336">
        <v>1545</v>
      </c>
      <c r="D1336" t="s">
        <v>103</v>
      </c>
      <c r="E1336" t="s">
        <v>12</v>
      </c>
      <c r="F1336" t="s">
        <v>25</v>
      </c>
      <c r="G1336" t="s">
        <v>1456</v>
      </c>
      <c r="H1336">
        <v>8785</v>
      </c>
      <c r="I1336" t="s">
        <v>2717</v>
      </c>
      <c r="J1336" t="s">
        <v>2718</v>
      </c>
      <c r="K1336" t="s">
        <v>17</v>
      </c>
      <c r="L1336" t="str">
        <f t="shared" si="20"/>
        <v xml:space="preserve">{ longitude: -63.305157520191, latitude: 44.7388054791008, stopType: 'Bus Stop Inaccessible', gotime: \'8785\', location: \'HWY 7 &lt;FS&gt; THIS ST\' }, </v>
      </c>
    </row>
    <row r="1337" spans="1:12" x14ac:dyDescent="0.25">
      <c r="A1337">
        <v>-63.621846242929799</v>
      </c>
      <c r="B1337">
        <v>44.661972773949799</v>
      </c>
      <c r="C1337">
        <v>1546</v>
      </c>
      <c r="D1337" t="s">
        <v>29</v>
      </c>
      <c r="E1337" t="s">
        <v>12</v>
      </c>
      <c r="F1337" t="s">
        <v>13</v>
      </c>
      <c r="G1337" t="s">
        <v>14</v>
      </c>
      <c r="H1337">
        <v>8563</v>
      </c>
      <c r="I1337" t="s">
        <v>2719</v>
      </c>
      <c r="J1337" t="s">
        <v>2720</v>
      </c>
      <c r="K1337" t="s">
        <v>17</v>
      </c>
      <c r="L1337" t="str">
        <f t="shared" si="20"/>
        <v xml:space="preserve">{ longitude: -63.6218462429298, latitude: 44.6619727739498, stopType: 'Bus Stop Accessible', gotime: \'8563\', location: \'WINDSOR ST  NS KEMPT RD RD\' }, </v>
      </c>
    </row>
    <row r="1338" spans="1:12" x14ac:dyDescent="0.25">
      <c r="A1338">
        <v>-63.576120790093498</v>
      </c>
      <c r="B1338">
        <v>44.667633565328003</v>
      </c>
      <c r="C1338">
        <v>281</v>
      </c>
      <c r="D1338" t="s">
        <v>11</v>
      </c>
      <c r="E1338" t="s">
        <v>12</v>
      </c>
      <c r="F1338" t="s">
        <v>25</v>
      </c>
      <c r="G1338" t="s">
        <v>2559</v>
      </c>
      <c r="H1338">
        <v>7128</v>
      </c>
      <c r="I1338" t="s">
        <v>2721</v>
      </c>
      <c r="J1338" t="s">
        <v>2722</v>
      </c>
      <c r="K1338" t="s">
        <v>17</v>
      </c>
      <c r="L1338" t="str">
        <f t="shared" si="20"/>
        <v xml:space="preserve">{ longitude: -63.5761207900935, latitude: 44.667633565328, stopType: 'Bus Stop Non-Standard', gotime: \'7128\', location: \'WINDMILL RD &lt;OP&gt; HARE LN\' }, </v>
      </c>
    </row>
    <row r="1339" spans="1:12" x14ac:dyDescent="0.25">
      <c r="A1339">
        <v>-63.300729586624101</v>
      </c>
      <c r="B1339">
        <v>44.742908222967202</v>
      </c>
      <c r="C1339">
        <v>1547</v>
      </c>
      <c r="D1339" t="s">
        <v>103</v>
      </c>
      <c r="E1339" t="s">
        <v>12</v>
      </c>
      <c r="F1339" t="s">
        <v>25</v>
      </c>
      <c r="G1339" t="s">
        <v>1456</v>
      </c>
      <c r="H1339">
        <v>8786</v>
      </c>
      <c r="I1339" t="s">
        <v>2723</v>
      </c>
      <c r="J1339" t="s">
        <v>2724</v>
      </c>
      <c r="K1339" t="s">
        <v>17</v>
      </c>
      <c r="L1339" t="str">
        <f t="shared" si="20"/>
        <v xml:space="preserve">{ longitude: -63.3007295866241, latitude: 44.7429082229672, stopType: 'Bus Stop Inaccessible', gotime: \'8786\', location: \'HWY 7 &lt;OP&gt; CIVIC 4779\' }, </v>
      </c>
    </row>
    <row r="1340" spans="1:12" x14ac:dyDescent="0.25">
      <c r="A1340">
        <v>-63.578701353992003</v>
      </c>
      <c r="B1340">
        <v>44.667697521708902</v>
      </c>
      <c r="C1340">
        <v>282</v>
      </c>
      <c r="D1340" t="s">
        <v>11</v>
      </c>
      <c r="E1340" t="s">
        <v>12</v>
      </c>
      <c r="F1340" t="s">
        <v>25</v>
      </c>
      <c r="G1340" t="s">
        <v>2559</v>
      </c>
      <c r="H1340">
        <v>7219</v>
      </c>
      <c r="I1340" t="s">
        <v>2725</v>
      </c>
      <c r="J1340" t="s">
        <v>2726</v>
      </c>
      <c r="K1340" t="s">
        <v>17</v>
      </c>
      <c r="L1340" t="str">
        <f t="shared" si="20"/>
        <v xml:space="preserve">{ longitude: -63.578701353992, latitude: 44.6676975217089, stopType: 'Bus Stop Non-Standard', gotime: \'7219\', location: \'WINDMILL RD &lt;NB&gt; &lt;FS&gt; MOTT ST\' }, </v>
      </c>
    </row>
    <row r="1341" spans="1:12" x14ac:dyDescent="0.25">
      <c r="A1341">
        <v>-63.299878767254498</v>
      </c>
      <c r="B1341">
        <v>44.7472925093847</v>
      </c>
      <c r="C1341">
        <v>1548</v>
      </c>
      <c r="D1341" t="s">
        <v>103</v>
      </c>
      <c r="E1341" t="s">
        <v>12</v>
      </c>
      <c r="F1341" t="s">
        <v>25</v>
      </c>
      <c r="G1341" t="s">
        <v>1456</v>
      </c>
      <c r="H1341">
        <v>8787</v>
      </c>
      <c r="I1341" t="s">
        <v>2727</v>
      </c>
      <c r="J1341" t="s">
        <v>2728</v>
      </c>
      <c r="K1341" t="s">
        <v>17</v>
      </c>
      <c r="L1341" t="str">
        <f t="shared" si="20"/>
        <v xml:space="preserve">{ longitude: -63.2998787672545, latitude: 44.7472925093847, stopType: 'Bus Stop Inaccessible', gotime: \'8787\', location: \'HWY 7 &lt;OP&gt; COVE RD\' }, </v>
      </c>
    </row>
    <row r="1342" spans="1:12" x14ac:dyDescent="0.25">
      <c r="A1342">
        <v>-63.579479775568601</v>
      </c>
      <c r="B1342">
        <v>44.6674862765989</v>
      </c>
      <c r="C1342">
        <v>283</v>
      </c>
      <c r="D1342" t="s">
        <v>11</v>
      </c>
      <c r="E1342" t="s">
        <v>12</v>
      </c>
      <c r="F1342" t="s">
        <v>25</v>
      </c>
      <c r="G1342" t="s">
        <v>2559</v>
      </c>
      <c r="H1342">
        <v>8127</v>
      </c>
      <c r="I1342" t="s">
        <v>2729</v>
      </c>
      <c r="J1342" t="s">
        <v>2730</v>
      </c>
      <c r="K1342" t="s">
        <v>17</v>
      </c>
      <c r="L1342" t="str">
        <f t="shared" si="20"/>
        <v xml:space="preserve">{ longitude: -63.5794797755686, latitude: 44.6674862765989, stopType: 'Bus Stop Non-Standard', gotime: \'8127\', location: \'WINDMILL RD &lt;AT&gt; BEST ST\' }, </v>
      </c>
    </row>
    <row r="1343" spans="1:12" x14ac:dyDescent="0.25">
      <c r="A1343">
        <v>-63.292151656497701</v>
      </c>
      <c r="B1343">
        <v>44.746502644733802</v>
      </c>
      <c r="C1343">
        <v>1549</v>
      </c>
      <c r="D1343" t="s">
        <v>103</v>
      </c>
      <c r="E1343" t="s">
        <v>12</v>
      </c>
      <c r="F1343" t="s">
        <v>25</v>
      </c>
      <c r="G1343" t="s">
        <v>1456</v>
      </c>
      <c r="H1343">
        <v>8788</v>
      </c>
      <c r="I1343" t="s">
        <v>2731</v>
      </c>
      <c r="J1343" t="s">
        <v>2732</v>
      </c>
      <c r="K1343" t="s">
        <v>17</v>
      </c>
      <c r="L1343" t="str">
        <f t="shared" si="20"/>
        <v xml:space="preserve">{ longitude: -63.2921516564977, latitude: 44.7465026447338, stopType: 'Bus Stop Inaccessible', gotime: \'8788\', location: \'HWY 7 &lt;AT&gt; CIVIC 5072\' }, </v>
      </c>
    </row>
    <row r="1344" spans="1:12" x14ac:dyDescent="0.25">
      <c r="A1344">
        <v>-63.575879690564904</v>
      </c>
      <c r="B1344">
        <v>44.6673950746979</v>
      </c>
      <c r="C1344">
        <v>284</v>
      </c>
      <c r="D1344" t="s">
        <v>11</v>
      </c>
      <c r="E1344" t="s">
        <v>12</v>
      </c>
      <c r="F1344" t="s">
        <v>25</v>
      </c>
      <c r="G1344" t="s">
        <v>2559</v>
      </c>
      <c r="H1344">
        <v>7145</v>
      </c>
      <c r="I1344" t="s">
        <v>2733</v>
      </c>
      <c r="J1344" t="s">
        <v>2734</v>
      </c>
      <c r="K1344" t="s">
        <v>17</v>
      </c>
      <c r="L1344" t="str">
        <f t="shared" si="20"/>
        <v xml:space="preserve">{ longitude: -63.5758796905649, latitude: 44.6673950746979, stopType: 'Bus Stop Non-Standard', gotime: \'7145\', location: \'WINDMILL RD &lt;AT&gt; HARE LANE\' }, </v>
      </c>
    </row>
    <row r="1345" spans="1:12" x14ac:dyDescent="0.25">
      <c r="A1345">
        <v>-63.283149956861401</v>
      </c>
      <c r="B1345">
        <v>44.743966394264199</v>
      </c>
      <c r="C1345">
        <v>1550</v>
      </c>
      <c r="D1345" t="s">
        <v>103</v>
      </c>
      <c r="E1345" t="s">
        <v>12</v>
      </c>
      <c r="F1345" t="s">
        <v>25</v>
      </c>
      <c r="G1345" t="s">
        <v>1456</v>
      </c>
      <c r="H1345">
        <v>8789</v>
      </c>
      <c r="I1345" t="s">
        <v>2735</v>
      </c>
      <c r="J1345" t="s">
        <v>2736</v>
      </c>
      <c r="K1345" t="s">
        <v>17</v>
      </c>
      <c r="L1345" t="str">
        <f t="shared" si="20"/>
        <v xml:space="preserve">{ longitude: -63.2831499568614, latitude: 44.7439663942642, stopType: 'Bus Stop Inaccessible', gotime: \'8789\', location: \'LAKEVIEW SHOPPING CENTRE &lt;OB&gt;\' }, </v>
      </c>
    </row>
    <row r="1346" spans="1:12" x14ac:dyDescent="0.25">
      <c r="A1346">
        <v>-63.703875927139201</v>
      </c>
      <c r="B1346">
        <v>44.725143384019198</v>
      </c>
      <c r="C1346">
        <v>285</v>
      </c>
      <c r="D1346" t="s">
        <v>29</v>
      </c>
      <c r="E1346" t="s">
        <v>12</v>
      </c>
      <c r="F1346" t="s">
        <v>1091</v>
      </c>
      <c r="G1346" t="s">
        <v>2737</v>
      </c>
      <c r="H1346">
        <v>8886</v>
      </c>
      <c r="I1346" t="s">
        <v>2738</v>
      </c>
      <c r="J1346" t="s">
        <v>2739</v>
      </c>
      <c r="K1346" t="s">
        <v>17</v>
      </c>
      <c r="L1346" t="str">
        <f t="shared" si="20"/>
        <v xml:space="preserve">{ longitude: -63.7038759271392, latitude: 44.7251433840192, stopType: 'Bus Stop Accessible', gotime: \'8886\', location: \'GARY MARTIN DR &lt;FS&gt; HAMMONDS PLAINS RD\' }, </v>
      </c>
    </row>
    <row r="1347" spans="1:12" x14ac:dyDescent="0.25">
      <c r="A1347">
        <v>-63.275670352608401</v>
      </c>
      <c r="B1347">
        <v>44.737022768942801</v>
      </c>
      <c r="C1347">
        <v>1551</v>
      </c>
      <c r="D1347" t="s">
        <v>103</v>
      </c>
      <c r="E1347" t="s">
        <v>12</v>
      </c>
      <c r="F1347" t="s">
        <v>25</v>
      </c>
      <c r="G1347" t="s">
        <v>1456</v>
      </c>
      <c r="H1347">
        <v>8790</v>
      </c>
      <c r="I1347" t="s">
        <v>2740</v>
      </c>
      <c r="J1347" t="s">
        <v>2741</v>
      </c>
      <c r="K1347" t="s">
        <v>17</v>
      </c>
      <c r="L1347" t="str">
        <f t="shared" ref="L1347:L1410" si="21">CONCATENATE( "{ longitude: ", A1347, ", latitude: ", B1347, ", stopType: '", D1347, "', gotime: \'", H1347, "\', location: \'", I1347, "\' }, ")</f>
        <v xml:space="preserve">{ longitude: -63.2756703526084, latitude: 44.7370227689428, stopType: 'Bus Stop Inaccessible', gotime: \'8790\', location: \'HWY 207 &lt;AT&gt; CIVIC 7703\' }, </v>
      </c>
    </row>
    <row r="1348" spans="1:12" x14ac:dyDescent="0.25">
      <c r="A1348">
        <v>-63.703436808431498</v>
      </c>
      <c r="B1348">
        <v>44.723675906475599</v>
      </c>
      <c r="C1348">
        <v>286</v>
      </c>
      <c r="D1348" t="s">
        <v>29</v>
      </c>
      <c r="E1348" t="s">
        <v>12</v>
      </c>
      <c r="F1348" t="s">
        <v>1091</v>
      </c>
      <c r="G1348" t="s">
        <v>2737</v>
      </c>
      <c r="H1348">
        <v>6549</v>
      </c>
      <c r="I1348" t="s">
        <v>2742</v>
      </c>
      <c r="J1348" t="s">
        <v>2743</v>
      </c>
      <c r="K1348" t="s">
        <v>17</v>
      </c>
      <c r="L1348" t="str">
        <f t="shared" si="21"/>
        <v xml:space="preserve">{ longitude: -63.7034368084315, latitude: 44.7236759064756, stopType: 'Bus Stop Accessible', gotime: \'6549\', location: \'INNOVATION DR &lt;FS&gt; GARY MARTIN\' }, </v>
      </c>
    </row>
    <row r="1349" spans="1:12" x14ac:dyDescent="0.25">
      <c r="A1349">
        <v>-63.272832878563001</v>
      </c>
      <c r="B1349">
        <v>44.732182375958999</v>
      </c>
      <c r="C1349">
        <v>1552</v>
      </c>
      <c r="D1349" t="s">
        <v>103</v>
      </c>
      <c r="E1349" t="s">
        <v>12</v>
      </c>
      <c r="F1349" t="s">
        <v>25</v>
      </c>
      <c r="G1349" t="s">
        <v>1456</v>
      </c>
      <c r="H1349">
        <v>8791</v>
      </c>
      <c r="I1349" t="s">
        <v>2744</v>
      </c>
      <c r="J1349" t="s">
        <v>2745</v>
      </c>
      <c r="K1349" t="s">
        <v>17</v>
      </c>
      <c r="L1349" t="str">
        <f t="shared" si="21"/>
        <v xml:space="preserve">{ longitude: -63.272832878563, latitude: 44.732182375959, stopType: 'Bus Stop Inaccessible', gotime: \'8791\', location: \'HWY 207 &lt;AT&gt; LES COLLINS AVE\' }, </v>
      </c>
    </row>
    <row r="1350" spans="1:12" x14ac:dyDescent="0.25">
      <c r="A1350">
        <v>-63.701098400084</v>
      </c>
      <c r="B1350">
        <v>44.722492801465599</v>
      </c>
      <c r="C1350">
        <v>287</v>
      </c>
      <c r="D1350" t="s">
        <v>29</v>
      </c>
      <c r="E1350" t="s">
        <v>12</v>
      </c>
      <c r="F1350" t="s">
        <v>1091</v>
      </c>
      <c r="G1350" t="s">
        <v>2737</v>
      </c>
      <c r="H1350">
        <v>8871</v>
      </c>
      <c r="I1350" t="s">
        <v>2746</v>
      </c>
      <c r="J1350" t="s">
        <v>2747</v>
      </c>
      <c r="K1350" t="s">
        <v>17</v>
      </c>
      <c r="L1350" t="str">
        <f t="shared" si="21"/>
        <v xml:space="preserve">{ longitude: -63.701098400084, latitude: 44.7224928014656, stopType: 'Bus Stop Accessible', gotime: \'8871\', location: \'INNOVATION DR &lt;AT&gt; CP ALLEN HIGH\' }, </v>
      </c>
    </row>
    <row r="1351" spans="1:12" x14ac:dyDescent="0.25">
      <c r="A1351">
        <v>-63.270001267050802</v>
      </c>
      <c r="B1351">
        <v>44.729128021286797</v>
      </c>
      <c r="C1351">
        <v>1553</v>
      </c>
      <c r="D1351" t="s">
        <v>103</v>
      </c>
      <c r="E1351" t="s">
        <v>12</v>
      </c>
      <c r="F1351" t="s">
        <v>25</v>
      </c>
      <c r="G1351" t="s">
        <v>1456</v>
      </c>
      <c r="H1351">
        <v>8792</v>
      </c>
      <c r="I1351" t="s">
        <v>2748</v>
      </c>
      <c r="J1351" t="s">
        <v>2749</v>
      </c>
      <c r="K1351" t="s">
        <v>17</v>
      </c>
      <c r="L1351" t="str">
        <f t="shared" si="21"/>
        <v xml:space="preserve">{ longitude: -63.2700012670508, latitude: 44.7291280212868, stopType: 'Bus Stop Inaccessible', gotime: \'8792\', location: \'HWY 207 &lt;NS&gt; JOHNSON AVE\' }, </v>
      </c>
    </row>
    <row r="1352" spans="1:12" x14ac:dyDescent="0.25">
      <c r="A1352">
        <v>-63.700846537661697</v>
      </c>
      <c r="B1352">
        <v>44.722592239014801</v>
      </c>
      <c r="C1352">
        <v>288</v>
      </c>
      <c r="D1352" t="s">
        <v>29</v>
      </c>
      <c r="E1352" t="s">
        <v>12</v>
      </c>
      <c r="F1352" t="s">
        <v>1091</v>
      </c>
      <c r="G1352" t="s">
        <v>2737</v>
      </c>
      <c r="H1352">
        <v>8870</v>
      </c>
      <c r="I1352" t="s">
        <v>2750</v>
      </c>
      <c r="J1352" t="s">
        <v>2751</v>
      </c>
      <c r="K1352" t="s">
        <v>17</v>
      </c>
      <c r="L1352" t="str">
        <f t="shared" si="21"/>
        <v xml:space="preserve">{ longitude: -63.7008465376617, latitude: 44.7225922390148, stopType: 'Bus Stop Accessible', gotime: \'8870\', location: \'INNOVATION DR &lt;OP&gt; CP ALLEN HIGH\' }, </v>
      </c>
    </row>
    <row r="1353" spans="1:12" x14ac:dyDescent="0.25">
      <c r="A1353">
        <v>-63.2671817351711</v>
      </c>
      <c r="B1353">
        <v>44.725841381322297</v>
      </c>
      <c r="C1353">
        <v>1554</v>
      </c>
      <c r="D1353" t="s">
        <v>103</v>
      </c>
      <c r="E1353" t="s">
        <v>12</v>
      </c>
      <c r="F1353" t="s">
        <v>25</v>
      </c>
      <c r="G1353" t="s">
        <v>1456</v>
      </c>
      <c r="H1353">
        <v>8793</v>
      </c>
      <c r="I1353" t="s">
        <v>2752</v>
      </c>
      <c r="J1353" t="s">
        <v>2753</v>
      </c>
      <c r="K1353" t="s">
        <v>17</v>
      </c>
      <c r="L1353" t="str">
        <f t="shared" si="21"/>
        <v xml:space="preserve">{ longitude: -63.2671817351711, latitude: 44.7258413813223, stopType: 'Bus Stop Inaccessible', gotime: \'8793\', location: \'HWY 207 &lt;OP&gt; CIVIC 7402\' }, </v>
      </c>
    </row>
    <row r="1354" spans="1:12" x14ac:dyDescent="0.25">
      <c r="A1354">
        <v>-63.7033430880957</v>
      </c>
      <c r="B1354">
        <v>44.723812169844898</v>
      </c>
      <c r="C1354">
        <v>289</v>
      </c>
      <c r="D1354" t="s">
        <v>29</v>
      </c>
      <c r="E1354" t="s">
        <v>12</v>
      </c>
      <c r="F1354" t="s">
        <v>1091</v>
      </c>
      <c r="G1354" t="s">
        <v>2737</v>
      </c>
      <c r="H1354">
        <v>6567</v>
      </c>
      <c r="I1354" t="s">
        <v>2754</v>
      </c>
      <c r="J1354" t="s">
        <v>2755</v>
      </c>
      <c r="K1354" t="s">
        <v>17</v>
      </c>
      <c r="L1354" t="str">
        <f t="shared" si="21"/>
        <v xml:space="preserve">{ longitude: -63.7033430880957, latitude: 44.7238121698449, stopType: 'Bus Stop Accessible', gotime: \'6567\', location: \'INNOVATION DR &lt;NS&gt; GARY MARTIN\' }, </v>
      </c>
    </row>
    <row r="1355" spans="1:12" x14ac:dyDescent="0.25">
      <c r="A1355">
        <v>-63.265003153524603</v>
      </c>
      <c r="B1355">
        <v>44.717577689975201</v>
      </c>
      <c r="C1355">
        <v>1555</v>
      </c>
      <c r="D1355" t="s">
        <v>103</v>
      </c>
      <c r="E1355" t="s">
        <v>12</v>
      </c>
      <c r="F1355" t="s">
        <v>25</v>
      </c>
      <c r="G1355" t="s">
        <v>1456</v>
      </c>
      <c r="H1355">
        <v>8794</v>
      </c>
      <c r="I1355" t="s">
        <v>2756</v>
      </c>
      <c r="J1355" t="s">
        <v>2757</v>
      </c>
      <c r="K1355" t="s">
        <v>17</v>
      </c>
      <c r="L1355" t="str">
        <f t="shared" si="21"/>
        <v xml:space="preserve">{ longitude: -63.2650031535246, latitude: 44.7175776899752, stopType: 'Bus Stop Inaccessible', gotime: \'8794\', location: \'HWY 207 &lt;FS&gt; ELEANOR MARIE LANE\' }, </v>
      </c>
    </row>
    <row r="1356" spans="1:12" x14ac:dyDescent="0.25">
      <c r="A1356">
        <v>-63.703388233535897</v>
      </c>
      <c r="B1356">
        <v>44.725390004778703</v>
      </c>
      <c r="C1356">
        <v>290</v>
      </c>
      <c r="D1356" t="s">
        <v>29</v>
      </c>
      <c r="E1356" t="s">
        <v>12</v>
      </c>
      <c r="F1356" t="s">
        <v>1091</v>
      </c>
      <c r="G1356" t="s">
        <v>2737</v>
      </c>
      <c r="H1356">
        <v>8887</v>
      </c>
      <c r="I1356" t="s">
        <v>2758</v>
      </c>
      <c r="J1356" t="s">
        <v>2759</v>
      </c>
      <c r="K1356" t="s">
        <v>17</v>
      </c>
      <c r="L1356" t="str">
        <f t="shared" si="21"/>
        <v xml:space="preserve">{ longitude: -63.7033882335359, latitude: 44.7253900047787, stopType: 'Bus Stop Accessible', gotime: \'8887\', location: \'GARY MARTIN DR &lt;NS&gt; HAMMONDS PLAINS RD\' }, </v>
      </c>
    </row>
    <row r="1357" spans="1:12" x14ac:dyDescent="0.25">
      <c r="A1357">
        <v>-63.2602059619119</v>
      </c>
      <c r="B1357">
        <v>44.711260400062201</v>
      </c>
      <c r="C1357">
        <v>1556</v>
      </c>
      <c r="D1357" t="s">
        <v>103</v>
      </c>
      <c r="E1357" t="s">
        <v>12</v>
      </c>
      <c r="F1357" t="s">
        <v>25</v>
      </c>
      <c r="G1357" t="s">
        <v>1456</v>
      </c>
      <c r="H1357">
        <v>8795</v>
      </c>
      <c r="I1357" t="s">
        <v>2760</v>
      </c>
      <c r="J1357" t="s">
        <v>2761</v>
      </c>
      <c r="K1357" t="s">
        <v>17</v>
      </c>
      <c r="L1357" t="str">
        <f t="shared" si="21"/>
        <v xml:space="preserve">{ longitude: -63.2602059619119, latitude: 44.7112604000622, stopType: 'Bus Stop Inaccessible', gotime: \'8795\', location: \'HWY 207 &lt;AT&gt; ST. ANSELMS CHURCH\' }, </v>
      </c>
    </row>
    <row r="1358" spans="1:12" x14ac:dyDescent="0.25">
      <c r="A1358">
        <v>-63.576430821617599</v>
      </c>
      <c r="B1358">
        <v>44.638386840643903</v>
      </c>
      <c r="C1358">
        <v>291</v>
      </c>
      <c r="D1358" t="s">
        <v>29</v>
      </c>
      <c r="E1358" t="s">
        <v>12</v>
      </c>
      <c r="F1358" t="s">
        <v>13</v>
      </c>
      <c r="G1358" t="s">
        <v>19</v>
      </c>
      <c r="H1358">
        <v>8295</v>
      </c>
      <c r="I1358" t="s">
        <v>2762</v>
      </c>
      <c r="J1358" t="s">
        <v>2763</v>
      </c>
      <c r="K1358" t="s">
        <v>17</v>
      </c>
      <c r="L1358" t="str">
        <f t="shared" si="21"/>
        <v xml:space="preserve">{ longitude: -63.5764308216176, latitude: 44.6383868406439, stopType: 'Bus Stop Accessible', gotime: \'8295\', location: \'SOUTH ST AT CIVIC 5650 &lt;EB&gt;\' }, </v>
      </c>
    </row>
    <row r="1359" spans="1:12" x14ac:dyDescent="0.25">
      <c r="A1359">
        <v>-63.259071132723001</v>
      </c>
      <c r="B1359">
        <v>44.708110887573397</v>
      </c>
      <c r="C1359">
        <v>1557</v>
      </c>
      <c r="D1359" t="s">
        <v>103</v>
      </c>
      <c r="E1359" t="s">
        <v>12</v>
      </c>
      <c r="F1359" t="s">
        <v>25</v>
      </c>
      <c r="G1359" t="s">
        <v>1456</v>
      </c>
      <c r="H1359">
        <v>8796</v>
      </c>
      <c r="I1359" t="s">
        <v>2764</v>
      </c>
      <c r="J1359" t="s">
        <v>2765</v>
      </c>
      <c r="K1359" t="s">
        <v>17</v>
      </c>
      <c r="L1359" t="str">
        <f t="shared" si="21"/>
        <v xml:space="preserve">{ longitude: -63.259071132723, latitude: 44.7081108875734, stopType: 'Bus Stop Inaccessible', gotime: \'8796\', location: \'HWY 207 &lt;AT&gt; BELLEFONTAINE RD\' }, </v>
      </c>
    </row>
    <row r="1360" spans="1:12" x14ac:dyDescent="0.25">
      <c r="A1360">
        <v>-63.584097696545498</v>
      </c>
      <c r="B1360">
        <v>44.636592741049903</v>
      </c>
      <c r="C1360">
        <v>292</v>
      </c>
      <c r="D1360" t="s">
        <v>22</v>
      </c>
      <c r="E1360" t="s">
        <v>12</v>
      </c>
      <c r="F1360" t="s">
        <v>13</v>
      </c>
      <c r="G1360" t="s">
        <v>19</v>
      </c>
      <c r="H1360">
        <v>8296</v>
      </c>
      <c r="I1360" t="s">
        <v>2766</v>
      </c>
      <c r="J1360" t="s">
        <v>2767</v>
      </c>
      <c r="K1360" t="s">
        <v>17</v>
      </c>
      <c r="L1360" t="str">
        <f t="shared" si="21"/>
        <v xml:space="preserve">{ longitude: -63.5840976965455, latitude: 44.6365927410499, stopType: 'Bus Stop Shelter Accessible', gotime: \'8296\', location: \'SOUTH ST AT CIVIC 5966 &lt;EB&gt;\' }, </v>
      </c>
    </row>
    <row r="1361" spans="1:12" x14ac:dyDescent="0.25">
      <c r="A1361">
        <v>-63.257578710413704</v>
      </c>
      <c r="B1361">
        <v>44.690075154868801</v>
      </c>
      <c r="C1361">
        <v>1558</v>
      </c>
      <c r="D1361" t="s">
        <v>103</v>
      </c>
      <c r="E1361" t="s">
        <v>12</v>
      </c>
      <c r="F1361" t="s">
        <v>25</v>
      </c>
      <c r="G1361" t="s">
        <v>1456</v>
      </c>
      <c r="H1361">
        <v>8797</v>
      </c>
      <c r="I1361" t="s">
        <v>2768</v>
      </c>
      <c r="J1361" t="s">
        <v>2769</v>
      </c>
      <c r="K1361" t="s">
        <v>17</v>
      </c>
      <c r="L1361" t="str">
        <f t="shared" si="21"/>
        <v xml:space="preserve">{ longitude: -63.2575787104137, latitude: 44.6900751548688, stopType: 'Bus Stop Inaccessible', gotime: \'8797\', location: \'HWY 207 &lt;AT&gt; CIVIC 6551\' }, </v>
      </c>
    </row>
    <row r="1362" spans="1:12" x14ac:dyDescent="0.25">
      <c r="A1362">
        <v>-63.583625855910199</v>
      </c>
      <c r="B1362">
        <v>44.636820070421699</v>
      </c>
      <c r="C1362">
        <v>293</v>
      </c>
      <c r="D1362" t="s">
        <v>29</v>
      </c>
      <c r="E1362" t="s">
        <v>12</v>
      </c>
      <c r="F1362" t="s">
        <v>13</v>
      </c>
      <c r="G1362" t="s">
        <v>19</v>
      </c>
      <c r="H1362">
        <v>8297</v>
      </c>
      <c r="I1362" t="s">
        <v>2770</v>
      </c>
      <c r="J1362" t="s">
        <v>2771</v>
      </c>
      <c r="K1362" t="s">
        <v>17</v>
      </c>
      <c r="L1362" t="str">
        <f t="shared" si="21"/>
        <v xml:space="preserve">{ longitude: -63.5836258559102, latitude: 44.6368200704217, stopType: 'Bus Stop Accessible', gotime: \'8297\', location: \'SOUTH ST AT IWK/GRACE\' }, </v>
      </c>
    </row>
    <row r="1363" spans="1:12" x14ac:dyDescent="0.25">
      <c r="A1363">
        <v>-63.6158185932766</v>
      </c>
      <c r="B1363">
        <v>44.660686909369701</v>
      </c>
      <c r="C1363">
        <v>1559</v>
      </c>
      <c r="D1363" t="s">
        <v>22</v>
      </c>
      <c r="E1363" t="s">
        <v>12</v>
      </c>
      <c r="F1363" t="s">
        <v>13</v>
      </c>
      <c r="G1363" t="s">
        <v>19</v>
      </c>
      <c r="H1363">
        <v>8562</v>
      </c>
      <c r="I1363" t="s">
        <v>2772</v>
      </c>
      <c r="J1363" s="1" t="s">
        <v>2773</v>
      </c>
      <c r="K1363" t="s">
        <v>17</v>
      </c>
      <c r="L1363" t="str">
        <f t="shared" si="21"/>
        <v xml:space="preserve">{ longitude: -63.6158185932766, latitude: 44.6606869093697, stopType: 'Bus Stop Shelter Accessible', gotime: \'8562\', location: \'WINDSOR ST  NS HOOD ST\' }, </v>
      </c>
    </row>
    <row r="1364" spans="1:12" x14ac:dyDescent="0.25">
      <c r="A1364">
        <v>-63.581755816118203</v>
      </c>
      <c r="B1364">
        <v>44.637268088561797</v>
      </c>
      <c r="C1364">
        <v>294</v>
      </c>
      <c r="D1364" t="s">
        <v>29</v>
      </c>
      <c r="E1364" t="s">
        <v>12</v>
      </c>
      <c r="F1364" t="s">
        <v>13</v>
      </c>
      <c r="G1364" t="s">
        <v>19</v>
      </c>
      <c r="H1364">
        <v>8298</v>
      </c>
      <c r="I1364" t="s">
        <v>2774</v>
      </c>
      <c r="J1364" t="s">
        <v>2775</v>
      </c>
      <c r="K1364" t="s">
        <v>17</v>
      </c>
      <c r="L1364" t="str">
        <f t="shared" si="21"/>
        <v xml:space="preserve">{ longitude: -63.5817558161182, latitude: 44.6372680885618, stopType: 'Bus Stop Accessible', gotime: \'8298\', location: \'SOUTH ST NS IWK HOSPITAL &lt;WB&gt;\' }, </v>
      </c>
    </row>
    <row r="1365" spans="1:12" x14ac:dyDescent="0.25">
      <c r="A1365">
        <v>-63.6857074158656</v>
      </c>
      <c r="B1365">
        <v>44.718993298795802</v>
      </c>
      <c r="C1365">
        <v>1560</v>
      </c>
      <c r="D1365" t="s">
        <v>29</v>
      </c>
      <c r="E1365" t="s">
        <v>12</v>
      </c>
      <c r="F1365" t="s">
        <v>25</v>
      </c>
      <c r="G1365" t="s">
        <v>26</v>
      </c>
      <c r="H1365">
        <v>6805</v>
      </c>
      <c r="I1365" t="s">
        <v>2776</v>
      </c>
      <c r="J1365" t="s">
        <v>2777</v>
      </c>
      <c r="K1365" t="s">
        <v>17</v>
      </c>
      <c r="L1365" t="str">
        <f t="shared" si="21"/>
        <v xml:space="preserve">{ longitude: -63.6857074158656, latitude: 44.7189932987958, stopType: 'Bus Stop Accessible', gotime: \'6805\', location: \'HAMMONDS PLAINS RD FS BEDFORD HILLS\' }, </v>
      </c>
    </row>
    <row r="1366" spans="1:12" x14ac:dyDescent="0.25">
      <c r="A1366">
        <v>-63.5741597217758</v>
      </c>
      <c r="B1366">
        <v>44.6389528071497</v>
      </c>
      <c r="C1366">
        <v>295</v>
      </c>
      <c r="D1366" t="s">
        <v>22</v>
      </c>
      <c r="E1366" t="s">
        <v>12</v>
      </c>
      <c r="F1366" t="s">
        <v>13</v>
      </c>
      <c r="G1366" t="s">
        <v>19</v>
      </c>
      <c r="H1366">
        <v>8299</v>
      </c>
      <c r="I1366" t="s">
        <v>2778</v>
      </c>
      <c r="J1366" t="s">
        <v>2779</v>
      </c>
      <c r="K1366" t="s">
        <v>17</v>
      </c>
      <c r="L1366" t="str">
        <f t="shared" si="21"/>
        <v xml:space="preserve">{ longitude: -63.5741597217758, latitude: 44.6389528071497, stopType: 'Bus Stop Shelter Accessible', gotime: \'8299\', location: \'SOUTH ST NS QUEEN ST &lt;EB&gt;\' }, </v>
      </c>
    </row>
    <row r="1367" spans="1:12" x14ac:dyDescent="0.25">
      <c r="A1367">
        <v>-63.793854594897397</v>
      </c>
      <c r="B1367">
        <v>44.735813592127201</v>
      </c>
      <c r="C1367">
        <v>1561</v>
      </c>
      <c r="D1367" t="s">
        <v>103</v>
      </c>
      <c r="E1367" t="s">
        <v>12</v>
      </c>
      <c r="F1367" t="s">
        <v>25</v>
      </c>
      <c r="G1367" t="s">
        <v>65</v>
      </c>
      <c r="H1367">
        <v>6806</v>
      </c>
      <c r="I1367" t="s">
        <v>2780</v>
      </c>
      <c r="J1367" t="s">
        <v>2781</v>
      </c>
      <c r="K1367" t="s">
        <v>17</v>
      </c>
      <c r="L1367" t="str">
        <f t="shared" si="21"/>
        <v xml:space="preserve">{ longitude: -63.7938545948974, latitude: 44.7358135921272, stopType: 'Bus Stop Inaccessible', gotime: \'6806\', location: \'HAMMONDS PLAINS RD FS CIVIC 2211\' }, </v>
      </c>
    </row>
    <row r="1368" spans="1:12" x14ac:dyDescent="0.25">
      <c r="A1368">
        <v>-63.577514109604003</v>
      </c>
      <c r="B1368">
        <v>44.638250879757699</v>
      </c>
      <c r="C1368">
        <v>296</v>
      </c>
      <c r="D1368" t="s">
        <v>29</v>
      </c>
      <c r="E1368" t="s">
        <v>12</v>
      </c>
      <c r="F1368" t="s">
        <v>13</v>
      </c>
      <c r="G1368" t="s">
        <v>19</v>
      </c>
      <c r="H1368">
        <v>8300</v>
      </c>
      <c r="I1368" t="s">
        <v>2782</v>
      </c>
      <c r="J1368" t="s">
        <v>2783</v>
      </c>
      <c r="K1368" t="s">
        <v>17</v>
      </c>
      <c r="L1368" t="str">
        <f t="shared" si="21"/>
        <v xml:space="preserve">{ longitude: -63.577514109604, latitude: 44.6382508797577, stopType: 'Bus Stop Accessible', gotime: \'8300\', location: \'SOUTH ST NS SOUTH ST PARK  &lt;WB&gt;\' }, </v>
      </c>
    </row>
    <row r="1369" spans="1:12" x14ac:dyDescent="0.25">
      <c r="A1369">
        <v>-63.762368514992801</v>
      </c>
      <c r="B1369">
        <v>44.7330045776879</v>
      </c>
      <c r="C1369">
        <v>1562</v>
      </c>
      <c r="D1369" t="s">
        <v>11</v>
      </c>
      <c r="E1369" t="s">
        <v>12</v>
      </c>
      <c r="F1369" t="s">
        <v>13</v>
      </c>
      <c r="G1369" t="s">
        <v>14</v>
      </c>
      <c r="H1369">
        <v>6807</v>
      </c>
      <c r="I1369" t="s">
        <v>2784</v>
      </c>
      <c r="J1369" t="s">
        <v>2785</v>
      </c>
      <c r="K1369" t="s">
        <v>17</v>
      </c>
      <c r="L1369" t="str">
        <f t="shared" si="21"/>
        <v xml:space="preserve">{ longitude: -63.7623685149928, latitude: 44.7330045776879, stopType: 'Bus Stop Non-Standard', gotime: \'6807\', location: \'HAMMONDS PLAINS RD FS CIVIC 1684\' }, </v>
      </c>
    </row>
    <row r="1370" spans="1:12" x14ac:dyDescent="0.25">
      <c r="A1370">
        <v>-63.578814818092297</v>
      </c>
      <c r="B1370">
        <v>44.6379482766026</v>
      </c>
      <c r="C1370">
        <v>297</v>
      </c>
      <c r="D1370" t="s">
        <v>22</v>
      </c>
      <c r="E1370" t="s">
        <v>12</v>
      </c>
      <c r="F1370" t="s">
        <v>13</v>
      </c>
      <c r="G1370" t="s">
        <v>19</v>
      </c>
      <c r="H1370">
        <v>8301</v>
      </c>
      <c r="I1370" t="s">
        <v>2786</v>
      </c>
      <c r="J1370" t="s">
        <v>2787</v>
      </c>
      <c r="K1370" t="s">
        <v>17</v>
      </c>
      <c r="L1370" t="str">
        <f t="shared" si="21"/>
        <v xml:space="preserve">{ longitude: -63.5788148180923, latitude: 44.6379482766026, stopType: 'Bus Stop Shelter Accessible', gotime: \'8301\', location: \'SOUTH ST NS TOWER RD &lt;WB&gt;\' }, </v>
      </c>
    </row>
    <row r="1371" spans="1:12" x14ac:dyDescent="0.25">
      <c r="A1371">
        <v>-63.784255384045302</v>
      </c>
      <c r="B1371">
        <v>44.733625058810503</v>
      </c>
      <c r="C1371">
        <v>1563</v>
      </c>
      <c r="D1371" t="s">
        <v>11</v>
      </c>
      <c r="E1371" t="s">
        <v>12</v>
      </c>
      <c r="F1371" t="s">
        <v>13</v>
      </c>
      <c r="G1371" t="s">
        <v>14</v>
      </c>
      <c r="H1371">
        <v>6808</v>
      </c>
      <c r="I1371" t="s">
        <v>2788</v>
      </c>
      <c r="J1371" t="s">
        <v>2789</v>
      </c>
      <c r="K1371" t="s">
        <v>17</v>
      </c>
      <c r="L1371" t="str">
        <f t="shared" si="21"/>
        <v xml:space="preserve">{ longitude: -63.7842553840453, latitude: 44.7336250588105, stopType: 'Bus Stop Non-Standard', gotime: \'6808\', location: \'HAMMONDS PLAINS RD OPP GLENN ARBOUR WAY\' }, </v>
      </c>
    </row>
    <row r="1372" spans="1:12" x14ac:dyDescent="0.25">
      <c r="A1372">
        <v>-63.588656740867201</v>
      </c>
      <c r="B1372">
        <v>44.6356944058656</v>
      </c>
      <c r="C1372">
        <v>298</v>
      </c>
      <c r="D1372" t="s">
        <v>29</v>
      </c>
      <c r="E1372" t="s">
        <v>12</v>
      </c>
      <c r="F1372" t="s">
        <v>13</v>
      </c>
      <c r="G1372" t="s">
        <v>14</v>
      </c>
      <c r="H1372">
        <v>8302</v>
      </c>
      <c r="I1372" t="s">
        <v>2790</v>
      </c>
      <c r="J1372" t="s">
        <v>2791</v>
      </c>
      <c r="K1372" t="s">
        <v>17</v>
      </c>
      <c r="L1372" t="str">
        <f t="shared" si="21"/>
        <v xml:space="preserve">{ longitude: -63.5886567408672, latitude: 44.6356944058656, stopType: 'Bus Stop Accessible', gotime: \'8302\', location: \'SOUTH ST OPP CATARET ST &lt;WB&gt;\' }, </v>
      </c>
    </row>
    <row r="1373" spans="1:12" x14ac:dyDescent="0.25">
      <c r="A1373">
        <v>-63.516837718281003</v>
      </c>
      <c r="B1373">
        <v>44.676076742021898</v>
      </c>
      <c r="C1373">
        <v>1564</v>
      </c>
      <c r="D1373" t="s">
        <v>11</v>
      </c>
      <c r="E1373" t="s">
        <v>12</v>
      </c>
      <c r="F1373" t="s">
        <v>25</v>
      </c>
      <c r="G1373" t="s">
        <v>26</v>
      </c>
      <c r="H1373">
        <v>8326</v>
      </c>
      <c r="I1373" t="s">
        <v>2792</v>
      </c>
      <c r="J1373" t="s">
        <v>2793</v>
      </c>
      <c r="K1373" t="s">
        <v>17</v>
      </c>
      <c r="L1373" t="str">
        <f t="shared" si="21"/>
        <v xml:space="preserve">{ longitude: -63.516837718281, latitude: 44.6760767420219, stopType: 'Bus Stop Non-Standard', gotime: \'8326\', location: \'SPRING AVE FS DOROTHEA\' }, </v>
      </c>
    </row>
    <row r="1374" spans="1:12" x14ac:dyDescent="0.25">
      <c r="A1374">
        <v>-63.582381560661403</v>
      </c>
      <c r="B1374">
        <v>44.636977475202599</v>
      </c>
      <c r="C1374">
        <v>299</v>
      </c>
      <c r="D1374" t="s">
        <v>22</v>
      </c>
      <c r="E1374" t="s">
        <v>12</v>
      </c>
      <c r="F1374" t="s">
        <v>13</v>
      </c>
      <c r="G1374" t="s">
        <v>19</v>
      </c>
      <c r="H1374">
        <v>8303</v>
      </c>
      <c r="I1374" t="s">
        <v>2794</v>
      </c>
      <c r="J1374" t="s">
        <v>2795</v>
      </c>
      <c r="K1374" t="s">
        <v>17</v>
      </c>
      <c r="L1374" t="str">
        <f t="shared" si="21"/>
        <v xml:space="preserve">{ longitude: -63.5823815606614, latitude: 44.6369774752026, stopType: 'Bus Stop Shelter Accessible', gotime: \'8303\', location: \'SOUTH ST OPP I.W.K. HOSPITAL ENTRANCE  &lt;EB&gt;\' }, </v>
      </c>
    </row>
    <row r="1375" spans="1:12" x14ac:dyDescent="0.25">
      <c r="A1375">
        <v>-63.784094364894401</v>
      </c>
      <c r="B1375">
        <v>44.733781903268202</v>
      </c>
      <c r="C1375">
        <v>1565</v>
      </c>
      <c r="D1375" t="s">
        <v>103</v>
      </c>
      <c r="E1375" t="s">
        <v>12</v>
      </c>
      <c r="F1375" t="s">
        <v>25</v>
      </c>
      <c r="G1375" t="s">
        <v>65</v>
      </c>
      <c r="H1375">
        <v>6809</v>
      </c>
      <c r="I1375" t="s">
        <v>2796</v>
      </c>
      <c r="J1375" t="s">
        <v>2797</v>
      </c>
      <c r="K1375" t="s">
        <v>17</v>
      </c>
      <c r="L1375" t="str">
        <f t="shared" si="21"/>
        <v xml:space="preserve">{ longitude: -63.7840943648944, latitude: 44.7337819032682, stopType: 'Bus Stop Inaccessible', gotime: \'6809\', location: \'HAMMONDS PLAINS RD AT GLENN ARBOUR WAY\' }, </v>
      </c>
    </row>
    <row r="1376" spans="1:12" x14ac:dyDescent="0.25">
      <c r="A1376">
        <v>-63.592573589402001</v>
      </c>
      <c r="B1376">
        <v>44.634828046634198</v>
      </c>
      <c r="C1376">
        <v>300</v>
      </c>
      <c r="D1376" t="s">
        <v>29</v>
      </c>
      <c r="E1376" t="s">
        <v>12</v>
      </c>
      <c r="F1376" t="s">
        <v>13</v>
      </c>
      <c r="G1376" t="s">
        <v>14</v>
      </c>
      <c r="H1376">
        <v>8304</v>
      </c>
      <c r="I1376" t="s">
        <v>2798</v>
      </c>
      <c r="J1376" t="s">
        <v>2799</v>
      </c>
      <c r="K1376" t="s">
        <v>17</v>
      </c>
      <c r="L1376" t="str">
        <f t="shared" si="21"/>
        <v xml:space="preserve">{ longitude: -63.592573589402, latitude: 44.6348280466342, stopType: 'Bus Stop Accessible', gotime: \'8304\', location: \'SOUTH ST OPP DALPLEX &lt;WB&gt;\' }, </v>
      </c>
    </row>
    <row r="1377" spans="1:12" x14ac:dyDescent="0.25">
      <c r="A1377">
        <v>-63.794480323491797</v>
      </c>
      <c r="B1377">
        <v>44.735587248685299</v>
      </c>
      <c r="C1377">
        <v>1566</v>
      </c>
      <c r="D1377" t="s">
        <v>11</v>
      </c>
      <c r="E1377" t="s">
        <v>12</v>
      </c>
      <c r="F1377" t="s">
        <v>13</v>
      </c>
      <c r="G1377" t="s">
        <v>14</v>
      </c>
      <c r="H1377">
        <v>6810</v>
      </c>
      <c r="I1377" t="s">
        <v>2800</v>
      </c>
      <c r="J1377" t="s">
        <v>2801</v>
      </c>
      <c r="K1377" t="s">
        <v>17</v>
      </c>
      <c r="L1377" t="str">
        <f t="shared" si="21"/>
        <v xml:space="preserve">{ longitude: -63.7944803234918, latitude: 44.7355872486853, stopType: 'Bus Stop Non-Standard', gotime: \'6810\', location: \'HAMMONDS PLAINS RD OPP POCKWOCK RD\' }, </v>
      </c>
    </row>
    <row r="1378" spans="1:12" x14ac:dyDescent="0.25">
      <c r="A1378">
        <v>-63.580126870059097</v>
      </c>
      <c r="B1378">
        <v>44.637517233037798</v>
      </c>
      <c r="C1378">
        <v>301</v>
      </c>
      <c r="D1378" t="s">
        <v>22</v>
      </c>
      <c r="E1378" t="s">
        <v>12</v>
      </c>
      <c r="F1378" t="s">
        <v>13</v>
      </c>
      <c r="G1378" t="s">
        <v>19</v>
      </c>
      <c r="H1378">
        <v>8305</v>
      </c>
      <c r="I1378" t="s">
        <v>2802</v>
      </c>
      <c r="J1378" t="s">
        <v>2803</v>
      </c>
      <c r="K1378" t="s">
        <v>17</v>
      </c>
      <c r="L1378" t="str">
        <f t="shared" si="21"/>
        <v xml:space="preserve">{ longitude: -63.5801268700591, latitude: 44.6375172330378, stopType: 'Bus Stop Shelter Accessible', gotime: \'8305\', location: \'SOUTH ST OPP V.G. HOSPITAL AT CIVIC 5784 &lt;EB&gt;\' }, </v>
      </c>
    </row>
    <row r="1379" spans="1:12" x14ac:dyDescent="0.25">
      <c r="A1379">
        <v>-63.760209761748001</v>
      </c>
      <c r="B1379">
        <v>44.732531722015999</v>
      </c>
      <c r="C1379">
        <v>1567</v>
      </c>
      <c r="D1379" t="s">
        <v>103</v>
      </c>
      <c r="E1379" t="s">
        <v>12</v>
      </c>
      <c r="F1379" t="s">
        <v>25</v>
      </c>
      <c r="G1379" t="s">
        <v>65</v>
      </c>
      <c r="H1379">
        <v>6811</v>
      </c>
      <c r="I1379" t="s">
        <v>2804</v>
      </c>
      <c r="J1379" t="s">
        <v>2805</v>
      </c>
      <c r="K1379" t="s">
        <v>17</v>
      </c>
      <c r="L1379" t="str">
        <f t="shared" si="21"/>
        <v xml:space="preserve">{ longitude: -63.760209761748, latitude: 44.732531722016, stopType: 'Bus Stop Inaccessible', gotime: \'6811\', location: \'HAMMONDS PLAINS RD FS LUCASVILLE RD\' }, </v>
      </c>
    </row>
    <row r="1380" spans="1:12" x14ac:dyDescent="0.25">
      <c r="A1380">
        <v>-63.577341209185697</v>
      </c>
      <c r="B1380">
        <v>44.637389373478698</v>
      </c>
      <c r="C1380">
        <v>302</v>
      </c>
      <c r="D1380" t="s">
        <v>29</v>
      </c>
      <c r="E1380" t="s">
        <v>12</v>
      </c>
      <c r="F1380" t="s">
        <v>13</v>
      </c>
      <c r="G1380" t="s">
        <v>19</v>
      </c>
      <c r="H1380">
        <v>8306</v>
      </c>
      <c r="I1380" t="s">
        <v>2806</v>
      </c>
      <c r="J1380" t="s">
        <v>2807</v>
      </c>
      <c r="K1380" t="s">
        <v>17</v>
      </c>
      <c r="L1380" t="str">
        <f t="shared" si="21"/>
        <v xml:space="preserve">{ longitude: -63.5773412091857, latitude: 44.6373893734787, stopType: 'Bus Stop Accessible', gotime: \'8306\', location: \'SOUTH PARK ST FS FENWICK ST &lt;NB&gt;\' }, </v>
      </c>
    </row>
    <row r="1381" spans="1:12" x14ac:dyDescent="0.25">
      <c r="A1381">
        <v>-63.740688507088102</v>
      </c>
      <c r="B1381">
        <v>44.725950847909502</v>
      </c>
      <c r="C1381">
        <v>1568</v>
      </c>
      <c r="D1381" t="s">
        <v>11</v>
      </c>
      <c r="E1381" t="s">
        <v>12</v>
      </c>
      <c r="F1381" t="s">
        <v>25</v>
      </c>
      <c r="G1381" t="s">
        <v>26</v>
      </c>
      <c r="H1381">
        <v>6812</v>
      </c>
      <c r="I1381" t="s">
        <v>2808</v>
      </c>
      <c r="J1381" t="s">
        <v>2809</v>
      </c>
      <c r="K1381" t="s">
        <v>17</v>
      </c>
      <c r="L1381" t="str">
        <f t="shared" si="21"/>
        <v xml:space="preserve">{ longitude: -63.7406885070881, latitude: 44.7259508479095, stopType: 'Bus Stop Non-Standard', gotime: \'6812\', location: \'HAMMONDS PLAINS RD FS CRESTFIELD DR\' }, </v>
      </c>
    </row>
    <row r="1382" spans="1:12" x14ac:dyDescent="0.25">
      <c r="A1382">
        <v>-63.577770465990596</v>
      </c>
      <c r="B1382">
        <v>44.638491444543703</v>
      </c>
      <c r="C1382">
        <v>303</v>
      </c>
      <c r="D1382" t="s">
        <v>29</v>
      </c>
      <c r="E1382" t="s">
        <v>12</v>
      </c>
      <c r="F1382" t="s">
        <v>13</v>
      </c>
      <c r="G1382" t="s">
        <v>14</v>
      </c>
      <c r="H1382">
        <v>8307</v>
      </c>
      <c r="I1382" t="s">
        <v>2810</v>
      </c>
      <c r="J1382" t="s">
        <v>2811</v>
      </c>
      <c r="K1382" t="s">
        <v>17</v>
      </c>
      <c r="L1382" t="str">
        <f t="shared" si="21"/>
        <v xml:space="preserve">{ longitude: -63.5777704659906, latitude: 44.6384914445437, stopType: 'Bus Stop Accessible', gotime: \'8307\', location: \'SOUTH PARK ST FS SOUTH ST  &lt;NB&gt;\' }, </v>
      </c>
    </row>
    <row r="1383" spans="1:12" x14ac:dyDescent="0.25">
      <c r="A1383">
        <v>-63.823178753537199</v>
      </c>
      <c r="B1383">
        <v>44.722058787113397</v>
      </c>
      <c r="C1383">
        <v>1569</v>
      </c>
      <c r="D1383" t="s">
        <v>103</v>
      </c>
      <c r="E1383" t="s">
        <v>12</v>
      </c>
      <c r="F1383" t="s">
        <v>13</v>
      </c>
      <c r="G1383" t="s">
        <v>65</v>
      </c>
      <c r="H1383">
        <v>6813</v>
      </c>
      <c r="I1383" t="s">
        <v>2812</v>
      </c>
      <c r="J1383" t="s">
        <v>2813</v>
      </c>
      <c r="K1383" t="s">
        <v>17</v>
      </c>
      <c r="L1383" t="str">
        <f t="shared" si="21"/>
        <v xml:space="preserve">{ longitude: -63.8231787535372, latitude: 44.7220587871134, stopType: 'Bus Stop Inaccessible', gotime: \'6813\', location: \'HAMMONDS PLAINS RD FS NORTHWOOD RD\' }, </v>
      </c>
    </row>
    <row r="1384" spans="1:12" x14ac:dyDescent="0.25">
      <c r="A1384">
        <v>-63.579834918612001</v>
      </c>
      <c r="B1384">
        <v>44.641944664075197</v>
      </c>
      <c r="C1384">
        <v>304</v>
      </c>
      <c r="D1384" t="s">
        <v>29</v>
      </c>
      <c r="E1384" t="s">
        <v>12</v>
      </c>
      <c r="F1384" t="s">
        <v>13</v>
      </c>
      <c r="G1384" t="s">
        <v>19</v>
      </c>
      <c r="H1384">
        <v>8308</v>
      </c>
      <c r="I1384" t="s">
        <v>2814</v>
      </c>
      <c r="J1384" t="s">
        <v>2815</v>
      </c>
      <c r="K1384" t="s">
        <v>17</v>
      </c>
      <c r="L1384" t="str">
        <f t="shared" si="21"/>
        <v xml:space="preserve">{ longitude: -63.579834918612, latitude: 44.6419446640752, stopType: 'Bus Stop Accessible', gotime: \'8308\', location: \'SOUTH PARK ST FS SPRING GARDEN RD\' }, </v>
      </c>
    </row>
    <row r="1385" spans="1:12" x14ac:dyDescent="0.25">
      <c r="A1385">
        <v>-63.834205769585303</v>
      </c>
      <c r="B1385">
        <v>44.713989255864803</v>
      </c>
      <c r="C1385">
        <v>1570</v>
      </c>
      <c r="D1385" t="s">
        <v>103</v>
      </c>
      <c r="E1385" t="s">
        <v>12</v>
      </c>
      <c r="F1385" t="s">
        <v>13</v>
      </c>
      <c r="G1385" t="s">
        <v>65</v>
      </c>
      <c r="H1385">
        <v>6814</v>
      </c>
      <c r="I1385" t="s">
        <v>2816</v>
      </c>
      <c r="J1385" t="s">
        <v>2817</v>
      </c>
      <c r="K1385" t="s">
        <v>17</v>
      </c>
      <c r="L1385" t="str">
        <f t="shared" si="21"/>
        <v xml:space="preserve">{ longitude: -63.8342057695853, latitude: 44.7139892558648, stopType: 'Bus Stop Inaccessible', gotime: \'6814\', location: \'HAMMONDS PLAINS RD FS ROCKCLIFFE CR\' }, </v>
      </c>
    </row>
    <row r="1386" spans="1:12" x14ac:dyDescent="0.25">
      <c r="A1386">
        <v>-63.578640265357599</v>
      </c>
      <c r="B1386">
        <v>44.640232453517697</v>
      </c>
      <c r="C1386">
        <v>305</v>
      </c>
      <c r="D1386" t="s">
        <v>22</v>
      </c>
      <c r="E1386" t="s">
        <v>12</v>
      </c>
      <c r="F1386" t="s">
        <v>13</v>
      </c>
      <c r="G1386" t="s">
        <v>14</v>
      </c>
      <c r="H1386">
        <v>8309</v>
      </c>
      <c r="I1386" t="s">
        <v>2818</v>
      </c>
      <c r="J1386" t="s">
        <v>2819</v>
      </c>
      <c r="K1386" t="s">
        <v>17</v>
      </c>
      <c r="L1386" t="str">
        <f t="shared" si="21"/>
        <v xml:space="preserve">{ longitude: -63.5786402653576, latitude: 44.6402324535177, stopType: 'Bus Stop Shelter Accessible', gotime: \'8309\', location: \'SOUTH PARK ST FS UNIVERSITY AVE&lt;NB&gt;\' }, </v>
      </c>
    </row>
    <row r="1387" spans="1:12" x14ac:dyDescent="0.25">
      <c r="A1387">
        <v>-63.848855863132101</v>
      </c>
      <c r="B1387">
        <v>44.707539507088903</v>
      </c>
      <c r="C1387">
        <v>1571</v>
      </c>
      <c r="D1387" t="s">
        <v>11</v>
      </c>
      <c r="E1387" t="s">
        <v>12</v>
      </c>
      <c r="F1387" t="s">
        <v>25</v>
      </c>
      <c r="G1387" t="s">
        <v>26</v>
      </c>
      <c r="H1387">
        <v>6815</v>
      </c>
      <c r="I1387" t="s">
        <v>2820</v>
      </c>
      <c r="J1387" t="s">
        <v>2821</v>
      </c>
      <c r="K1387" t="s">
        <v>17</v>
      </c>
      <c r="L1387" t="str">
        <f t="shared" si="21"/>
        <v xml:space="preserve">{ longitude: -63.8488558631321, latitude: 44.7075395070889, stopType: 'Bus Stop Non-Standard', gotime: \'6815\', location: \'HAMMONDS PLAINS RD FS STILLWATER LAKE DR\' }, </v>
      </c>
    </row>
    <row r="1388" spans="1:12" x14ac:dyDescent="0.25">
      <c r="A1388">
        <v>-63.576173400599203</v>
      </c>
      <c r="B1388">
        <v>44.634488210479603</v>
      </c>
      <c r="C1388">
        <v>306</v>
      </c>
      <c r="D1388" t="s">
        <v>22</v>
      </c>
      <c r="E1388" t="s">
        <v>12</v>
      </c>
      <c r="F1388" t="s">
        <v>13</v>
      </c>
      <c r="G1388" t="s">
        <v>19</v>
      </c>
      <c r="H1388">
        <v>8310</v>
      </c>
      <c r="I1388" t="s">
        <v>2822</v>
      </c>
      <c r="J1388" t="s">
        <v>2823</v>
      </c>
      <c r="K1388" t="s">
        <v>17</v>
      </c>
      <c r="L1388" t="str">
        <f t="shared" si="21"/>
        <v xml:space="preserve">{ longitude: -63.5761734005992, latitude: 44.6344882104796, stopType: 'Bus Stop Shelter Accessible', gotime: \'8310\', location: \'SOUTH PARK ST NS INGLIS ST &lt;SB&gt;\' }, </v>
      </c>
    </row>
    <row r="1389" spans="1:12" x14ac:dyDescent="0.25">
      <c r="A1389">
        <v>-63.743262829890597</v>
      </c>
      <c r="B1389">
        <v>44.726519973979798</v>
      </c>
      <c r="C1389">
        <v>1572</v>
      </c>
      <c r="D1389" t="s">
        <v>103</v>
      </c>
      <c r="E1389" t="s">
        <v>12</v>
      </c>
      <c r="F1389" t="s">
        <v>13</v>
      </c>
      <c r="G1389" t="s">
        <v>65</v>
      </c>
      <c r="H1389">
        <v>6816</v>
      </c>
      <c r="I1389" t="s">
        <v>2824</v>
      </c>
      <c r="J1389" t="s">
        <v>2825</v>
      </c>
      <c r="K1389" t="s">
        <v>17</v>
      </c>
      <c r="L1389" t="str">
        <f t="shared" si="21"/>
        <v xml:space="preserve">{ longitude: -63.7432628298906, latitude: 44.7265199739798, stopType: 'Bus Stop Inaccessible', gotime: \'6816\', location: \'HAMMONDS PLAINS RD FS ST.GEORGE BLVD\' }, </v>
      </c>
    </row>
    <row r="1390" spans="1:12" x14ac:dyDescent="0.25">
      <c r="A1390">
        <v>-63.578003694761499</v>
      </c>
      <c r="B1390">
        <v>44.638282282791302</v>
      </c>
      <c r="C1390">
        <v>307</v>
      </c>
      <c r="D1390" t="s">
        <v>29</v>
      </c>
      <c r="E1390" t="s">
        <v>12</v>
      </c>
      <c r="F1390" t="s">
        <v>13</v>
      </c>
      <c r="G1390" t="s">
        <v>19</v>
      </c>
      <c r="H1390">
        <v>8311</v>
      </c>
      <c r="I1390" t="s">
        <v>2826</v>
      </c>
      <c r="J1390" t="s">
        <v>2827</v>
      </c>
      <c r="K1390" t="s">
        <v>17</v>
      </c>
      <c r="L1390" t="str">
        <f t="shared" si="21"/>
        <v xml:space="preserve">{ longitude: -63.5780036947615, latitude: 44.6382822827913, stopType: 'Bus Stop Accessible', gotime: \'8311\', location: \'SOUTH PARK ST NS SOUTH ST &lt;SB&gt;\' }, </v>
      </c>
    </row>
    <row r="1391" spans="1:12" x14ac:dyDescent="0.25">
      <c r="A1391">
        <v>-63.744725369164897</v>
      </c>
      <c r="B1391">
        <v>44.727138572374997</v>
      </c>
      <c r="C1391">
        <v>1573</v>
      </c>
      <c r="D1391" t="s">
        <v>11</v>
      </c>
      <c r="E1391" t="s">
        <v>12</v>
      </c>
      <c r="F1391" t="s">
        <v>25</v>
      </c>
      <c r="G1391" t="s">
        <v>26</v>
      </c>
      <c r="H1391">
        <v>6817</v>
      </c>
      <c r="I1391" t="s">
        <v>2828</v>
      </c>
      <c r="J1391" t="s">
        <v>2829</v>
      </c>
      <c r="K1391" t="s">
        <v>17</v>
      </c>
      <c r="L1391" t="str">
        <f t="shared" si="21"/>
        <v xml:space="preserve">{ longitude: -63.7447253691649, latitude: 44.727138572375, stopType: 'Bus Stop Non-Standard', gotime: \'6817\', location: \'HAMMONDS PLAINS RD AT M &amp; S BAKERY\' }, </v>
      </c>
    </row>
    <row r="1392" spans="1:12" x14ac:dyDescent="0.25">
      <c r="A1392">
        <v>-63.579605677469203</v>
      </c>
      <c r="B1392">
        <v>44.642084473277002</v>
      </c>
      <c r="C1392">
        <v>308</v>
      </c>
      <c r="D1392" t="s">
        <v>29</v>
      </c>
      <c r="E1392" t="s">
        <v>12</v>
      </c>
      <c r="F1392" t="s">
        <v>13</v>
      </c>
      <c r="G1392" t="s">
        <v>14</v>
      </c>
      <c r="H1392">
        <v>8312</v>
      </c>
      <c r="I1392" t="s">
        <v>2830</v>
      </c>
      <c r="J1392" t="s">
        <v>2831</v>
      </c>
      <c r="K1392" t="s">
        <v>17</v>
      </c>
      <c r="L1392" t="str">
        <f t="shared" si="21"/>
        <v xml:space="preserve">{ longitude: -63.5796056774692, latitude: 44.642084473277, stopType: 'Bus Stop Accessible', gotime: \'8312\', location: \'SOUTH PARK ST NS SPRING GARDEN RD &lt;NB&gt;\' }, </v>
      </c>
    </row>
    <row r="1393" spans="1:12" x14ac:dyDescent="0.25">
      <c r="A1393">
        <v>-63.6881743380399</v>
      </c>
      <c r="B1393">
        <v>44.721305775909201</v>
      </c>
      <c r="C1393">
        <v>1574</v>
      </c>
      <c r="D1393" t="s">
        <v>29</v>
      </c>
      <c r="E1393" t="s">
        <v>12</v>
      </c>
      <c r="F1393" t="s">
        <v>25</v>
      </c>
      <c r="G1393" t="s">
        <v>26</v>
      </c>
      <c r="H1393">
        <v>6818</v>
      </c>
      <c r="I1393" t="s">
        <v>2832</v>
      </c>
      <c r="J1393" t="s">
        <v>2833</v>
      </c>
      <c r="K1393" t="s">
        <v>17</v>
      </c>
      <c r="L1393" t="str">
        <f t="shared" si="21"/>
        <v xml:space="preserve">{ longitude: -63.6881743380399, latitude: 44.7213057759092, stopType: 'Bus Stop Accessible', gotime: \'6818\', location: \'HAMMONDS PLAINS RD AT BROOKSHIRE CRT\' }, </v>
      </c>
    </row>
    <row r="1394" spans="1:12" x14ac:dyDescent="0.25">
      <c r="A1394">
        <v>-63.578946751213898</v>
      </c>
      <c r="B1394">
        <v>44.640245365543699</v>
      </c>
      <c r="C1394">
        <v>309</v>
      </c>
      <c r="D1394" t="s">
        <v>29</v>
      </c>
      <c r="E1394" t="s">
        <v>12</v>
      </c>
      <c r="F1394" t="s">
        <v>13</v>
      </c>
      <c r="G1394" t="s">
        <v>14</v>
      </c>
      <c r="H1394">
        <v>8313</v>
      </c>
      <c r="I1394" t="s">
        <v>2834</v>
      </c>
      <c r="J1394" t="s">
        <v>2835</v>
      </c>
      <c r="K1394" t="s">
        <v>17</v>
      </c>
      <c r="L1394" t="str">
        <f t="shared" si="21"/>
        <v xml:space="preserve">{ longitude: -63.5789467512139, latitude: 44.6402453655437, stopType: 'Bus Stop Accessible', gotime: \'8313\', location: \'SOUTH PARK ST NS UNIVERSITY AVE &lt;SB&gt;\' }, </v>
      </c>
    </row>
    <row r="1395" spans="1:12" x14ac:dyDescent="0.25">
      <c r="A1395">
        <v>-63.754323388476102</v>
      </c>
      <c r="B1395">
        <v>44.730792505840199</v>
      </c>
      <c r="C1395">
        <v>1575</v>
      </c>
      <c r="D1395" t="s">
        <v>11</v>
      </c>
      <c r="E1395" t="s">
        <v>12</v>
      </c>
      <c r="F1395" t="s">
        <v>25</v>
      </c>
      <c r="G1395" t="s">
        <v>26</v>
      </c>
      <c r="H1395">
        <v>6819</v>
      </c>
      <c r="I1395" t="s">
        <v>2836</v>
      </c>
      <c r="J1395" t="s">
        <v>2837</v>
      </c>
      <c r="K1395" t="s">
        <v>17</v>
      </c>
      <c r="L1395" t="str">
        <f t="shared" si="21"/>
        <v xml:space="preserve">{ longitude: -63.7543233884761, latitude: 44.7307925058402, stopType: 'Bus Stop Non-Standard', gotime: \'6819\', location: \'HAMMONDS PLAINS RD NS CIVIC 1541\' }, </v>
      </c>
    </row>
    <row r="1396" spans="1:12" x14ac:dyDescent="0.25">
      <c r="A1396">
        <v>-63.576526107798102</v>
      </c>
      <c r="B1396">
        <v>44.635709364680402</v>
      </c>
      <c r="C1396">
        <v>310</v>
      </c>
      <c r="D1396" t="s">
        <v>22</v>
      </c>
      <c r="E1396" t="s">
        <v>12</v>
      </c>
      <c r="F1396" t="s">
        <v>13</v>
      </c>
      <c r="G1396" t="s">
        <v>14</v>
      </c>
      <c r="H1396">
        <v>8314</v>
      </c>
      <c r="I1396" t="s">
        <v>2838</v>
      </c>
      <c r="J1396" t="s">
        <v>2839</v>
      </c>
      <c r="K1396" t="s">
        <v>17</v>
      </c>
      <c r="L1396" t="str">
        <f t="shared" si="21"/>
        <v xml:space="preserve">{ longitude: -63.5765261077981, latitude: 44.6357093646804, stopType: 'Bus Stop Shelter Accessible', gotime: \'8314\', location: \'SOUTH PARK ST NS VICTORIA RD &lt;NB&gt;\' }, </v>
      </c>
    </row>
    <row r="1397" spans="1:12" x14ac:dyDescent="0.25">
      <c r="A1397">
        <v>-63.772944906888704</v>
      </c>
      <c r="B1397">
        <v>44.733855459951798</v>
      </c>
      <c r="C1397">
        <v>1576</v>
      </c>
      <c r="D1397" t="s">
        <v>103</v>
      </c>
      <c r="E1397" t="s">
        <v>12</v>
      </c>
      <c r="F1397" t="s">
        <v>25</v>
      </c>
      <c r="G1397" t="s">
        <v>65</v>
      </c>
      <c r="H1397">
        <v>6820</v>
      </c>
      <c r="I1397" t="s">
        <v>2840</v>
      </c>
      <c r="J1397" t="s">
        <v>2841</v>
      </c>
      <c r="K1397" t="s">
        <v>17</v>
      </c>
      <c r="L1397" t="str">
        <f t="shared" si="21"/>
        <v xml:space="preserve">{ longitude: -63.7729449068887, latitude: 44.7338554599518, stopType: 'Bus Stop Inaccessible', gotime: \'6820\', location: \'HAMMONDS PLAINS RD NS CIVIC 1881\' }, </v>
      </c>
    </row>
    <row r="1398" spans="1:12" x14ac:dyDescent="0.25">
      <c r="A1398">
        <v>-63.576849371359899</v>
      </c>
      <c r="B1398">
        <v>44.635918613401898</v>
      </c>
      <c r="C1398">
        <v>311</v>
      </c>
      <c r="D1398" t="s">
        <v>29</v>
      </c>
      <c r="E1398" t="s">
        <v>12</v>
      </c>
      <c r="F1398" t="s">
        <v>13</v>
      </c>
      <c r="G1398" t="s">
        <v>14</v>
      </c>
      <c r="H1398">
        <v>8315</v>
      </c>
      <c r="I1398" t="s">
        <v>2842</v>
      </c>
      <c r="J1398" t="s">
        <v>2843</v>
      </c>
      <c r="K1398" t="s">
        <v>17</v>
      </c>
      <c r="L1398" t="str">
        <f t="shared" si="21"/>
        <v xml:space="preserve">{ longitude: -63.5768493713599, latitude: 44.6359186134019, stopType: 'Bus Stop Accessible', gotime: \'8315\', location: \'SOUTH PARK ST NS VICTORIA RD &lt;SB&gt;\' }, </v>
      </c>
    </row>
    <row r="1399" spans="1:12" x14ac:dyDescent="0.25">
      <c r="A1399">
        <v>-63.807218468167498</v>
      </c>
      <c r="B1399">
        <v>44.733249548107203</v>
      </c>
      <c r="C1399">
        <v>1577</v>
      </c>
      <c r="D1399" t="s">
        <v>103</v>
      </c>
      <c r="E1399" t="s">
        <v>12</v>
      </c>
      <c r="F1399" t="s">
        <v>25</v>
      </c>
      <c r="G1399" t="s">
        <v>65</v>
      </c>
      <c r="H1399">
        <v>6821</v>
      </c>
      <c r="I1399" t="s">
        <v>2844</v>
      </c>
      <c r="J1399" t="s">
        <v>2845</v>
      </c>
      <c r="K1399" t="s">
        <v>17</v>
      </c>
      <c r="L1399" t="str">
        <f t="shared" si="21"/>
        <v xml:space="preserve">{ longitude: -63.8072184681675, latitude: 44.7332495481072, stopType: 'Bus Stop Inaccessible', gotime: \'6821\', location: \'HAMMONDS PLAINS RD NS CIVIC 2465\' }, </v>
      </c>
    </row>
    <row r="1400" spans="1:12" x14ac:dyDescent="0.25">
      <c r="A1400">
        <v>-63.588305590861196</v>
      </c>
      <c r="B1400">
        <v>44.635637424367502</v>
      </c>
      <c r="C1400">
        <v>312</v>
      </c>
      <c r="D1400" t="s">
        <v>29</v>
      </c>
      <c r="E1400" t="s">
        <v>12</v>
      </c>
      <c r="F1400" t="s">
        <v>13</v>
      </c>
      <c r="G1400" t="s">
        <v>19</v>
      </c>
      <c r="H1400">
        <v>8316</v>
      </c>
      <c r="I1400" t="s">
        <v>2846</v>
      </c>
      <c r="J1400" t="s">
        <v>2847</v>
      </c>
      <c r="K1400" t="s">
        <v>17</v>
      </c>
      <c r="L1400" t="str">
        <f t="shared" si="21"/>
        <v xml:space="preserve">{ longitude: -63.5883055908612, latitude: 44.6356374243675, stopType: 'Bus Stop Accessible', gotime: \'8316\', location: \'SOUTH ST FS CATARET ST &lt;EB&gt;\' }, </v>
      </c>
    </row>
    <row r="1401" spans="1:12" x14ac:dyDescent="0.25">
      <c r="A1401">
        <v>-63.8426683347299</v>
      </c>
      <c r="B1401">
        <v>44.709974383641899</v>
      </c>
      <c r="C1401">
        <v>1578</v>
      </c>
      <c r="D1401" t="s">
        <v>103</v>
      </c>
      <c r="E1401" t="s">
        <v>12</v>
      </c>
      <c r="F1401" t="s">
        <v>13</v>
      </c>
      <c r="G1401" t="s">
        <v>65</v>
      </c>
      <c r="H1401">
        <v>6822</v>
      </c>
      <c r="I1401" t="s">
        <v>2848</v>
      </c>
      <c r="J1401" t="s">
        <v>2849</v>
      </c>
      <c r="K1401" t="s">
        <v>17</v>
      </c>
      <c r="L1401" t="str">
        <f t="shared" si="21"/>
        <v xml:space="preserve">{ longitude: -63.8426683347299, latitude: 44.7099743836419, stopType: 'Bus Stop Inaccessible', gotime: \'6822\', location: \'HAMMONDS PLAINS RD NS CIVIC 3334\' }, </v>
      </c>
    </row>
    <row r="1402" spans="1:12" x14ac:dyDescent="0.25">
      <c r="A1402">
        <v>-63.585863396333103</v>
      </c>
      <c r="B1402">
        <v>44.636325195074797</v>
      </c>
      <c r="C1402">
        <v>313</v>
      </c>
      <c r="D1402" t="s">
        <v>29</v>
      </c>
      <c r="E1402" t="s">
        <v>12</v>
      </c>
      <c r="F1402" t="s">
        <v>13</v>
      </c>
      <c r="G1402" t="s">
        <v>19</v>
      </c>
      <c r="H1402">
        <v>8317</v>
      </c>
      <c r="I1402" t="s">
        <v>2850</v>
      </c>
      <c r="J1402" t="s">
        <v>2851</v>
      </c>
      <c r="K1402" t="s">
        <v>17</v>
      </c>
      <c r="L1402" t="str">
        <f t="shared" si="21"/>
        <v xml:space="preserve">{ longitude: -63.5858633963331, latitude: 44.6363251950748, stopType: 'Bus Stop Accessible', gotime: \'8317\', location: \'SOUTH ST &lt;WB&gt; NS EDWARD\' }, </v>
      </c>
    </row>
    <row r="1403" spans="1:12" x14ac:dyDescent="0.25">
      <c r="A1403">
        <v>-63.754911800189397</v>
      </c>
      <c r="B1403">
        <v>44.730815605586002</v>
      </c>
      <c r="C1403">
        <v>1579</v>
      </c>
      <c r="D1403" t="s">
        <v>103</v>
      </c>
      <c r="E1403" t="s">
        <v>12</v>
      </c>
      <c r="F1403" t="s">
        <v>13</v>
      </c>
      <c r="G1403" t="s">
        <v>65</v>
      </c>
      <c r="H1403">
        <v>6823</v>
      </c>
      <c r="I1403" t="s">
        <v>2852</v>
      </c>
      <c r="J1403" t="s">
        <v>2853</v>
      </c>
      <c r="K1403" t="s">
        <v>17</v>
      </c>
      <c r="L1403" t="str">
        <f t="shared" si="21"/>
        <v xml:space="preserve">{ longitude: -63.7549118001894, latitude: 44.730815605586, stopType: 'Bus Stop Inaccessible', gotime: \'6823\', location: \'HAMMONDS PLAINS RD NS CIVIC 1546\' }, </v>
      </c>
    </row>
    <row r="1404" spans="1:12" x14ac:dyDescent="0.25">
      <c r="A1404">
        <v>-63.527953893991999</v>
      </c>
      <c r="B1404">
        <v>44.681166567910402</v>
      </c>
      <c r="C1404">
        <v>314</v>
      </c>
      <c r="D1404" t="s">
        <v>29</v>
      </c>
      <c r="E1404" t="s">
        <v>12</v>
      </c>
      <c r="F1404" t="s">
        <v>13</v>
      </c>
      <c r="G1404" t="s">
        <v>14</v>
      </c>
      <c r="H1404">
        <v>8318</v>
      </c>
      <c r="I1404" t="s">
        <v>2854</v>
      </c>
      <c r="J1404" t="s">
        <v>2855</v>
      </c>
      <c r="K1404" t="s">
        <v>17</v>
      </c>
      <c r="L1404" t="str">
        <f t="shared" si="21"/>
        <v xml:space="preserve">{ longitude: -63.527953893992, latitude: 44.6811665679104, stopType: 'Bus Stop Accessible', gotime: \'8318\', location: \'SPIKENARD FS WOODLAWN RD\' }, </v>
      </c>
    </row>
    <row r="1405" spans="1:12" x14ac:dyDescent="0.25">
      <c r="A1405">
        <v>-63.849517900123097</v>
      </c>
      <c r="B1405">
        <v>44.707010858448903</v>
      </c>
      <c r="C1405">
        <v>1580</v>
      </c>
      <c r="D1405" t="s">
        <v>103</v>
      </c>
      <c r="E1405" t="s">
        <v>12</v>
      </c>
      <c r="F1405" t="s">
        <v>13</v>
      </c>
      <c r="G1405" t="s">
        <v>65</v>
      </c>
      <c r="H1405">
        <v>6824</v>
      </c>
      <c r="I1405" t="s">
        <v>2856</v>
      </c>
      <c r="J1405" t="s">
        <v>2857</v>
      </c>
      <c r="K1405" t="s">
        <v>17</v>
      </c>
      <c r="L1405" t="str">
        <f t="shared" si="21"/>
        <v xml:space="preserve">{ longitude: -63.8495179001231, latitude: 44.7070108584489, stopType: 'Bus Stop Inaccessible', gotime: \'6824\', location: \'HAMMONDS PLAINS RD NS FLAT LAKE DR\' }, </v>
      </c>
    </row>
    <row r="1406" spans="1:12" x14ac:dyDescent="0.25">
      <c r="A1406">
        <v>-63.533823925852801</v>
      </c>
      <c r="B1406">
        <v>44.679468636790901</v>
      </c>
      <c r="C1406">
        <v>315</v>
      </c>
      <c r="D1406" t="s">
        <v>29</v>
      </c>
      <c r="E1406" t="s">
        <v>12</v>
      </c>
      <c r="F1406" t="s">
        <v>13</v>
      </c>
      <c r="G1406" t="s">
        <v>14</v>
      </c>
      <c r="H1406">
        <v>8319</v>
      </c>
      <c r="I1406" t="s">
        <v>2858</v>
      </c>
      <c r="J1406" t="s">
        <v>2859</v>
      </c>
      <c r="K1406" t="s">
        <v>17</v>
      </c>
      <c r="L1406" t="str">
        <f t="shared" si="21"/>
        <v xml:space="preserve">{ longitude: -63.5338239258528, latitude: 44.6794686367909, stopType: 'Bus Stop Accessible', gotime: \'8319\', location: \'SPIKENARD AT CIVIC 59 [IB]\' }, </v>
      </c>
    </row>
    <row r="1407" spans="1:12" x14ac:dyDescent="0.25">
      <c r="A1407">
        <v>-63.543263859084</v>
      </c>
      <c r="B1407">
        <v>44.856299039645499</v>
      </c>
      <c r="C1407">
        <v>1581</v>
      </c>
      <c r="D1407" t="s">
        <v>11</v>
      </c>
      <c r="E1407" t="s">
        <v>12</v>
      </c>
      <c r="F1407" t="s">
        <v>1091</v>
      </c>
      <c r="G1407" t="s">
        <v>2860</v>
      </c>
      <c r="H1407">
        <v>9003</v>
      </c>
      <c r="I1407" t="s">
        <v>2861</v>
      </c>
      <c r="J1407" t="s">
        <v>2862</v>
      </c>
      <c r="K1407" t="s">
        <v>1593</v>
      </c>
      <c r="L1407" t="str">
        <f t="shared" si="21"/>
        <v xml:space="preserve">{ longitude: -63.543263859084, latitude: 44.8562990396455, stopType: 'Bus Stop Non-Standard', gotime: \'9003\', location: \'AEROTECH DR &lt;NS&gt; PRATT AND WHITNEY DR\' }, </v>
      </c>
    </row>
    <row r="1408" spans="1:12" x14ac:dyDescent="0.25">
      <c r="A1408">
        <v>-63.528234994968997</v>
      </c>
      <c r="B1408">
        <v>44.680891678977197</v>
      </c>
      <c r="C1408">
        <v>316</v>
      </c>
      <c r="D1408" t="s">
        <v>11</v>
      </c>
      <c r="E1408" t="s">
        <v>12</v>
      </c>
      <c r="F1408" t="s">
        <v>13</v>
      </c>
      <c r="G1408" t="s">
        <v>19</v>
      </c>
      <c r="H1408">
        <v>8320</v>
      </c>
      <c r="I1408" t="s">
        <v>2863</v>
      </c>
      <c r="J1408" t="s">
        <v>2864</v>
      </c>
      <c r="K1408" t="s">
        <v>17</v>
      </c>
      <c r="L1408" t="str">
        <f t="shared" si="21"/>
        <v xml:space="preserve">{ longitude: -63.528234994969, latitude: 44.6808916789772, stopType: 'Bus Stop Non-Standard', gotime: \'8320\', location: \'SPIKENARD AT CIVIC 90\' }, </v>
      </c>
    </row>
    <row r="1409" spans="1:12" x14ac:dyDescent="0.25">
      <c r="A1409">
        <v>-63.543555614386101</v>
      </c>
      <c r="B1409">
        <v>44.856482539852202</v>
      </c>
      <c r="C1409">
        <v>1582</v>
      </c>
      <c r="D1409" t="s">
        <v>11</v>
      </c>
      <c r="E1409" t="s">
        <v>12</v>
      </c>
      <c r="F1409" t="s">
        <v>1091</v>
      </c>
      <c r="G1409" t="s">
        <v>2860</v>
      </c>
      <c r="H1409">
        <v>9004</v>
      </c>
      <c r="I1409" t="s">
        <v>2865</v>
      </c>
      <c r="J1409" t="s">
        <v>2866</v>
      </c>
      <c r="K1409" t="s">
        <v>1593</v>
      </c>
      <c r="L1409" t="str">
        <f t="shared" si="21"/>
        <v xml:space="preserve">{ longitude: -63.5435556143861, latitude: 44.8564825398522, stopType: 'Bus Stop Non-Standard', gotime: \'9004\', location: \'AEROTECH DR &lt;FS&gt; PRATT AND WHITNEY DR\' }, </v>
      </c>
    </row>
    <row r="1410" spans="1:12" x14ac:dyDescent="0.25">
      <c r="A1410">
        <v>-63.530806715461502</v>
      </c>
      <c r="B1410">
        <v>44.680442038683502</v>
      </c>
      <c r="C1410">
        <v>317</v>
      </c>
      <c r="D1410" t="s">
        <v>29</v>
      </c>
      <c r="E1410" t="s">
        <v>12</v>
      </c>
      <c r="F1410" t="s">
        <v>13</v>
      </c>
      <c r="G1410" t="s">
        <v>14</v>
      </c>
      <c r="H1410">
        <v>8321</v>
      </c>
      <c r="I1410" t="s">
        <v>2867</v>
      </c>
      <c r="J1410" t="s">
        <v>2868</v>
      </c>
      <c r="K1410" t="s">
        <v>17</v>
      </c>
      <c r="L1410" t="str">
        <f t="shared" si="21"/>
        <v xml:space="preserve">{ longitude: -63.5308067154615, latitude: 44.6804420386835, stopType: 'Bus Stop Accessible', gotime: \'8321\', location: \'SPIKENARD NS WEYBURN &lt;WB&gt;\' }, </v>
      </c>
    </row>
    <row r="1411" spans="1:12" x14ac:dyDescent="0.25">
      <c r="A1411">
        <v>-63.532176231707098</v>
      </c>
      <c r="B1411">
        <v>44.680070895399901</v>
      </c>
      <c r="C1411">
        <v>1583</v>
      </c>
      <c r="D1411" t="s">
        <v>11</v>
      </c>
      <c r="E1411" t="s">
        <v>12</v>
      </c>
      <c r="F1411" t="s">
        <v>13</v>
      </c>
      <c r="G1411" t="s">
        <v>19</v>
      </c>
      <c r="H1411">
        <v>8323</v>
      </c>
      <c r="I1411" t="s">
        <v>2869</v>
      </c>
      <c r="J1411" t="s">
        <v>2870</v>
      </c>
      <c r="K1411" t="s">
        <v>17</v>
      </c>
      <c r="L1411" t="str">
        <f t="shared" ref="L1411:L1474" si="22">CONCATENATE( "{ longitude: ", A1411, ", latitude: ", B1411, ", stopType: '", D1411, "', gotime: \'", H1411, "\', location: \'", I1411, "\' }, ")</f>
        <v xml:space="preserve">{ longitude: -63.5321762317071, latitude: 44.6800708953999, stopType: 'Bus Stop Non-Standard', gotime: \'8323\', location: \'SPIKENARD OPP CIVIC 74 &lt;EB&gt;\' }, </v>
      </c>
    </row>
    <row r="1412" spans="1:12" x14ac:dyDescent="0.25">
      <c r="A1412">
        <v>-63.562989736189898</v>
      </c>
      <c r="B1412">
        <v>44.686655900792601</v>
      </c>
      <c r="C1412">
        <v>318</v>
      </c>
      <c r="D1412" t="s">
        <v>11</v>
      </c>
      <c r="E1412" t="s">
        <v>12</v>
      </c>
      <c r="F1412" t="s">
        <v>13</v>
      </c>
      <c r="G1412" t="s">
        <v>14</v>
      </c>
      <c r="H1412">
        <v>7211</v>
      </c>
      <c r="I1412" t="s">
        <v>2871</v>
      </c>
      <c r="J1412" t="s">
        <v>2872</v>
      </c>
      <c r="K1412" t="s">
        <v>17</v>
      </c>
      <c r="L1412" t="str">
        <f t="shared" si="22"/>
        <v xml:space="preserve">{ longitude: -63.5629897361899, latitude: 44.6866559007926, stopType: 'Bus Stop Non-Standard', gotime: \'7211\', location: \'MIC MAC BLVD FS KENT ENTRANCE\' }, </v>
      </c>
    </row>
    <row r="1413" spans="1:12" x14ac:dyDescent="0.25">
      <c r="A1413">
        <v>-63.516708733268601</v>
      </c>
      <c r="B1413">
        <v>44.6754996490872</v>
      </c>
      <c r="C1413">
        <v>1584</v>
      </c>
      <c r="D1413" t="s">
        <v>29</v>
      </c>
      <c r="E1413" t="s">
        <v>12</v>
      </c>
      <c r="F1413" t="s">
        <v>25</v>
      </c>
      <c r="G1413" t="s">
        <v>19</v>
      </c>
      <c r="H1413">
        <v>8324</v>
      </c>
      <c r="I1413" t="s">
        <v>2873</v>
      </c>
      <c r="J1413" t="s">
        <v>2874</v>
      </c>
      <c r="K1413" t="s">
        <v>17</v>
      </c>
      <c r="L1413" t="str">
        <f t="shared" si="22"/>
        <v xml:space="preserve">{ longitude: -63.5167087332686, latitude: 44.6754996490872, stopType: 'Bus Stop Accessible', gotime: \'8324\', location: \'SPRING AVE AT GRANDVIEW\' }, </v>
      </c>
    </row>
    <row r="1414" spans="1:12" x14ac:dyDescent="0.25">
      <c r="A1414">
        <v>-63.563655121174399</v>
      </c>
      <c r="B1414">
        <v>44.686606821540202</v>
      </c>
      <c r="C1414">
        <v>319</v>
      </c>
      <c r="D1414" t="s">
        <v>29</v>
      </c>
      <c r="E1414" t="s">
        <v>12</v>
      </c>
      <c r="F1414" t="s">
        <v>13</v>
      </c>
      <c r="G1414" t="s">
        <v>19</v>
      </c>
      <c r="H1414">
        <v>7213</v>
      </c>
      <c r="I1414" t="s">
        <v>2875</v>
      </c>
      <c r="J1414" t="s">
        <v>2876</v>
      </c>
      <c r="K1414" t="s">
        <v>17</v>
      </c>
      <c r="L1414" t="str">
        <f t="shared" si="22"/>
        <v xml:space="preserve">{ longitude: -63.5636551211744, latitude: 44.6866068215402, stopType: 'Bus Stop Accessible', gotime: \'7213\', location: \'MIC MAC BLVD NS KINGS APTS\' }, </v>
      </c>
    </row>
    <row r="1415" spans="1:12" x14ac:dyDescent="0.25">
      <c r="A1415">
        <v>-63.5180485249914</v>
      </c>
      <c r="B1415">
        <v>44.6721146799702</v>
      </c>
      <c r="C1415">
        <v>1585</v>
      </c>
      <c r="D1415" t="s">
        <v>11</v>
      </c>
      <c r="E1415" t="s">
        <v>12</v>
      </c>
      <c r="F1415" t="s">
        <v>13</v>
      </c>
      <c r="G1415" t="s">
        <v>14</v>
      </c>
      <c r="H1415">
        <v>8325</v>
      </c>
      <c r="I1415" t="s">
        <v>2877</v>
      </c>
      <c r="J1415" t="s">
        <v>2878</v>
      </c>
      <c r="K1415" t="s">
        <v>17</v>
      </c>
      <c r="L1415" t="str">
        <f t="shared" si="22"/>
        <v xml:space="preserve">{ longitude: -63.5180485249914, latitude: 44.6721146799702, stopType: 'Bus Stop Non-Standard', gotime: \'8325\', location: \'SPRING AVE AT PEMBROOKE CT\' }, </v>
      </c>
    </row>
    <row r="1416" spans="1:12" x14ac:dyDescent="0.25">
      <c r="A1416">
        <v>-63.588556913409597</v>
      </c>
      <c r="B1416">
        <v>44.658846061010102</v>
      </c>
      <c r="C1416">
        <v>1586</v>
      </c>
      <c r="D1416" t="s">
        <v>22</v>
      </c>
      <c r="E1416" t="s">
        <v>12</v>
      </c>
      <c r="F1416" t="s">
        <v>13</v>
      </c>
      <c r="G1416" t="s">
        <v>19</v>
      </c>
      <c r="H1416">
        <v>7150</v>
      </c>
      <c r="I1416" t="s">
        <v>2879</v>
      </c>
      <c r="J1416" t="s">
        <v>2880</v>
      </c>
      <c r="K1416" t="s">
        <v>17</v>
      </c>
      <c r="L1416" t="str">
        <f t="shared" si="22"/>
        <v xml:space="preserve">{ longitude: -63.5885569134096, latitude: 44.6588460610101, stopType: 'Bus Stop Shelter Accessible', gotime: \'7150\', location: \'MACDONALD BRIDGE RAMP AT BARRINGTON\' }, </v>
      </c>
    </row>
    <row r="1417" spans="1:12" x14ac:dyDescent="0.25">
      <c r="A1417">
        <v>-63.568078201446703</v>
      </c>
      <c r="B1417">
        <v>44.684917013178897</v>
      </c>
      <c r="C1417">
        <v>320</v>
      </c>
      <c r="D1417" t="s">
        <v>22</v>
      </c>
      <c r="E1417" t="s">
        <v>12</v>
      </c>
      <c r="F1417" t="s">
        <v>13</v>
      </c>
      <c r="G1417" t="s">
        <v>19</v>
      </c>
      <c r="H1417">
        <v>7214</v>
      </c>
      <c r="I1417" t="s">
        <v>2881</v>
      </c>
      <c r="J1417" t="s">
        <v>2882</v>
      </c>
      <c r="K1417" t="s">
        <v>17</v>
      </c>
      <c r="L1417" t="str">
        <f t="shared" si="22"/>
        <v xml:space="preserve">{ longitude: -63.5680782014467, latitude: 44.6849170131789, stopType: 'Bus Stop Shelter Accessible', gotime: \'7214\', location: \'MIC MAC BLVD FS WOODLAND AVE\' }, </v>
      </c>
    </row>
    <row r="1418" spans="1:12" x14ac:dyDescent="0.25">
      <c r="A1418">
        <v>-63.5979318906274</v>
      </c>
      <c r="B1418">
        <v>44.700208342456101</v>
      </c>
      <c r="C1418">
        <v>1587</v>
      </c>
      <c r="D1418" t="s">
        <v>11</v>
      </c>
      <c r="E1418" t="s">
        <v>12</v>
      </c>
      <c r="F1418" t="s">
        <v>25</v>
      </c>
      <c r="G1418" t="s">
        <v>26</v>
      </c>
      <c r="H1418">
        <v>7152</v>
      </c>
      <c r="I1418" t="s">
        <v>2883</v>
      </c>
      <c r="J1418" t="s">
        <v>2884</v>
      </c>
      <c r="K1418" t="s">
        <v>17</v>
      </c>
      <c r="L1418" t="str">
        <f t="shared" si="22"/>
        <v xml:space="preserve">{ longitude: -63.5979318906274, latitude: 44.7002083424561, stopType: 'Bus Stop Non-Standard', gotime: \'7152\', location: \'MACDONALD AVE AT CIVIC 25\' }, </v>
      </c>
    </row>
    <row r="1419" spans="1:12" x14ac:dyDescent="0.25">
      <c r="A1419">
        <v>-63.600096910422401</v>
      </c>
      <c r="B1419">
        <v>44.701368384066697</v>
      </c>
      <c r="C1419">
        <v>1588</v>
      </c>
      <c r="D1419" t="s">
        <v>11</v>
      </c>
      <c r="E1419" t="s">
        <v>12</v>
      </c>
      <c r="F1419" t="s">
        <v>25</v>
      </c>
      <c r="G1419" t="s">
        <v>26</v>
      </c>
      <c r="H1419">
        <v>7153</v>
      </c>
      <c r="I1419" t="s">
        <v>2885</v>
      </c>
      <c r="J1419" t="s">
        <v>2886</v>
      </c>
      <c r="K1419" t="s">
        <v>17</v>
      </c>
      <c r="L1419" t="str">
        <f t="shared" si="22"/>
        <v xml:space="preserve">{ longitude: -63.6000969104224, latitude: 44.7013683840667, stopType: 'Bus Stop Non-Standard', gotime: \'7153\', location: \'MACDONALD AVE AT WRIGHT AVE\' }, </v>
      </c>
    </row>
    <row r="1420" spans="1:12" x14ac:dyDescent="0.25">
      <c r="A1420">
        <v>-63.568315622665999</v>
      </c>
      <c r="B1420">
        <v>44.685268154713597</v>
      </c>
      <c r="C1420">
        <v>321</v>
      </c>
      <c r="D1420" t="s">
        <v>18</v>
      </c>
      <c r="E1420" t="s">
        <v>12</v>
      </c>
      <c r="F1420" t="s">
        <v>13</v>
      </c>
      <c r="G1420" t="s">
        <v>14</v>
      </c>
      <c r="H1420">
        <v>7215</v>
      </c>
      <c r="I1420" t="s">
        <v>2887</v>
      </c>
      <c r="J1420" t="s">
        <v>2888</v>
      </c>
      <c r="K1420" t="s">
        <v>17</v>
      </c>
      <c r="L1420" t="str">
        <f t="shared" si="22"/>
        <v xml:space="preserve">{ longitude: -63.568315622666, latitude: 44.6852681547136, stopType: 'Bus Stop Shelter Non-Standard', gotime: \'7215\', location: \'MIC MAC BLVD NS WOODLAND AVE\' }, </v>
      </c>
    </row>
    <row r="1421" spans="1:12" x14ac:dyDescent="0.25">
      <c r="A1421">
        <v>-63.585024114917701</v>
      </c>
      <c r="B1421">
        <v>44.695344815779201</v>
      </c>
      <c r="C1421">
        <v>1589</v>
      </c>
      <c r="D1421" t="s">
        <v>11</v>
      </c>
      <c r="E1421" t="s">
        <v>12</v>
      </c>
      <c r="F1421" t="s">
        <v>25</v>
      </c>
      <c r="G1421" t="s">
        <v>26</v>
      </c>
      <c r="H1421">
        <v>7154</v>
      </c>
      <c r="I1421" t="s">
        <v>2889</v>
      </c>
      <c r="J1421" t="s">
        <v>2890</v>
      </c>
      <c r="K1421" t="s">
        <v>17</v>
      </c>
      <c r="L1421" t="str">
        <f t="shared" si="22"/>
        <v xml:space="preserve">{ longitude: -63.5850241149177, latitude: 44.6953448157792, stopType: 'Bus Stop Non-Standard', gotime: \'7154\', location: \'MACDONALD AVE NS ILSLEY AVE\' }, </v>
      </c>
    </row>
    <row r="1422" spans="1:12" x14ac:dyDescent="0.25">
      <c r="A1422">
        <v>-63.561227183403702</v>
      </c>
      <c r="B1422">
        <v>44.685569573872499</v>
      </c>
      <c r="C1422">
        <v>322</v>
      </c>
      <c r="D1422" t="s">
        <v>22</v>
      </c>
      <c r="E1422" t="s">
        <v>12</v>
      </c>
      <c r="F1422" t="s">
        <v>13</v>
      </c>
      <c r="G1422" t="s">
        <v>19</v>
      </c>
      <c r="H1422">
        <v>7218</v>
      </c>
      <c r="I1422" t="s">
        <v>2891</v>
      </c>
      <c r="J1422" t="s">
        <v>2892</v>
      </c>
      <c r="K1422" t="s">
        <v>17</v>
      </c>
      <c r="L1422" t="str">
        <f t="shared" si="22"/>
        <v xml:space="preserve">{ longitude: -63.5612271834037, latitude: 44.6855695738725, stopType: 'Bus Stop Shelter Accessible', gotime: \'7218\', location: \'MIC MAC TERMINAL [IB]\' }, </v>
      </c>
    </row>
    <row r="1423" spans="1:12" x14ac:dyDescent="0.25">
      <c r="A1423">
        <v>-63.561005901385698</v>
      </c>
      <c r="B1423">
        <v>44.685524705053901</v>
      </c>
      <c r="C1423">
        <v>323</v>
      </c>
      <c r="D1423" t="s">
        <v>22</v>
      </c>
      <c r="E1423" t="s">
        <v>12</v>
      </c>
      <c r="F1423" t="s">
        <v>25</v>
      </c>
      <c r="G1423" t="s">
        <v>19</v>
      </c>
      <c r="H1423">
        <v>7219</v>
      </c>
      <c r="I1423" t="s">
        <v>2893</v>
      </c>
      <c r="J1423" t="s">
        <v>2894</v>
      </c>
      <c r="K1423" t="s">
        <v>17</v>
      </c>
      <c r="L1423" t="str">
        <f t="shared" si="22"/>
        <v xml:space="preserve">{ longitude: -63.5610059013857, latitude: 44.6855247050539, stopType: 'Bus Stop Shelter Accessible', gotime: \'7219\', location: \'MIC MAC TERMINAL [OB]\' }, </v>
      </c>
    </row>
    <row r="1424" spans="1:12" x14ac:dyDescent="0.25">
      <c r="A1424">
        <v>-63.591102575493402</v>
      </c>
      <c r="B1424">
        <v>44.697157295573703</v>
      </c>
      <c r="C1424">
        <v>1590</v>
      </c>
      <c r="D1424" t="s">
        <v>18</v>
      </c>
      <c r="E1424" t="s">
        <v>12</v>
      </c>
      <c r="F1424" t="s">
        <v>25</v>
      </c>
      <c r="G1424" t="s">
        <v>26</v>
      </c>
      <c r="H1424">
        <v>7155</v>
      </c>
      <c r="I1424" t="s">
        <v>2895</v>
      </c>
      <c r="J1424" t="s">
        <v>2896</v>
      </c>
      <c r="K1424" t="s">
        <v>17</v>
      </c>
      <c r="L1424" t="str">
        <f t="shared" si="22"/>
        <v xml:space="preserve">{ longitude: -63.5911025754934, latitude: 44.6971572955737, stopType: 'Bus Stop Shelter Non-Standard', gotime: \'7155\', location: \'MACDONALD AVE AT CIVIC 55\' }, </v>
      </c>
    </row>
    <row r="1425" spans="1:12" x14ac:dyDescent="0.25">
      <c r="A1425">
        <v>-63.5679419485677</v>
      </c>
      <c r="B1425">
        <v>44.685291272178802</v>
      </c>
      <c r="C1425">
        <v>324</v>
      </c>
      <c r="D1425" t="s">
        <v>769</v>
      </c>
      <c r="E1425" t="s">
        <v>741</v>
      </c>
      <c r="F1425" t="s">
        <v>13</v>
      </c>
      <c r="G1425" t="s">
        <v>1673</v>
      </c>
      <c r="H1425" t="s">
        <v>742</v>
      </c>
      <c r="I1425" t="s">
        <v>2897</v>
      </c>
      <c r="J1425" t="s">
        <v>2898</v>
      </c>
      <c r="K1425" t="s">
        <v>17</v>
      </c>
      <c r="L1425" t="str">
        <f t="shared" si="22"/>
        <v xml:space="preserve">{ longitude: -63.5679419485677, latitude: 44.6852912721788, stopType: 'Park and Ride', gotime: \' \', location: \'MAYBANK FIELD - MIC MAC BLVD\' }, </v>
      </c>
    </row>
    <row r="1426" spans="1:12" x14ac:dyDescent="0.25">
      <c r="A1426">
        <v>-63.567990483241097</v>
      </c>
      <c r="B1426">
        <v>44.666386550050497</v>
      </c>
      <c r="C1426">
        <v>1591</v>
      </c>
      <c r="D1426" t="s">
        <v>29</v>
      </c>
      <c r="E1426" t="s">
        <v>12</v>
      </c>
      <c r="F1426" t="s">
        <v>13</v>
      </c>
      <c r="G1426" t="s">
        <v>14</v>
      </c>
      <c r="H1426">
        <v>7059</v>
      </c>
      <c r="I1426" t="s">
        <v>2899</v>
      </c>
      <c r="J1426" t="s">
        <v>2900</v>
      </c>
      <c r="K1426" t="s">
        <v>17</v>
      </c>
      <c r="L1426" t="str">
        <f t="shared" si="22"/>
        <v xml:space="preserve">{ longitude: -63.5679904832411, latitude: 44.6663865500505, stopType: 'Bus Stop Accessible', gotime: \'7059\', location: \'KING ST NS OCHTERLONEY ST &lt;NB&gt;\' }, </v>
      </c>
    </row>
    <row r="1427" spans="1:12" x14ac:dyDescent="0.25">
      <c r="A1427">
        <v>-63.695738743774903</v>
      </c>
      <c r="B1427">
        <v>44.7720721609885</v>
      </c>
      <c r="C1427">
        <v>325</v>
      </c>
      <c r="D1427" t="s">
        <v>22</v>
      </c>
      <c r="E1427" t="s">
        <v>12</v>
      </c>
      <c r="F1427" t="s">
        <v>25</v>
      </c>
      <c r="G1427" t="s">
        <v>19</v>
      </c>
      <c r="H1427">
        <v>9000</v>
      </c>
      <c r="I1427" t="s">
        <v>2901</v>
      </c>
      <c r="J1427" t="s">
        <v>2902</v>
      </c>
      <c r="K1427" t="s">
        <v>17</v>
      </c>
      <c r="L1427" t="str">
        <f t="shared" si="22"/>
        <v xml:space="preserve">{ longitude: -63.6957387437749, latitude: 44.7720721609885, stopType: 'Bus Stop Shelter Accessible', gotime: \'9000\', location: \'DOWNSVIEW BESIDE SOBEYS\' }, </v>
      </c>
    </row>
    <row r="1428" spans="1:12" x14ac:dyDescent="0.25">
      <c r="A1428">
        <v>-63.662052368103701</v>
      </c>
      <c r="B1428">
        <v>44.670275184527398</v>
      </c>
      <c r="C1428">
        <v>1592</v>
      </c>
      <c r="D1428" t="s">
        <v>29</v>
      </c>
      <c r="E1428" t="s">
        <v>12</v>
      </c>
      <c r="F1428" t="s">
        <v>13</v>
      </c>
      <c r="G1428" t="s">
        <v>14</v>
      </c>
      <c r="H1428">
        <v>7060</v>
      </c>
      <c r="I1428" t="s">
        <v>2903</v>
      </c>
      <c r="J1428" t="s">
        <v>2904</v>
      </c>
      <c r="K1428" t="s">
        <v>17</v>
      </c>
      <c r="L1428" t="str">
        <f t="shared" si="22"/>
        <v xml:space="preserve">{ longitude: -63.6620523681037, latitude: 44.6702751845274, stopType: 'Bus Stop Accessible', gotime: \'7060\', location: \'KNIGHTSRIDGE DR FS DUNBRACK ST\' }, </v>
      </c>
    </row>
    <row r="1429" spans="1:12" x14ac:dyDescent="0.25">
      <c r="A1429">
        <v>-63.696027676313101</v>
      </c>
      <c r="B1429">
        <v>44.772191190009899</v>
      </c>
      <c r="C1429">
        <v>326</v>
      </c>
      <c r="D1429" t="s">
        <v>29</v>
      </c>
      <c r="E1429" t="s">
        <v>12</v>
      </c>
      <c r="F1429" t="s">
        <v>25</v>
      </c>
      <c r="G1429" t="s">
        <v>19</v>
      </c>
      <c r="H1429">
        <v>9001</v>
      </c>
      <c r="I1429" t="s">
        <v>2905</v>
      </c>
      <c r="J1429" t="s">
        <v>2906</v>
      </c>
      <c r="K1429" t="s">
        <v>17</v>
      </c>
      <c r="L1429" t="str">
        <f t="shared" si="22"/>
        <v xml:space="preserve">{ longitude: -63.6960276763131, latitude: 44.7721911900099, stopType: 'Bus Stop Accessible', gotime: \'9001\', location: \'DOWNSVIEW OPP SOBEYS\' }, </v>
      </c>
    </row>
    <row r="1430" spans="1:12" x14ac:dyDescent="0.25">
      <c r="A1430">
        <v>-63.660329678354501</v>
      </c>
      <c r="B1430">
        <v>44.6716132119505</v>
      </c>
      <c r="C1430">
        <v>1593</v>
      </c>
      <c r="D1430" t="s">
        <v>29</v>
      </c>
      <c r="E1430" t="s">
        <v>12</v>
      </c>
      <c r="F1430" t="s">
        <v>13</v>
      </c>
      <c r="G1430" t="s">
        <v>14</v>
      </c>
      <c r="H1430">
        <v>7061</v>
      </c>
      <c r="I1430" t="s">
        <v>2907</v>
      </c>
      <c r="J1430" t="s">
        <v>2908</v>
      </c>
      <c r="K1430" t="s">
        <v>17</v>
      </c>
      <c r="L1430" t="str">
        <f t="shared" si="22"/>
        <v xml:space="preserve">{ longitude: -63.6603296783545, latitude: 44.6716132119505, stopType: 'Bus Stop Accessible', gotime: \'7061\', location: \'KNIGHTSRIDGE DR FS FLAMINGO DR\' }, </v>
      </c>
    </row>
    <row r="1431" spans="1:12" x14ac:dyDescent="0.25">
      <c r="A1431">
        <v>-63.658328565377602</v>
      </c>
      <c r="B1431">
        <v>44.759068147412201</v>
      </c>
      <c r="C1431">
        <v>327</v>
      </c>
      <c r="D1431" t="s">
        <v>11</v>
      </c>
      <c r="E1431" t="s">
        <v>12</v>
      </c>
      <c r="F1431" t="s">
        <v>25</v>
      </c>
      <c r="G1431" t="s">
        <v>19</v>
      </c>
      <c r="H1431">
        <v>9002</v>
      </c>
      <c r="I1431" t="s">
        <v>2909</v>
      </c>
      <c r="J1431" t="s">
        <v>2910</v>
      </c>
      <c r="K1431" t="s">
        <v>17</v>
      </c>
      <c r="L1431" t="str">
        <f t="shared" si="22"/>
        <v xml:space="preserve">{ longitude: -63.6583285653776, latitude: 44.7590681474122, stopType: 'Bus Stop Non-Standard', gotime: \'9002\', location: \'DUKE ST [IB] OPP CIVIC 21\' }, </v>
      </c>
    </row>
    <row r="1432" spans="1:12" x14ac:dyDescent="0.25">
      <c r="A1432">
        <v>-63.6601299392294</v>
      </c>
      <c r="B1432">
        <v>44.671444618087399</v>
      </c>
      <c r="C1432">
        <v>1594</v>
      </c>
      <c r="D1432" t="s">
        <v>22</v>
      </c>
      <c r="E1432" t="s">
        <v>12</v>
      </c>
      <c r="F1432" t="s">
        <v>13</v>
      </c>
      <c r="G1432" t="s">
        <v>19</v>
      </c>
      <c r="H1432">
        <v>7062</v>
      </c>
      <c r="I1432" t="s">
        <v>2911</v>
      </c>
      <c r="J1432" t="s">
        <v>2912</v>
      </c>
      <c r="K1432" t="s">
        <v>17</v>
      </c>
      <c r="L1432" t="str">
        <f t="shared" si="22"/>
        <v xml:space="preserve">{ longitude: -63.6601299392294, latitude: 44.6714446180874, stopType: 'Bus Stop Shelter Accessible', gotime: \'7062\', location: \'KNIGHTSRIDGE DR NS FLAMINGO DR\' }, </v>
      </c>
    </row>
    <row r="1433" spans="1:12" x14ac:dyDescent="0.25">
      <c r="A1433">
        <v>-63.574930200135199</v>
      </c>
      <c r="B1433">
        <v>44.643812002253902</v>
      </c>
      <c r="C1433">
        <v>328</v>
      </c>
      <c r="D1433" t="s">
        <v>29</v>
      </c>
      <c r="E1433" t="s">
        <v>12</v>
      </c>
      <c r="F1433" t="s">
        <v>25</v>
      </c>
      <c r="G1433" t="s">
        <v>19</v>
      </c>
      <c r="H1433">
        <v>9004</v>
      </c>
      <c r="I1433" t="s">
        <v>2913</v>
      </c>
      <c r="J1433" t="s">
        <v>2914</v>
      </c>
      <c r="K1433" t="s">
        <v>17</v>
      </c>
      <c r="L1433" t="str">
        <f t="shared" si="22"/>
        <v xml:space="preserve">{ longitude: -63.5749302001352, latitude: 44.6438120022539, stopType: 'Bus Stop Accessible', gotime: \'9004\', location: \'BRUNSWICK ST &lt;NB&gt; FS SPRING GARDEN RD (FRED)\' }, </v>
      </c>
    </row>
    <row r="1434" spans="1:12" x14ac:dyDescent="0.25">
      <c r="A1434">
        <v>-63.6363927170948</v>
      </c>
      <c r="B1434">
        <v>44.661282005209102</v>
      </c>
      <c r="C1434">
        <v>1595</v>
      </c>
      <c r="D1434" t="s">
        <v>29</v>
      </c>
      <c r="E1434" t="s">
        <v>12</v>
      </c>
      <c r="F1434" t="s">
        <v>13</v>
      </c>
      <c r="G1434" t="s">
        <v>19</v>
      </c>
      <c r="H1434">
        <v>7063</v>
      </c>
      <c r="I1434" t="s">
        <v>2915</v>
      </c>
      <c r="J1434" t="s">
        <v>2916</v>
      </c>
      <c r="K1434" t="s">
        <v>17</v>
      </c>
      <c r="L1434" t="str">
        <f t="shared" si="22"/>
        <v xml:space="preserve">{ longitude: -63.6363927170948, latitude: 44.6612820052091, stopType: 'Bus Stop Accessible', gotime: \'7063\', location: \'LACEWOOD DR [OB] FS VIMY ST\' }, </v>
      </c>
    </row>
    <row r="1435" spans="1:12" x14ac:dyDescent="0.25">
      <c r="A1435">
        <v>-63.666617128794996</v>
      </c>
      <c r="B1435">
        <v>44.659520500644597</v>
      </c>
      <c r="C1435">
        <v>1596</v>
      </c>
      <c r="D1435" t="s">
        <v>29</v>
      </c>
      <c r="E1435" t="s">
        <v>12</v>
      </c>
      <c r="F1435" t="s">
        <v>25</v>
      </c>
      <c r="G1435" t="s">
        <v>19</v>
      </c>
      <c r="H1435">
        <v>7064</v>
      </c>
      <c r="I1435" t="s">
        <v>2917</v>
      </c>
      <c r="J1435" t="s">
        <v>2918</v>
      </c>
      <c r="K1435" t="s">
        <v>17</v>
      </c>
      <c r="L1435" t="str">
        <f t="shared" si="22"/>
        <v xml:space="preserve">{ longitude: -63.666617128795, latitude: 44.6595205006446, stopType: 'Bus Stop Accessible', gotime: \'7064\', location: \'LACEWOOD DR [OB] FS STRATFORD WAY\' }, </v>
      </c>
    </row>
    <row r="1436" spans="1:12" x14ac:dyDescent="0.25">
      <c r="A1436">
        <v>-63.5698164330068</v>
      </c>
      <c r="B1436">
        <v>44.644328450375902</v>
      </c>
      <c r="C1436">
        <v>329</v>
      </c>
      <c r="D1436" t="s">
        <v>29</v>
      </c>
      <c r="E1436" t="s">
        <v>12</v>
      </c>
      <c r="F1436" t="s">
        <v>25</v>
      </c>
      <c r="G1436" t="s">
        <v>19</v>
      </c>
      <c r="H1436">
        <v>9006</v>
      </c>
      <c r="I1436" t="s">
        <v>2919</v>
      </c>
      <c r="J1436" t="s">
        <v>2920</v>
      </c>
      <c r="K1436" t="s">
        <v>17</v>
      </c>
      <c r="L1436" t="str">
        <f t="shared" si="22"/>
        <v xml:space="preserve">{ longitude: -63.5698164330068, latitude: 44.6443284503759, stopType: 'Bus Stop Accessible', gotime: \'9006\', location: \'LOWER WATER OPP KEITHS BREWERY (FRED)\' }, </v>
      </c>
    </row>
    <row r="1437" spans="1:12" x14ac:dyDescent="0.25">
      <c r="A1437">
        <v>-63.6410625389559</v>
      </c>
      <c r="B1437">
        <v>44.6620019246038</v>
      </c>
      <c r="C1437">
        <v>1597</v>
      </c>
      <c r="D1437" t="s">
        <v>29</v>
      </c>
      <c r="E1437" t="s">
        <v>12</v>
      </c>
      <c r="F1437" t="s">
        <v>13</v>
      </c>
      <c r="G1437" t="s">
        <v>19</v>
      </c>
      <c r="H1437">
        <v>7065</v>
      </c>
      <c r="I1437" t="s">
        <v>2921</v>
      </c>
      <c r="J1437" t="s">
        <v>2922</v>
      </c>
      <c r="K1437" t="s">
        <v>17</v>
      </c>
      <c r="L1437" t="str">
        <f t="shared" si="22"/>
        <v xml:space="preserve">{ longitude: -63.6410625389559, latitude: 44.6620019246038, stopType: 'Bus Stop Accessible', gotime: \'7065\', location: \'LACEWOOD DR FS BRAESIDE LANE\' }, </v>
      </c>
    </row>
    <row r="1438" spans="1:12" x14ac:dyDescent="0.25">
      <c r="A1438">
        <v>-63.649551552689999</v>
      </c>
      <c r="B1438">
        <v>44.737422039722098</v>
      </c>
      <c r="C1438">
        <v>330</v>
      </c>
      <c r="D1438" t="s">
        <v>29</v>
      </c>
      <c r="E1438" t="s">
        <v>12</v>
      </c>
      <c r="F1438" t="s">
        <v>25</v>
      </c>
      <c r="G1438" t="s">
        <v>19</v>
      </c>
      <c r="H1438">
        <v>9007</v>
      </c>
      <c r="I1438" t="s">
        <v>2923</v>
      </c>
      <c r="J1438" t="s">
        <v>2924</v>
      </c>
      <c r="K1438" t="s">
        <v>17</v>
      </c>
      <c r="L1438" t="str">
        <f t="shared" si="22"/>
        <v xml:space="preserve">{ longitude: -63.64955155269, latitude: 44.7374220397221, stopType: 'Bus Stop Accessible', gotime: \'9007\', location: \'ROCKY LAKE DR. OPP STORE\' }, </v>
      </c>
    </row>
    <row r="1439" spans="1:12" x14ac:dyDescent="0.25">
      <c r="A1439">
        <v>-63.609965300846703</v>
      </c>
      <c r="B1439">
        <v>44.654368161143601</v>
      </c>
      <c r="C1439">
        <v>1598</v>
      </c>
      <c r="D1439" t="s">
        <v>29</v>
      </c>
      <c r="E1439" t="s">
        <v>12</v>
      </c>
      <c r="F1439" t="s">
        <v>25</v>
      </c>
      <c r="G1439" t="s">
        <v>19</v>
      </c>
      <c r="H1439">
        <v>7423</v>
      </c>
      <c r="I1439" t="s">
        <v>2925</v>
      </c>
      <c r="J1439" t="s">
        <v>2926</v>
      </c>
      <c r="K1439" t="s">
        <v>17</v>
      </c>
      <c r="L1439" t="str">
        <f t="shared" si="22"/>
        <v xml:space="preserve">{ longitude: -63.6099653008467, latitude: 44.6543681611436, stopType: 'Bus Stop Accessible', gotime: \'7423\', location: \'OXFORD ST &lt;SB&gt; NS YOUNG ST\' }, </v>
      </c>
    </row>
    <row r="1440" spans="1:12" x14ac:dyDescent="0.25">
      <c r="A1440">
        <v>-63.6495865262468</v>
      </c>
      <c r="B1440">
        <v>44.737620292108303</v>
      </c>
      <c r="C1440">
        <v>331</v>
      </c>
      <c r="D1440" t="s">
        <v>29</v>
      </c>
      <c r="E1440" t="s">
        <v>12</v>
      </c>
      <c r="F1440" t="s">
        <v>25</v>
      </c>
      <c r="G1440" t="s">
        <v>19</v>
      </c>
      <c r="H1440">
        <v>9008</v>
      </c>
      <c r="I1440" t="s">
        <v>2927</v>
      </c>
      <c r="J1440" t="s">
        <v>2928</v>
      </c>
      <c r="K1440" t="s">
        <v>17</v>
      </c>
      <c r="L1440" t="str">
        <f t="shared" si="22"/>
        <v xml:space="preserve">{ longitude: -63.6495865262468, latitude: 44.7376202921083, stopType: 'Bus Stop Accessible', gotime: \'9008\', location: \'ROCKY LAKE DR. AT STORE\' }, </v>
      </c>
    </row>
    <row r="1441" spans="1:12" x14ac:dyDescent="0.25">
      <c r="A1441">
        <v>-63.676116789307599</v>
      </c>
      <c r="B1441">
        <v>44.671658087811601</v>
      </c>
      <c r="C1441">
        <v>1599</v>
      </c>
      <c r="D1441" t="s">
        <v>29</v>
      </c>
      <c r="E1441" t="s">
        <v>12</v>
      </c>
      <c r="F1441" t="s">
        <v>25</v>
      </c>
      <c r="G1441" t="s">
        <v>19</v>
      </c>
      <c r="H1441">
        <v>7424</v>
      </c>
      <c r="I1441" t="s">
        <v>2929</v>
      </c>
      <c r="J1441" t="s">
        <v>2930</v>
      </c>
      <c r="K1441" t="s">
        <v>17</v>
      </c>
      <c r="L1441" t="str">
        <f t="shared" si="22"/>
        <v xml:space="preserve">{ longitude: -63.6761167893076, latitude: 44.6716580878116, stopType: 'Bus Stop Accessible', gotime: \'7424\', location: \'PARKLAND DR DR FS CIVIC 512\' }, </v>
      </c>
    </row>
    <row r="1442" spans="1:12" x14ac:dyDescent="0.25">
      <c r="A1442">
        <v>-63.676583758154699</v>
      </c>
      <c r="B1442">
        <v>44.727720543609898</v>
      </c>
      <c r="C1442">
        <v>332</v>
      </c>
      <c r="D1442" t="s">
        <v>29</v>
      </c>
      <c r="E1442" t="s">
        <v>12</v>
      </c>
      <c r="F1442" t="s">
        <v>25</v>
      </c>
      <c r="G1442" t="s">
        <v>19</v>
      </c>
      <c r="H1442">
        <v>9009</v>
      </c>
      <c r="I1442" t="s">
        <v>2931</v>
      </c>
      <c r="J1442" t="s">
        <v>2932</v>
      </c>
      <c r="K1442" t="s">
        <v>17</v>
      </c>
      <c r="L1442" t="str">
        <f t="shared" si="22"/>
        <v xml:space="preserve">{ longitude: -63.6765837581547, latitude: 44.7277205436099, stopType: 'Bus Stop Accessible', gotime: \'9009\', location: \'SUNRISE NS SHOREVIEW\' }, </v>
      </c>
    </row>
    <row r="1443" spans="1:12" x14ac:dyDescent="0.25">
      <c r="A1443">
        <v>-63.676118922063601</v>
      </c>
      <c r="B1443">
        <v>44.6741780288623</v>
      </c>
      <c r="C1443">
        <v>1600</v>
      </c>
      <c r="D1443" t="s">
        <v>29</v>
      </c>
      <c r="E1443" t="s">
        <v>12</v>
      </c>
      <c r="F1443" t="s">
        <v>25</v>
      </c>
      <c r="G1443" t="s">
        <v>19</v>
      </c>
      <c r="H1443">
        <v>7425</v>
      </c>
      <c r="I1443" t="s">
        <v>2933</v>
      </c>
      <c r="J1443" t="s">
        <v>2934</v>
      </c>
      <c r="K1443" t="s">
        <v>17</v>
      </c>
      <c r="L1443" t="str">
        <f t="shared" si="22"/>
        <v xml:space="preserve">{ longitude: -63.6761189220636, latitude: 44.6741780288623, stopType: 'Bus Stop Accessible', gotime: \'7425\', location: \'PARKLAND DR DR FS CARLINA\' }, </v>
      </c>
    </row>
    <row r="1444" spans="1:12" x14ac:dyDescent="0.25">
      <c r="A1444">
        <v>-63.678724104911701</v>
      </c>
      <c r="B1444">
        <v>44.729022905801799</v>
      </c>
      <c r="C1444">
        <v>333</v>
      </c>
      <c r="D1444" t="s">
        <v>29</v>
      </c>
      <c r="E1444" t="s">
        <v>12</v>
      </c>
      <c r="F1444" t="s">
        <v>25</v>
      </c>
      <c r="G1444" t="s">
        <v>19</v>
      </c>
      <c r="H1444">
        <v>9010</v>
      </c>
      <c r="I1444" t="s">
        <v>2935</v>
      </c>
      <c r="J1444" t="s">
        <v>2936</v>
      </c>
      <c r="K1444" t="s">
        <v>17</v>
      </c>
      <c r="L1444" t="str">
        <f t="shared" si="22"/>
        <v xml:space="preserve">{ longitude: -63.6787241049117, latitude: 44.7290229058018, stopType: 'Bus Stop Accessible', gotime: \'9010\', location: \'SUNRISE FS WINDROCK\' }, </v>
      </c>
    </row>
    <row r="1445" spans="1:12" x14ac:dyDescent="0.25">
      <c r="A1445">
        <v>-63.675839316661197</v>
      </c>
      <c r="B1445">
        <v>44.673438033258599</v>
      </c>
      <c r="C1445">
        <v>1601</v>
      </c>
      <c r="D1445" t="s">
        <v>29</v>
      </c>
      <c r="E1445" t="s">
        <v>12</v>
      </c>
      <c r="F1445" t="s">
        <v>25</v>
      </c>
      <c r="G1445" t="s">
        <v>19</v>
      </c>
      <c r="H1445">
        <v>7426</v>
      </c>
      <c r="I1445" t="s">
        <v>2937</v>
      </c>
      <c r="J1445" t="s">
        <v>2938</v>
      </c>
      <c r="K1445" t="s">
        <v>17</v>
      </c>
      <c r="L1445" t="str">
        <f t="shared" si="22"/>
        <v xml:space="preserve">{ longitude: -63.6758393166612, latitude: 44.6734380332586, stopType: 'Bus Stop Accessible', gotime: \'7426\', location: \'PARKLAND DR DR NS HEATHSIDE\' }, </v>
      </c>
    </row>
    <row r="1446" spans="1:12" x14ac:dyDescent="0.25">
      <c r="A1446">
        <v>-63.570801678282102</v>
      </c>
      <c r="B1446">
        <v>44.645785434750799</v>
      </c>
      <c r="C1446">
        <v>334</v>
      </c>
      <c r="D1446" t="s">
        <v>11</v>
      </c>
      <c r="E1446" t="s">
        <v>12</v>
      </c>
      <c r="F1446" t="s">
        <v>25</v>
      </c>
      <c r="G1446" t="s">
        <v>19</v>
      </c>
      <c r="H1446">
        <v>9012</v>
      </c>
      <c r="I1446" t="s">
        <v>2939</v>
      </c>
      <c r="J1446" t="s">
        <v>2940</v>
      </c>
      <c r="K1446" t="s">
        <v>17</v>
      </c>
      <c r="L1446" t="str">
        <f t="shared" si="22"/>
        <v xml:space="preserve">{ longitude: -63.5708016782821, latitude: 44.6457854347508, stopType: 'Bus Stop Non-Standard', gotime: \'9012\', location: \'SOUTH BATTERY PLAZA\' }, </v>
      </c>
    </row>
    <row r="1447" spans="1:12" x14ac:dyDescent="0.25">
      <c r="A1447">
        <v>-63.669680946765602</v>
      </c>
      <c r="B1447">
        <v>44.659542817561501</v>
      </c>
      <c r="C1447">
        <v>1602</v>
      </c>
      <c r="D1447" t="s">
        <v>29</v>
      </c>
      <c r="E1447" t="s">
        <v>12</v>
      </c>
      <c r="F1447" t="s">
        <v>25</v>
      </c>
      <c r="G1447" t="s">
        <v>19</v>
      </c>
      <c r="H1447">
        <v>7427</v>
      </c>
      <c r="I1447" t="s">
        <v>2941</v>
      </c>
      <c r="J1447" t="s">
        <v>2942</v>
      </c>
      <c r="K1447" t="s">
        <v>17</v>
      </c>
      <c r="L1447" t="str">
        <f t="shared" si="22"/>
        <v xml:space="preserve">{ longitude: -63.6696809467656, latitude: 44.6595428175615, stopType: 'Bus Stop Accessible', gotime: \'7427\', location: \'PARKLAND DR DR FS CIVIC 51 &lt;NB&gt;\' }, </v>
      </c>
    </row>
    <row r="1448" spans="1:12" x14ac:dyDescent="0.25">
      <c r="A1448">
        <v>-63.578429869113201</v>
      </c>
      <c r="B1448">
        <v>44.642526329781298</v>
      </c>
      <c r="C1448">
        <v>335</v>
      </c>
      <c r="D1448" t="s">
        <v>11</v>
      </c>
      <c r="E1448" t="s">
        <v>12</v>
      </c>
      <c r="F1448" t="s">
        <v>25</v>
      </c>
      <c r="G1448" t="s">
        <v>19</v>
      </c>
      <c r="H1448">
        <v>9014</v>
      </c>
      <c r="I1448" t="s">
        <v>2943</v>
      </c>
      <c r="J1448" t="s">
        <v>2944</v>
      </c>
      <c r="K1448" t="s">
        <v>17</v>
      </c>
      <c r="L1448" t="str">
        <f t="shared" si="22"/>
        <v xml:space="preserve">{ longitude: -63.5784298691132, latitude: 44.6425263297813, stopType: 'Bus Stop Non-Standard', gotime: \'9014\', location: \'SPRING GARDEN RD OPP PARK LANE\' }, </v>
      </c>
    </row>
    <row r="1449" spans="1:12" x14ac:dyDescent="0.25">
      <c r="A1449">
        <v>-63.675971719642597</v>
      </c>
      <c r="B1449">
        <v>44.6703250799982</v>
      </c>
      <c r="C1449">
        <v>1603</v>
      </c>
      <c r="D1449" t="s">
        <v>29</v>
      </c>
      <c r="E1449" t="s">
        <v>12</v>
      </c>
      <c r="F1449" t="s">
        <v>25</v>
      </c>
      <c r="G1449" t="s">
        <v>19</v>
      </c>
      <c r="H1449">
        <v>7428</v>
      </c>
      <c r="I1449" t="s">
        <v>2945</v>
      </c>
      <c r="J1449" t="s">
        <v>2946</v>
      </c>
      <c r="K1449" t="s">
        <v>17</v>
      </c>
      <c r="L1449" t="str">
        <f t="shared" si="22"/>
        <v xml:space="preserve">{ longitude: -63.6759717196426, latitude: 44.6703250799982, stopType: 'Bus Stop Accessible', gotime: \'7428\', location: \'PARKLAND DR DR FS FARNHAM GATE\' }, </v>
      </c>
    </row>
    <row r="1450" spans="1:12" x14ac:dyDescent="0.25">
      <c r="A1450">
        <v>-63.6811528915295</v>
      </c>
      <c r="B1450">
        <v>44.716125117948103</v>
      </c>
      <c r="C1450">
        <v>336</v>
      </c>
      <c r="D1450" t="s">
        <v>11</v>
      </c>
      <c r="E1450" t="s">
        <v>12</v>
      </c>
      <c r="F1450" t="s">
        <v>25</v>
      </c>
      <c r="G1450" t="s">
        <v>19</v>
      </c>
      <c r="H1450">
        <v>6784</v>
      </c>
      <c r="I1450" t="s">
        <v>2947</v>
      </c>
      <c r="J1450" t="s">
        <v>2948</v>
      </c>
      <c r="K1450" t="s">
        <v>17</v>
      </c>
      <c r="L1450" t="str">
        <f t="shared" si="22"/>
        <v xml:space="preserve">{ longitude: -63.6811528915295, latitude: 44.7161251179481, stopType: 'Bus Stop Non-Standard', gotime: \'6784\', location: \'HAMMONDS PLAINS RD &lt;AT&gt; CIVIC 69 \' }, </v>
      </c>
    </row>
    <row r="1451" spans="1:12" x14ac:dyDescent="0.25">
      <c r="A1451">
        <v>-63.672004854223204</v>
      </c>
      <c r="B1451">
        <v>44.665481525961297</v>
      </c>
      <c r="C1451">
        <v>1604</v>
      </c>
      <c r="D1451" t="s">
        <v>29</v>
      </c>
      <c r="E1451" t="s">
        <v>12</v>
      </c>
      <c r="F1451" t="s">
        <v>25</v>
      </c>
      <c r="G1451" t="s">
        <v>19</v>
      </c>
      <c r="H1451">
        <v>7429</v>
      </c>
      <c r="I1451" t="s">
        <v>2949</v>
      </c>
      <c r="J1451" t="s">
        <v>2950</v>
      </c>
      <c r="K1451" t="s">
        <v>17</v>
      </c>
      <c r="L1451" t="str">
        <f t="shared" si="22"/>
        <v xml:space="preserve">{ longitude: -63.6720048542232, latitude: 44.6654815259613, stopType: 'Bus Stop Accessible', gotime: \'7429\', location: \'PARKLAND DR DR FS OPP LANGBRAE\' }, </v>
      </c>
    </row>
    <row r="1452" spans="1:12" x14ac:dyDescent="0.25">
      <c r="A1452">
        <v>-63.528889445699797</v>
      </c>
      <c r="B1452">
        <v>44.674199922479403</v>
      </c>
      <c r="C1452">
        <v>337</v>
      </c>
      <c r="D1452" t="s">
        <v>29</v>
      </c>
      <c r="E1452" t="s">
        <v>12</v>
      </c>
      <c r="F1452" t="s">
        <v>25</v>
      </c>
      <c r="G1452" t="s">
        <v>26</v>
      </c>
      <c r="H1452">
        <v>8591</v>
      </c>
      <c r="I1452" t="s">
        <v>2951</v>
      </c>
      <c r="J1452" t="s">
        <v>2952</v>
      </c>
      <c r="K1452" t="s">
        <v>17</v>
      </c>
      <c r="L1452" t="str">
        <f t="shared" si="22"/>
        <v xml:space="preserve">{ longitude: -63.5288894456998, latitude: 44.6741999224794, stopType: 'Bus Stop Accessible', gotime: \'8591\', location: \'WOODLAWN RD AT CIVIC 103\' }, </v>
      </c>
    </row>
    <row r="1453" spans="1:12" x14ac:dyDescent="0.25">
      <c r="A1453">
        <v>-63.673795117640402</v>
      </c>
      <c r="B1453">
        <v>44.666403466084098</v>
      </c>
      <c r="C1453">
        <v>1605</v>
      </c>
      <c r="D1453" t="s">
        <v>29</v>
      </c>
      <c r="E1453" t="s">
        <v>12</v>
      </c>
      <c r="F1453" t="s">
        <v>25</v>
      </c>
      <c r="G1453" t="s">
        <v>19</v>
      </c>
      <c r="H1453">
        <v>7430</v>
      </c>
      <c r="I1453" t="s">
        <v>2953</v>
      </c>
      <c r="J1453" t="s">
        <v>2954</v>
      </c>
      <c r="K1453" t="s">
        <v>17</v>
      </c>
      <c r="L1453" t="str">
        <f t="shared" si="22"/>
        <v xml:space="preserve">{ longitude: -63.6737951176404, latitude: 44.6664034660841, stopType: 'Bus Stop Accessible', gotime: \'7430\', location: \'PARKLAND DR DR FS OPP CARRINGTON\' }, </v>
      </c>
    </row>
    <row r="1454" spans="1:12" x14ac:dyDescent="0.25">
      <c r="A1454">
        <v>-63.5261827600632</v>
      </c>
      <c r="B1454">
        <v>44.678415743831302</v>
      </c>
      <c r="C1454">
        <v>338</v>
      </c>
      <c r="D1454" t="s">
        <v>29</v>
      </c>
      <c r="E1454" t="s">
        <v>12</v>
      </c>
      <c r="F1454" t="s">
        <v>25</v>
      </c>
      <c r="G1454" t="s">
        <v>19</v>
      </c>
      <c r="H1454">
        <v>8592</v>
      </c>
      <c r="I1454" t="s">
        <v>2955</v>
      </c>
      <c r="J1454" t="s">
        <v>2956</v>
      </c>
      <c r="K1454" t="s">
        <v>17</v>
      </c>
      <c r="L1454" t="str">
        <f t="shared" si="22"/>
        <v xml:space="preserve">{ longitude: -63.5261827600632, latitude: 44.6784157438313, stopType: 'Bus Stop Accessible', gotime: \'8592\', location: \'WOODLAWN RD AT CIVIC 61\' }, </v>
      </c>
    </row>
    <row r="1455" spans="1:12" x14ac:dyDescent="0.25">
      <c r="A1455">
        <v>-63.674684540391802</v>
      </c>
      <c r="B1455">
        <v>44.666823885464197</v>
      </c>
      <c r="C1455">
        <v>1606</v>
      </c>
      <c r="D1455" t="s">
        <v>29</v>
      </c>
      <c r="E1455" t="s">
        <v>12</v>
      </c>
      <c r="F1455" t="s">
        <v>25</v>
      </c>
      <c r="G1455" t="s">
        <v>19</v>
      </c>
      <c r="H1455">
        <v>7431</v>
      </c>
      <c r="I1455" t="s">
        <v>2957</v>
      </c>
      <c r="J1455" t="s">
        <v>2958</v>
      </c>
      <c r="K1455" t="s">
        <v>17</v>
      </c>
      <c r="L1455" t="str">
        <f t="shared" si="22"/>
        <v xml:space="preserve">{ longitude: -63.6746845403918, latitude: 44.6668238854642, stopType: 'Bus Stop Accessible', gotime: \'7431\', location: \'PARKLAND DR DR AT CIVIC 27\' }, </v>
      </c>
    </row>
    <row r="1456" spans="1:12" x14ac:dyDescent="0.25">
      <c r="A1456">
        <v>-63.528982206031401</v>
      </c>
      <c r="B1456">
        <v>44.675442673555899</v>
      </c>
      <c r="C1456">
        <v>339</v>
      </c>
      <c r="D1456" t="s">
        <v>29</v>
      </c>
      <c r="E1456" t="s">
        <v>12</v>
      </c>
      <c r="F1456" t="s">
        <v>25</v>
      </c>
      <c r="G1456" t="s">
        <v>26</v>
      </c>
      <c r="H1456">
        <v>8593</v>
      </c>
      <c r="I1456" t="s">
        <v>2959</v>
      </c>
      <c r="J1456" t="s">
        <v>2960</v>
      </c>
      <c r="K1456" t="s">
        <v>17</v>
      </c>
      <c r="L1456" t="str">
        <f t="shared" si="22"/>
        <v xml:space="preserve">{ longitude: -63.5289822060314, latitude: 44.6754426735559, stopType: 'Bus Stop Accessible', gotime: \'8593\', location: \'WOODLAWN RD AT CIVIC 92\' }, </v>
      </c>
    </row>
    <row r="1457" spans="1:12" x14ac:dyDescent="0.25">
      <c r="A1457">
        <v>-63.670669634737699</v>
      </c>
      <c r="B1457">
        <v>44.661835938979102</v>
      </c>
      <c r="C1457">
        <v>1607</v>
      </c>
      <c r="D1457" t="s">
        <v>29</v>
      </c>
      <c r="E1457" t="s">
        <v>12</v>
      </c>
      <c r="F1457" t="s">
        <v>25</v>
      </c>
      <c r="G1457" t="s">
        <v>19</v>
      </c>
      <c r="H1457">
        <v>7432</v>
      </c>
      <c r="I1457" t="s">
        <v>2961</v>
      </c>
      <c r="J1457" t="s">
        <v>2962</v>
      </c>
      <c r="K1457" t="s">
        <v>17</v>
      </c>
      <c r="L1457" t="str">
        <f t="shared" si="22"/>
        <v xml:space="preserve">{ longitude: -63.6706696347377, latitude: 44.6618359389791, stopType: 'Bus Stop Accessible', gotime: \'7432\', location: \'PARKLAND DR DR NS BETHANY &lt;NB&gt;\' }, </v>
      </c>
    </row>
    <row r="1458" spans="1:12" x14ac:dyDescent="0.25">
      <c r="A1458">
        <v>-63.528929956262203</v>
      </c>
      <c r="B1458">
        <v>44.683335613563997</v>
      </c>
      <c r="C1458">
        <v>340</v>
      </c>
      <c r="D1458" t="s">
        <v>29</v>
      </c>
      <c r="E1458" t="s">
        <v>12</v>
      </c>
      <c r="F1458" t="s">
        <v>13</v>
      </c>
      <c r="G1458" t="s">
        <v>19</v>
      </c>
      <c r="H1458">
        <v>8594</v>
      </c>
      <c r="I1458" t="s">
        <v>2963</v>
      </c>
      <c r="J1458" t="s">
        <v>2964</v>
      </c>
      <c r="K1458" t="s">
        <v>17</v>
      </c>
      <c r="L1458" t="str">
        <f t="shared" si="22"/>
        <v xml:space="preserve">{ longitude: -63.5289299562622, latitude: 44.683335613564, stopType: 'Bus Stop Accessible', gotime: \'8594\', location: \'WOODLAWN RD AT CIVIC 14\' }, </v>
      </c>
    </row>
    <row r="1459" spans="1:12" x14ac:dyDescent="0.25">
      <c r="A1459">
        <v>-63.675931974824302</v>
      </c>
      <c r="B1459">
        <v>44.670459789287399</v>
      </c>
      <c r="C1459">
        <v>1608</v>
      </c>
      <c r="D1459" t="s">
        <v>29</v>
      </c>
      <c r="E1459" t="s">
        <v>12</v>
      </c>
      <c r="F1459" t="s">
        <v>25</v>
      </c>
      <c r="G1459" t="s">
        <v>19</v>
      </c>
      <c r="H1459">
        <v>7433</v>
      </c>
      <c r="I1459" t="s">
        <v>2965</v>
      </c>
      <c r="J1459" t="s">
        <v>2966</v>
      </c>
      <c r="K1459" t="s">
        <v>17</v>
      </c>
      <c r="L1459" t="str">
        <f t="shared" si="22"/>
        <v xml:space="preserve">{ longitude: -63.6759319748243, latitude: 44.6704597892874, stopType: 'Bus Stop Accessible', gotime: \'7433\', location: \'PARKLAND DR DR NS FARNHAM GATE\' }, </v>
      </c>
    </row>
    <row r="1460" spans="1:12" x14ac:dyDescent="0.25">
      <c r="A1460">
        <v>-63.527444383353</v>
      </c>
      <c r="B1460">
        <v>44.677299820017602</v>
      </c>
      <c r="C1460">
        <v>341</v>
      </c>
      <c r="D1460" t="s">
        <v>29</v>
      </c>
      <c r="E1460" t="s">
        <v>12</v>
      </c>
      <c r="F1460" t="s">
        <v>13</v>
      </c>
      <c r="G1460" t="s">
        <v>14</v>
      </c>
      <c r="H1460">
        <v>8595</v>
      </c>
      <c r="I1460" t="s">
        <v>2967</v>
      </c>
      <c r="J1460" t="s">
        <v>2968</v>
      </c>
      <c r="K1460" t="s">
        <v>17</v>
      </c>
      <c r="L1460" t="str">
        <f t="shared" si="22"/>
        <v xml:space="preserve">{ longitude: -63.527444383353, latitude: 44.6772998200176, stopType: 'Bus Stop Accessible', gotime: \'8595\', location: \'WOODLAWN RD NS BELLE VISTA DR\' }, </v>
      </c>
    </row>
    <row r="1461" spans="1:12" x14ac:dyDescent="0.25">
      <c r="A1461">
        <v>-63.671035156705699</v>
      </c>
      <c r="B1461">
        <v>44.6645025186399</v>
      </c>
      <c r="C1461">
        <v>1609</v>
      </c>
      <c r="D1461" t="s">
        <v>29</v>
      </c>
      <c r="E1461" t="s">
        <v>12</v>
      </c>
      <c r="F1461" t="s">
        <v>25</v>
      </c>
      <c r="G1461" t="s">
        <v>19</v>
      </c>
      <c r="H1461">
        <v>7434</v>
      </c>
      <c r="I1461" t="s">
        <v>2969</v>
      </c>
      <c r="J1461" t="s">
        <v>2970</v>
      </c>
      <c r="K1461" t="s">
        <v>17</v>
      </c>
      <c r="L1461" t="str">
        <f t="shared" si="22"/>
        <v xml:space="preserve">{ longitude: -63.6710351567057, latitude: 44.6645025186399, stopType: 'Bus Stop Accessible', gotime: \'7434\', location: \'PARKLAND DR DR NS LANCASTER &lt;NB&gt;\' }, </v>
      </c>
    </row>
    <row r="1462" spans="1:12" x14ac:dyDescent="0.25">
      <c r="A1462">
        <v>-63.531425418513599</v>
      </c>
      <c r="B1462">
        <v>44.672637507117898</v>
      </c>
      <c r="C1462">
        <v>342</v>
      </c>
      <c r="D1462" t="s">
        <v>29</v>
      </c>
      <c r="E1462" t="s">
        <v>12</v>
      </c>
      <c r="F1462" t="s">
        <v>25</v>
      </c>
      <c r="G1462" t="s">
        <v>26</v>
      </c>
      <c r="H1462">
        <v>8596</v>
      </c>
      <c r="I1462" t="s">
        <v>2971</v>
      </c>
      <c r="J1462" t="s">
        <v>2972</v>
      </c>
      <c r="K1462" t="s">
        <v>17</v>
      </c>
      <c r="L1462" t="str">
        <f t="shared" si="22"/>
        <v xml:space="preserve">{ longitude: -63.5314254185136, latitude: 44.6726375071179, stopType: 'Bus Stop Accessible', gotime: \'8596\', location: \'WOODLAWN RD NS BRUCE ST\' }, </v>
      </c>
    </row>
    <row r="1463" spans="1:12" x14ac:dyDescent="0.25">
      <c r="A1463">
        <v>-63.672416361705302</v>
      </c>
      <c r="B1463">
        <v>44.665808499603102</v>
      </c>
      <c r="C1463">
        <v>1610</v>
      </c>
      <c r="D1463" t="s">
        <v>29</v>
      </c>
      <c r="E1463" t="s">
        <v>12</v>
      </c>
      <c r="F1463" t="s">
        <v>25</v>
      </c>
      <c r="G1463" t="s">
        <v>19</v>
      </c>
      <c r="H1463">
        <v>7435</v>
      </c>
      <c r="I1463" t="s">
        <v>2973</v>
      </c>
      <c r="J1463" t="s">
        <v>2974</v>
      </c>
      <c r="K1463" t="s">
        <v>17</v>
      </c>
      <c r="L1463" t="str">
        <f t="shared" si="22"/>
        <v xml:space="preserve">{ longitude: -63.6724163617053, latitude: 44.6658084996031, stopType: 'Bus Stop Accessible', gotime: \'7435\', location: \'PARKLAND DR DR NS LANGBRAE DR &lt;NB&gt;\' }, </v>
      </c>
    </row>
    <row r="1464" spans="1:12" x14ac:dyDescent="0.25">
      <c r="A1464">
        <v>-63.528780425700702</v>
      </c>
      <c r="B1464">
        <v>44.675440957663803</v>
      </c>
      <c r="C1464">
        <v>343</v>
      </c>
      <c r="D1464" t="s">
        <v>29</v>
      </c>
      <c r="E1464" t="s">
        <v>12</v>
      </c>
      <c r="F1464" t="s">
        <v>25</v>
      </c>
      <c r="G1464" t="s">
        <v>26</v>
      </c>
      <c r="H1464">
        <v>8597</v>
      </c>
      <c r="I1464" t="s">
        <v>2975</v>
      </c>
      <c r="J1464" t="s">
        <v>2976</v>
      </c>
      <c r="K1464" t="s">
        <v>17</v>
      </c>
      <c r="L1464" t="str">
        <f t="shared" si="22"/>
        <v xml:space="preserve">{ longitude: -63.5287804257007, latitude: 44.6754409576638, stopType: 'Bus Stop Accessible', gotime: \'8597\', location: \'WOODLAWN RD NS ELLENVALE AVE\' }, </v>
      </c>
    </row>
    <row r="1465" spans="1:12" x14ac:dyDescent="0.25">
      <c r="A1465">
        <v>-63.488062648579003</v>
      </c>
      <c r="B1465">
        <v>44.612520985040298</v>
      </c>
      <c r="C1465">
        <v>1611</v>
      </c>
      <c r="D1465" t="s">
        <v>11</v>
      </c>
      <c r="E1465" t="s">
        <v>12</v>
      </c>
      <c r="F1465" t="s">
        <v>25</v>
      </c>
      <c r="G1465" t="s">
        <v>199</v>
      </c>
      <c r="H1465">
        <v>7147</v>
      </c>
      <c r="I1465" t="s">
        <v>2977</v>
      </c>
      <c r="J1465" t="s">
        <v>2978</v>
      </c>
      <c r="K1465" t="s">
        <v>17</v>
      </c>
      <c r="L1465" t="str">
        <f t="shared" si="22"/>
        <v xml:space="preserve">{ longitude: -63.488062648579, latitude: 44.6125209850403, stopType: 'Bus Stop Non-Standard', gotime: \'7147\', location: \'HORNES RD FS COW BAY RD\' }, </v>
      </c>
    </row>
    <row r="1466" spans="1:12" x14ac:dyDescent="0.25">
      <c r="A1466">
        <v>-63.528885811415002</v>
      </c>
      <c r="B1466">
        <v>44.683667417602699</v>
      </c>
      <c r="C1466">
        <v>344</v>
      </c>
      <c r="D1466" t="s">
        <v>22</v>
      </c>
      <c r="E1466" t="s">
        <v>12</v>
      </c>
      <c r="F1466" t="s">
        <v>13</v>
      </c>
      <c r="G1466" t="s">
        <v>19</v>
      </c>
      <c r="H1466">
        <v>8598</v>
      </c>
      <c r="I1466" t="s">
        <v>2979</v>
      </c>
      <c r="J1466" t="s">
        <v>2980</v>
      </c>
      <c r="K1466" t="s">
        <v>17</v>
      </c>
      <c r="L1466" t="str">
        <f t="shared" si="22"/>
        <v xml:space="preserve">{ longitude: -63.528885811415, latitude: 44.6836674176027, stopType: 'Bus Stop Shelter Accessible', gotime: \'8598\', location: \'WOODLAWN RD  NS MAIN ST\' }, </v>
      </c>
    </row>
    <row r="1467" spans="1:12" x14ac:dyDescent="0.25">
      <c r="A1467">
        <v>-63.508587770595298</v>
      </c>
      <c r="B1467">
        <v>44.680568276599899</v>
      </c>
      <c r="C1467">
        <v>1612</v>
      </c>
      <c r="D1467" t="s">
        <v>22</v>
      </c>
      <c r="E1467" t="s">
        <v>12</v>
      </c>
      <c r="F1467" t="s">
        <v>25</v>
      </c>
      <c r="G1467" t="s">
        <v>19</v>
      </c>
      <c r="H1467">
        <v>7148</v>
      </c>
      <c r="I1467" t="s">
        <v>2981</v>
      </c>
      <c r="J1467" t="s">
        <v>2982</v>
      </c>
      <c r="K1467" t="s">
        <v>17</v>
      </c>
      <c r="L1467" t="str">
        <f t="shared" si="22"/>
        <v xml:space="preserve">{ longitude: -63.5085877705953, latitude: 44.6805682765999, stopType: 'Bus Stop Shelter Accessible', gotime: \'7148\', location: \'LUCIEN DR AT CIVIC 62 &lt;SB&gt;\' }, </v>
      </c>
    </row>
    <row r="1468" spans="1:12" x14ac:dyDescent="0.25">
      <c r="A1468">
        <v>-63.526178037314203</v>
      </c>
      <c r="B1468">
        <v>44.679450671411601</v>
      </c>
      <c r="C1468">
        <v>345</v>
      </c>
      <c r="D1468" t="s">
        <v>103</v>
      </c>
      <c r="E1468" t="s">
        <v>12</v>
      </c>
      <c r="F1468" t="s">
        <v>25</v>
      </c>
      <c r="G1468" t="s">
        <v>65</v>
      </c>
      <c r="H1468">
        <v>8599</v>
      </c>
      <c r="I1468" t="s">
        <v>2983</v>
      </c>
      <c r="J1468" t="s">
        <v>2984</v>
      </c>
      <c r="K1468" t="s">
        <v>17</v>
      </c>
      <c r="L1468" t="str">
        <f t="shared" si="22"/>
        <v xml:space="preserve">{ longitude: -63.5261780373142, latitude: 44.6794506714116, stopType: 'Bus Stop Inaccessible', gotime: \'8599\', location: \'WOODLAWN RD NS MT EDWARD RD\' }, </v>
      </c>
    </row>
    <row r="1469" spans="1:12" x14ac:dyDescent="0.25">
      <c r="A1469">
        <v>-63.587511971376799</v>
      </c>
      <c r="B1469">
        <v>44.6952027270667</v>
      </c>
      <c r="C1469">
        <v>1613</v>
      </c>
      <c r="D1469" t="s">
        <v>11</v>
      </c>
      <c r="E1469" t="s">
        <v>12</v>
      </c>
      <c r="F1469" t="s">
        <v>25</v>
      </c>
      <c r="G1469" t="s">
        <v>26</v>
      </c>
      <c r="H1469">
        <v>7149</v>
      </c>
      <c r="I1469" t="s">
        <v>2985</v>
      </c>
      <c r="J1469" t="s">
        <v>2986</v>
      </c>
      <c r="K1469" t="s">
        <v>17</v>
      </c>
      <c r="L1469" t="str">
        <f t="shared" si="22"/>
        <v xml:space="preserve">{ longitude: -63.5875119713768, latitude: 44.6952027270667, stopType: 'Bus Stop Non-Standard', gotime: \'7149\', location: \'MACDONALD AT CIVIC 65\' }, </v>
      </c>
    </row>
    <row r="1470" spans="1:12" x14ac:dyDescent="0.25">
      <c r="A1470">
        <v>-63.532051732783501</v>
      </c>
      <c r="B1470">
        <v>44.671888640017897</v>
      </c>
      <c r="C1470">
        <v>346</v>
      </c>
      <c r="D1470" t="s">
        <v>29</v>
      </c>
      <c r="E1470" t="s">
        <v>12</v>
      </c>
      <c r="F1470" t="s">
        <v>13</v>
      </c>
      <c r="G1470" t="s">
        <v>19</v>
      </c>
      <c r="H1470">
        <v>8600</v>
      </c>
      <c r="I1470" t="s">
        <v>2987</v>
      </c>
      <c r="J1470" t="s">
        <v>2988</v>
      </c>
      <c r="K1470" t="s">
        <v>17</v>
      </c>
      <c r="L1470" t="str">
        <f t="shared" si="22"/>
        <v xml:space="preserve">{ longitude: -63.5320517327835, latitude: 44.6718886400179, stopType: 'Bus Stop Accessible', gotime: \'8600\', location: \'WOODLAWN RD NS PORTLAND ST\' }, </v>
      </c>
    </row>
    <row r="1471" spans="1:12" x14ac:dyDescent="0.25">
      <c r="A1471">
        <v>-63.588131033265199</v>
      </c>
      <c r="B1471">
        <v>44.639652275291901</v>
      </c>
      <c r="C1471">
        <v>1614</v>
      </c>
      <c r="D1471" t="s">
        <v>29</v>
      </c>
      <c r="E1471" t="s">
        <v>12</v>
      </c>
      <c r="F1471" t="s">
        <v>25</v>
      </c>
      <c r="G1471" t="s">
        <v>19</v>
      </c>
      <c r="H1471">
        <v>6454</v>
      </c>
      <c r="I1471" t="s">
        <v>2989</v>
      </c>
      <c r="J1471" s="1" t="s">
        <v>2990</v>
      </c>
      <c r="K1471" t="s">
        <v>17</v>
      </c>
      <c r="L1471" t="str">
        <f t="shared" si="22"/>
        <v xml:space="preserve">{ longitude: -63.5881310332652, latitude: 44.6396522752919, stopType: 'Bus Stop Accessible', gotime: \'6454\', location: \'COBURG RD &lt;EB&gt; NS HENRY ST\' }, </v>
      </c>
    </row>
    <row r="1472" spans="1:12" x14ac:dyDescent="0.25">
      <c r="A1472">
        <v>-63.529182503698301</v>
      </c>
      <c r="B1472">
        <v>44.674022419617799</v>
      </c>
      <c r="C1472">
        <v>347</v>
      </c>
      <c r="D1472" t="s">
        <v>29</v>
      </c>
      <c r="E1472" t="s">
        <v>12</v>
      </c>
      <c r="F1472" t="s">
        <v>25</v>
      </c>
      <c r="G1472" t="s">
        <v>26</v>
      </c>
      <c r="H1472">
        <v>8601</v>
      </c>
      <c r="I1472" t="s">
        <v>2991</v>
      </c>
      <c r="J1472" t="s">
        <v>2992</v>
      </c>
      <c r="K1472" t="s">
        <v>17</v>
      </c>
      <c r="L1472" t="str">
        <f t="shared" si="22"/>
        <v xml:space="preserve">{ longitude: -63.5291825036983, latitude: 44.6740224196178, stopType: 'Bus Stop Accessible', gotime: \'8601\', location: \'WOODLAWN RD NS WOODLAWN TRAILER CT\' }, </v>
      </c>
    </row>
    <row r="1473" spans="1:12" x14ac:dyDescent="0.25">
      <c r="A1473">
        <v>-63.579735300984197</v>
      </c>
      <c r="B1473">
        <v>44.6509321140026</v>
      </c>
      <c r="C1473">
        <v>1615</v>
      </c>
      <c r="D1473" t="s">
        <v>22</v>
      </c>
      <c r="E1473" t="s">
        <v>12</v>
      </c>
      <c r="F1473" t="s">
        <v>13</v>
      </c>
      <c r="G1473" t="s">
        <v>19</v>
      </c>
      <c r="H1473">
        <v>6455</v>
      </c>
      <c r="I1473" t="s">
        <v>2993</v>
      </c>
      <c r="J1473" t="s">
        <v>2994</v>
      </c>
      <c r="K1473" t="s">
        <v>17</v>
      </c>
      <c r="L1473" t="str">
        <f t="shared" si="22"/>
        <v xml:space="preserve">{ longitude: -63.5797353009842, latitude: 44.6509321140026, stopType: 'Bus Stop Shelter Accessible', gotime: \'6455\', location: \'COGSWELL ST &lt;WB&gt; FS BRUNSWICK ST\' }, </v>
      </c>
    </row>
    <row r="1474" spans="1:12" x14ac:dyDescent="0.25">
      <c r="A1474">
        <v>-63.531341288795403</v>
      </c>
      <c r="B1474">
        <v>44.672880056248303</v>
      </c>
      <c r="C1474">
        <v>348</v>
      </c>
      <c r="D1474" t="s">
        <v>29</v>
      </c>
      <c r="E1474" t="s">
        <v>12</v>
      </c>
      <c r="F1474" t="s">
        <v>13</v>
      </c>
      <c r="G1474" t="s">
        <v>14</v>
      </c>
      <c r="H1474">
        <v>8602</v>
      </c>
      <c r="I1474" t="s">
        <v>2995</v>
      </c>
      <c r="J1474" t="s">
        <v>2996</v>
      </c>
      <c r="K1474" t="s">
        <v>17</v>
      </c>
      <c r="L1474" t="str">
        <f t="shared" si="22"/>
        <v xml:space="preserve">{ longitude: -63.5313412887954, latitude: 44.6728800562483, stopType: 'Bus Stop Accessible', gotime: \'8602\', location: \'WOODLAWN RD  OPP BRUCE ST\' }, </v>
      </c>
    </row>
    <row r="1475" spans="1:12" x14ac:dyDescent="0.25">
      <c r="A1475">
        <v>-63.581768944433399</v>
      </c>
      <c r="B1475">
        <v>44.650411917589601</v>
      </c>
      <c r="C1475">
        <v>1616</v>
      </c>
      <c r="D1475" t="s">
        <v>29</v>
      </c>
      <c r="E1475" t="s">
        <v>12</v>
      </c>
      <c r="F1475" t="s">
        <v>13</v>
      </c>
      <c r="G1475" t="s">
        <v>19</v>
      </c>
      <c r="H1475">
        <v>6456</v>
      </c>
      <c r="I1475" t="s">
        <v>2997</v>
      </c>
      <c r="J1475" t="s">
        <v>2998</v>
      </c>
      <c r="K1475" t="s">
        <v>17</v>
      </c>
      <c r="L1475" t="str">
        <f t="shared" ref="L1475:L1538" si="23">CONCATENATE( "{ longitude: ", A1475, ", latitude: ", B1475, ", stopType: '", D1475, "', gotime: \'", H1475, "\', location: \'", I1475, "\' }, ")</f>
        <v xml:space="preserve">{ longitude: -63.5817689444334, latitude: 44.6504119175896, stopType: 'Bus Stop Accessible', gotime: \'6456\', location: \'COGSWELL ST &lt;WB&gt; FS GOTTINGEN ST\' }, </v>
      </c>
    </row>
    <row r="1476" spans="1:12" x14ac:dyDescent="0.25">
      <c r="A1476">
        <v>-63.527742755158499</v>
      </c>
      <c r="B1476">
        <v>44.681677934368402</v>
      </c>
      <c r="C1476">
        <v>349</v>
      </c>
      <c r="D1476" t="s">
        <v>29</v>
      </c>
      <c r="E1476" t="s">
        <v>12</v>
      </c>
      <c r="F1476" t="s">
        <v>25</v>
      </c>
      <c r="G1476" t="s">
        <v>19</v>
      </c>
      <c r="H1476">
        <v>8603</v>
      </c>
      <c r="I1476" t="s">
        <v>2999</v>
      </c>
      <c r="J1476" t="s">
        <v>3000</v>
      </c>
      <c r="K1476" t="s">
        <v>17</v>
      </c>
      <c r="L1476" t="str">
        <f t="shared" si="23"/>
        <v xml:space="preserve">{ longitude: -63.5277427551585, latitude: 44.6816779343684, stopType: 'Bus Stop Accessible', gotime: \'8603\', location: \'WOODLAWN RD  OPP SPIKENARD ST\' }, </v>
      </c>
    </row>
    <row r="1477" spans="1:12" x14ac:dyDescent="0.25">
      <c r="A1477">
        <v>-63.589630570909399</v>
      </c>
      <c r="B1477">
        <v>44.647477845373899</v>
      </c>
      <c r="C1477">
        <v>1617</v>
      </c>
      <c r="D1477" t="s">
        <v>29</v>
      </c>
      <c r="E1477" t="s">
        <v>12</v>
      </c>
      <c r="F1477" t="s">
        <v>13</v>
      </c>
      <c r="G1477" t="s">
        <v>19</v>
      </c>
      <c r="H1477">
        <v>6457</v>
      </c>
      <c r="I1477" t="s">
        <v>3001</v>
      </c>
      <c r="J1477" t="s">
        <v>3002</v>
      </c>
      <c r="K1477" t="s">
        <v>17</v>
      </c>
      <c r="L1477" t="str">
        <f t="shared" si="23"/>
        <v xml:space="preserve">{ longitude: -63.5896305709094, latitude: 44.6474778453739, stopType: 'Bus Stop Accessible', gotime: \'6457\', location: \'COGSWELL ST &lt;EB&gt; FS ROBIE ST [IB]\' }, </v>
      </c>
    </row>
    <row r="1478" spans="1:12" x14ac:dyDescent="0.25">
      <c r="A1478">
        <v>-63.526927042885298</v>
      </c>
      <c r="B1478">
        <v>44.680672018092402</v>
      </c>
      <c r="C1478">
        <v>350</v>
      </c>
      <c r="D1478" t="s">
        <v>29</v>
      </c>
      <c r="E1478" t="s">
        <v>12</v>
      </c>
      <c r="F1478" t="s">
        <v>25</v>
      </c>
      <c r="G1478" t="s">
        <v>19</v>
      </c>
      <c r="H1478">
        <v>8604</v>
      </c>
      <c r="I1478" t="s">
        <v>3003</v>
      </c>
      <c r="J1478" t="s">
        <v>3004</v>
      </c>
      <c r="K1478" t="s">
        <v>17</v>
      </c>
      <c r="L1478" t="str">
        <f t="shared" si="23"/>
        <v xml:space="preserve">{ longitude: -63.5269270428853, latitude: 44.6806720180924, stopType: 'Bus Stop Accessible', gotime: \'8604\', location: \'WOODLAWN RD AT CIVIC 49\' }, </v>
      </c>
    </row>
    <row r="1479" spans="1:12" x14ac:dyDescent="0.25">
      <c r="A1479">
        <v>-63.587974155306497</v>
      </c>
      <c r="B1479">
        <v>44.648433994264003</v>
      </c>
      <c r="C1479">
        <v>1618</v>
      </c>
      <c r="D1479" t="s">
        <v>29</v>
      </c>
      <c r="E1479" t="s">
        <v>12</v>
      </c>
      <c r="F1479" t="s">
        <v>13</v>
      </c>
      <c r="G1479" t="s">
        <v>14</v>
      </c>
      <c r="H1479">
        <v>6458</v>
      </c>
      <c r="I1479" t="s">
        <v>3005</v>
      </c>
      <c r="J1479" t="s">
        <v>3006</v>
      </c>
      <c r="K1479" t="s">
        <v>17</v>
      </c>
      <c r="L1479" t="str">
        <f t="shared" si="23"/>
        <v xml:space="preserve">{ longitude: -63.5879741553065, latitude: 44.648433994264, stopType: 'Bus Stop Accessible', gotime: \'6458\', location: \'COGSWELL ST AT CAN. GAMES PARK &lt;EB&gt;\' }, </v>
      </c>
    </row>
    <row r="1480" spans="1:12" x14ac:dyDescent="0.25">
      <c r="A1480">
        <v>-63.581335365303801</v>
      </c>
      <c r="B1480">
        <v>44.650244364830797</v>
      </c>
      <c r="C1480">
        <v>1619</v>
      </c>
      <c r="D1480" t="s">
        <v>29</v>
      </c>
      <c r="E1480" t="s">
        <v>12</v>
      </c>
      <c r="F1480" t="s">
        <v>13</v>
      </c>
      <c r="G1480" t="s">
        <v>14</v>
      </c>
      <c r="H1480">
        <v>6459</v>
      </c>
      <c r="I1480" t="s">
        <v>3007</v>
      </c>
      <c r="J1480" t="s">
        <v>3008</v>
      </c>
      <c r="K1480" t="s">
        <v>17</v>
      </c>
      <c r="L1480" t="str">
        <f t="shared" si="23"/>
        <v xml:space="preserve">{ longitude: -63.5813353653038, latitude: 44.6502443648308, stopType: 'Bus Stop Accessible', gotime: \'6459\', location: \'COGSWELL ST &lt;EB&gt; NS GOTTINGEN ST\' }, </v>
      </c>
    </row>
    <row r="1481" spans="1:12" x14ac:dyDescent="0.25">
      <c r="A1481">
        <v>-63.548345174424398</v>
      </c>
      <c r="B1481">
        <v>44.6491194181163</v>
      </c>
      <c r="C1481">
        <v>351</v>
      </c>
      <c r="D1481" t="s">
        <v>1573</v>
      </c>
      <c r="E1481" t="s">
        <v>12</v>
      </c>
      <c r="F1481" t="s">
        <v>25</v>
      </c>
      <c r="G1481" t="s">
        <v>199</v>
      </c>
      <c r="H1481">
        <v>8605</v>
      </c>
      <c r="I1481" t="s">
        <v>3009</v>
      </c>
      <c r="J1481" t="s">
        <v>3010</v>
      </c>
      <c r="K1481" t="s">
        <v>17</v>
      </c>
      <c r="L1481" t="str">
        <f t="shared" si="23"/>
        <v xml:space="preserve">{ longitude: -63.5483451744244, latitude: 44.6491194181163, stopType: 'Bus Terminal Accessible', gotime: \'8605\', location: \'WOODSIDE TERMINAL (OB/60)\' }, </v>
      </c>
    </row>
    <row r="1482" spans="1:12" x14ac:dyDescent="0.25">
      <c r="A1482">
        <v>-63.584765822447899</v>
      </c>
      <c r="B1482">
        <v>44.649671714457099</v>
      </c>
      <c r="C1482">
        <v>1620</v>
      </c>
      <c r="D1482" t="s">
        <v>29</v>
      </c>
      <c r="E1482" t="s">
        <v>12</v>
      </c>
      <c r="F1482" t="s">
        <v>13</v>
      </c>
      <c r="G1482" t="s">
        <v>14</v>
      </c>
      <c r="H1482">
        <v>6460</v>
      </c>
      <c r="I1482" t="s">
        <v>3011</v>
      </c>
      <c r="J1482" t="s">
        <v>3012</v>
      </c>
      <c r="K1482" t="s">
        <v>17</v>
      </c>
      <c r="L1482" t="str">
        <f t="shared" si="23"/>
        <v xml:space="preserve">{ longitude: -63.5847658224479, latitude: 44.6496717144571, stopType: 'Bus Stop Accessible', gotime: \'6460\', location: \'COGSWELL ST NS NORTH PARK ST &lt;WB&gt;\' }, </v>
      </c>
    </row>
    <row r="1483" spans="1:12" x14ac:dyDescent="0.25">
      <c r="A1483">
        <v>-63.619223959049897</v>
      </c>
      <c r="B1483">
        <v>44.664096679674401</v>
      </c>
      <c r="C1483">
        <v>352</v>
      </c>
      <c r="D1483" t="s">
        <v>22</v>
      </c>
      <c r="E1483" t="s">
        <v>12</v>
      </c>
      <c r="F1483" t="s">
        <v>25</v>
      </c>
      <c r="G1483" t="s">
        <v>19</v>
      </c>
      <c r="H1483">
        <v>7089</v>
      </c>
      <c r="I1483" t="s">
        <v>3013</v>
      </c>
      <c r="J1483" t="s">
        <v>3014</v>
      </c>
      <c r="K1483" t="s">
        <v>17</v>
      </c>
      <c r="L1483" t="str">
        <f t="shared" si="23"/>
        <v xml:space="preserve">{ longitude: -63.6192239590499, latitude: 44.6640966796744, stopType: 'Bus Stop Shelter Accessible', gotime: \'7089\', location: \'LADY HAMMOND RD OPP MACINTOSH\' }, </v>
      </c>
    </row>
    <row r="1484" spans="1:12" x14ac:dyDescent="0.25">
      <c r="A1484">
        <v>-63.588130210021902</v>
      </c>
      <c r="B1484">
        <v>44.6486929038307</v>
      </c>
      <c r="C1484">
        <v>1621</v>
      </c>
      <c r="D1484" t="s">
        <v>11</v>
      </c>
      <c r="E1484" t="s">
        <v>12</v>
      </c>
      <c r="F1484" t="s">
        <v>13</v>
      </c>
      <c r="G1484" t="s">
        <v>14</v>
      </c>
      <c r="H1484">
        <v>6461</v>
      </c>
      <c r="I1484" t="s">
        <v>3015</v>
      </c>
      <c r="J1484" t="s">
        <v>3016</v>
      </c>
      <c r="K1484" t="s">
        <v>17</v>
      </c>
      <c r="L1484" t="str">
        <f t="shared" si="23"/>
        <v xml:space="preserve">{ longitude: -63.5881302100219, latitude: 44.6486929038307, stopType: 'Bus Stop Non-Standard', gotime: \'6461\', location: \'COGSWELL ST OPP CAN. GAME PARK &lt;WB&gt;\' }, </v>
      </c>
    </row>
    <row r="1485" spans="1:12" x14ac:dyDescent="0.25">
      <c r="A1485">
        <v>-63.670234427879102</v>
      </c>
      <c r="B1485">
        <v>44.725901655410503</v>
      </c>
      <c r="C1485">
        <v>353</v>
      </c>
      <c r="D1485" t="s">
        <v>11</v>
      </c>
      <c r="E1485" t="s">
        <v>12</v>
      </c>
      <c r="F1485" t="s">
        <v>25</v>
      </c>
      <c r="G1485" t="s">
        <v>26</v>
      </c>
      <c r="H1485">
        <v>7194</v>
      </c>
      <c r="I1485" t="s">
        <v>3017</v>
      </c>
      <c r="J1485" t="s">
        <v>3018</v>
      </c>
      <c r="K1485" t="s">
        <v>17</v>
      </c>
      <c r="L1485" t="str">
        <f t="shared" si="23"/>
        <v xml:space="preserve">{ longitude: -63.6702344278791, latitude: 44.7259016554105, stopType: 'Bus Stop Non-Standard', gotime: \'7194\', location: \'MEADOWBROOK DR OPP PLEASANT ST\' }, </v>
      </c>
    </row>
    <row r="1486" spans="1:12" x14ac:dyDescent="0.25">
      <c r="A1486">
        <v>-63.583406362049502</v>
      </c>
      <c r="B1486">
        <v>44.649863576061499</v>
      </c>
      <c r="C1486">
        <v>1622</v>
      </c>
      <c r="D1486" t="s">
        <v>29</v>
      </c>
      <c r="E1486" t="s">
        <v>12</v>
      </c>
      <c r="F1486" t="s">
        <v>13</v>
      </c>
      <c r="G1486" t="s">
        <v>14</v>
      </c>
      <c r="H1486">
        <v>6462</v>
      </c>
      <c r="I1486" t="s">
        <v>3019</v>
      </c>
      <c r="J1486" t="s">
        <v>3020</v>
      </c>
      <c r="K1486" t="s">
        <v>17</v>
      </c>
      <c r="L1486" t="str">
        <f t="shared" si="23"/>
        <v xml:space="preserve">{ longitude: -63.5834063620495, latitude: 44.6498635760615, stopType: 'Bus Stop Accessible', gotime: \'6462\', location: \'COGSWELL ST OPP MAYNARD ST &lt;EB&gt;\' }, </v>
      </c>
    </row>
    <row r="1487" spans="1:12" x14ac:dyDescent="0.25">
      <c r="A1487">
        <v>-63.673046921108401</v>
      </c>
      <c r="B1487">
        <v>44.726974745252001</v>
      </c>
      <c r="C1487">
        <v>354</v>
      </c>
      <c r="D1487" t="s">
        <v>29</v>
      </c>
      <c r="E1487" t="s">
        <v>12</v>
      </c>
      <c r="F1487" t="s">
        <v>13</v>
      </c>
      <c r="G1487" t="s">
        <v>14</v>
      </c>
      <c r="H1487">
        <v>7195</v>
      </c>
      <c r="I1487" t="s">
        <v>3021</v>
      </c>
      <c r="J1487" s="1" t="s">
        <v>3022</v>
      </c>
      <c r="K1487" t="s">
        <v>17</v>
      </c>
      <c r="L1487" t="str">
        <f t="shared" si="23"/>
        <v xml:space="preserve">{ longitude: -63.6730469211084, latitude: 44.726974745252, stopType: 'Bus Stop Accessible', gotime: \'7195\', location: \'MEADOWBROOK DR OPP CIVIC 60\' }, </v>
      </c>
    </row>
    <row r="1488" spans="1:12" x14ac:dyDescent="0.25">
      <c r="A1488">
        <v>-63.478575892406496</v>
      </c>
      <c r="B1488">
        <v>44.660621370203103</v>
      </c>
      <c r="C1488">
        <v>1623</v>
      </c>
      <c r="D1488" t="s">
        <v>103</v>
      </c>
      <c r="E1488" t="s">
        <v>12</v>
      </c>
      <c r="F1488" t="s">
        <v>25</v>
      </c>
      <c r="G1488" t="s">
        <v>65</v>
      </c>
      <c r="H1488">
        <v>6463</v>
      </c>
      <c r="I1488" t="s">
        <v>3023</v>
      </c>
      <c r="J1488" t="s">
        <v>3024</v>
      </c>
      <c r="K1488" t="s">
        <v>17</v>
      </c>
      <c r="L1488" t="str">
        <f t="shared" si="23"/>
        <v xml:space="preserve">{ longitude: -63.4785758924065, latitude: 44.6606213702031, stopType: 'Bus Stop Inaccessible', gotime: \'6463\', location: \'COLBY DR (BT) BECKS &amp; GREENWICH\' }, </v>
      </c>
    </row>
    <row r="1489" spans="1:12" x14ac:dyDescent="0.25">
      <c r="A1489">
        <v>-63.490903558053603</v>
      </c>
      <c r="B1489">
        <v>44.676885491218698</v>
      </c>
      <c r="C1489">
        <v>355</v>
      </c>
      <c r="D1489" t="s">
        <v>29</v>
      </c>
      <c r="E1489" t="s">
        <v>12</v>
      </c>
      <c r="F1489" t="s">
        <v>25</v>
      </c>
      <c r="G1489" t="s">
        <v>19</v>
      </c>
      <c r="H1489">
        <v>7198</v>
      </c>
      <c r="I1489" t="s">
        <v>3025</v>
      </c>
      <c r="J1489" t="s">
        <v>3026</v>
      </c>
      <c r="K1489" t="s">
        <v>17</v>
      </c>
      <c r="L1489" t="str">
        <f t="shared" si="23"/>
        <v xml:space="preserve">{ longitude: -63.4909035580536, latitude: 44.6768854912187, stopType: 'Bus Stop Accessible', gotime: \'7198\', location: \'MERRIMAC DR FS FOREST HILLS PKWY\' }, </v>
      </c>
    </row>
    <row r="1490" spans="1:12" x14ac:dyDescent="0.25">
      <c r="A1490">
        <v>-63.4780579433721</v>
      </c>
      <c r="B1490">
        <v>44.664981611922599</v>
      </c>
      <c r="C1490">
        <v>1624</v>
      </c>
      <c r="D1490" t="s">
        <v>103</v>
      </c>
      <c r="E1490" t="s">
        <v>12</v>
      </c>
      <c r="F1490" t="s">
        <v>25</v>
      </c>
      <c r="G1490" t="s">
        <v>65</v>
      </c>
      <c r="H1490">
        <v>6464</v>
      </c>
      <c r="I1490" t="s">
        <v>3027</v>
      </c>
      <c r="J1490" t="s">
        <v>3028</v>
      </c>
      <c r="K1490" t="s">
        <v>17</v>
      </c>
      <c r="L1490" t="str">
        <f t="shared" si="23"/>
        <v xml:space="preserve">{ longitude: -63.4780579433721, latitude: 44.6649816119226, stopType: 'Bus Stop Inaccessible', gotime: \'6464\', location: \'COLBY DR (BT) BRIARLYNN CR\' }, </v>
      </c>
    </row>
    <row r="1491" spans="1:12" x14ac:dyDescent="0.25">
      <c r="A1491">
        <v>-63.5913945657855</v>
      </c>
      <c r="B1491">
        <v>44.6573432148328</v>
      </c>
      <c r="C1491">
        <v>356</v>
      </c>
      <c r="D1491" t="s">
        <v>22</v>
      </c>
      <c r="E1491" t="s">
        <v>12</v>
      </c>
      <c r="F1491" t="s">
        <v>13</v>
      </c>
      <c r="G1491" t="s">
        <v>19</v>
      </c>
      <c r="H1491">
        <v>6781</v>
      </c>
      <c r="I1491" t="s">
        <v>3029</v>
      </c>
      <c r="J1491" t="s">
        <v>3030</v>
      </c>
      <c r="K1491" t="s">
        <v>17</v>
      </c>
      <c r="L1491" t="str">
        <f t="shared" si="23"/>
        <v xml:space="preserve">{ longitude: -63.5913945657855, latitude: 44.6573432148328, stopType: 'Bus Stop Shelter Accessible', gotime: \'6781\', location: \'GOTTINGEN ST NS NORTH ST\' }, </v>
      </c>
    </row>
    <row r="1492" spans="1:12" x14ac:dyDescent="0.25">
      <c r="A1492">
        <v>-63.477870792885099</v>
      </c>
      <c r="B1492">
        <v>44.663431981473003</v>
      </c>
      <c r="C1492">
        <v>1625</v>
      </c>
      <c r="D1492" t="s">
        <v>11</v>
      </c>
      <c r="E1492" t="s">
        <v>12</v>
      </c>
      <c r="F1492" t="s">
        <v>25</v>
      </c>
      <c r="G1492" t="s">
        <v>26</v>
      </c>
      <c r="H1492">
        <v>6465</v>
      </c>
      <c r="I1492" t="s">
        <v>3031</v>
      </c>
      <c r="J1492" t="s">
        <v>3032</v>
      </c>
      <c r="K1492" t="s">
        <v>17</v>
      </c>
      <c r="L1492" t="str">
        <f t="shared" si="23"/>
        <v xml:space="preserve">{ longitude: -63.4778707928851, latitude: 44.663431981473, stopType: 'Bus Stop Non-Standard', gotime: \'6465\', location: \'COLBY DR FS BELLROYAL CT\' }, </v>
      </c>
    </row>
    <row r="1493" spans="1:12" x14ac:dyDescent="0.25">
      <c r="A1493">
        <v>-63.597029049773198</v>
      </c>
      <c r="B1493">
        <v>44.6614236642016</v>
      </c>
      <c r="C1493">
        <v>357</v>
      </c>
      <c r="D1493" t="s">
        <v>29</v>
      </c>
      <c r="E1493" t="s">
        <v>12</v>
      </c>
      <c r="F1493" t="s">
        <v>13</v>
      </c>
      <c r="G1493" t="s">
        <v>19</v>
      </c>
      <c r="H1493">
        <v>6782</v>
      </c>
      <c r="I1493" t="s">
        <v>3033</v>
      </c>
      <c r="J1493" t="s">
        <v>3034</v>
      </c>
      <c r="K1493" t="s">
        <v>17</v>
      </c>
      <c r="L1493" t="str">
        <f t="shared" si="23"/>
        <v xml:space="preserve">{ longitude: -63.5970290497732, latitude: 44.6614236642016, stopType: 'Bus Stop Accessible', gotime: \'6782\', location: \'GOTTINGEN ST NS RUSSELL ST &lt;NB&gt;\' }, </v>
      </c>
    </row>
    <row r="1494" spans="1:12" x14ac:dyDescent="0.25">
      <c r="A1494">
        <v>-63.491316491783401</v>
      </c>
      <c r="B1494">
        <v>44.666395633627097</v>
      </c>
      <c r="C1494">
        <v>1626</v>
      </c>
      <c r="D1494" t="s">
        <v>22</v>
      </c>
      <c r="E1494" t="s">
        <v>12</v>
      </c>
      <c r="F1494" t="s">
        <v>13</v>
      </c>
      <c r="G1494" t="s">
        <v>14</v>
      </c>
      <c r="H1494">
        <v>6466</v>
      </c>
      <c r="I1494" t="s">
        <v>3035</v>
      </c>
      <c r="J1494" t="s">
        <v>3036</v>
      </c>
      <c r="K1494" t="s">
        <v>17</v>
      </c>
      <c r="L1494" t="str">
        <f t="shared" si="23"/>
        <v xml:space="preserve">{ longitude: -63.4913164917834, latitude: 44.6663956336271, stopType: 'Bus Stop Shelter Accessible', gotime: \'6466\', location: \'COLBY DR FS DELTA DR\' }, </v>
      </c>
    </row>
    <row r="1495" spans="1:12" x14ac:dyDescent="0.25">
      <c r="A1495">
        <v>-63.597451230867897</v>
      </c>
      <c r="B1495">
        <v>44.661537608481098</v>
      </c>
      <c r="C1495">
        <v>358</v>
      </c>
      <c r="D1495" t="s">
        <v>29</v>
      </c>
      <c r="E1495" t="s">
        <v>12</v>
      </c>
      <c r="F1495" t="s">
        <v>13</v>
      </c>
      <c r="G1495" t="s">
        <v>19</v>
      </c>
      <c r="H1495">
        <v>6783</v>
      </c>
      <c r="I1495" t="s">
        <v>3037</v>
      </c>
      <c r="J1495" t="s">
        <v>3038</v>
      </c>
      <c r="K1495" t="s">
        <v>17</v>
      </c>
      <c r="L1495" t="str">
        <f t="shared" si="23"/>
        <v xml:space="preserve">{ longitude: -63.5974512308679, latitude: 44.6615376084811, stopType: 'Bus Stop Accessible', gotime: \'6783\', location: \'GOTTINGEN ST NS RUSSELL ST &lt;SB&gt;\' }, </v>
      </c>
    </row>
    <row r="1496" spans="1:12" x14ac:dyDescent="0.25">
      <c r="A1496">
        <v>-63.485486845274004</v>
      </c>
      <c r="B1496">
        <v>44.666361812470903</v>
      </c>
      <c r="C1496">
        <v>1627</v>
      </c>
      <c r="D1496" t="s">
        <v>29</v>
      </c>
      <c r="E1496" t="s">
        <v>12</v>
      </c>
      <c r="F1496" t="s">
        <v>25</v>
      </c>
      <c r="G1496" t="s">
        <v>26</v>
      </c>
      <c r="H1496">
        <v>6467</v>
      </c>
      <c r="I1496" t="s">
        <v>3039</v>
      </c>
      <c r="J1496" t="s">
        <v>3040</v>
      </c>
      <c r="K1496" t="s">
        <v>17</v>
      </c>
      <c r="L1496" t="str">
        <f t="shared" si="23"/>
        <v xml:space="preserve">{ longitude: -63.485486845274, latitude: 44.6663618124709, stopType: 'Bus Stop Accessible', gotime: \'6467\', location: \'COLBY DR NS AUTUMN PL\' }, </v>
      </c>
    </row>
    <row r="1497" spans="1:12" x14ac:dyDescent="0.25">
      <c r="A1497">
        <v>-63.5928325999257</v>
      </c>
      <c r="B1497">
        <v>44.658550534539302</v>
      </c>
      <c r="C1497">
        <v>359</v>
      </c>
      <c r="D1497" t="s">
        <v>29</v>
      </c>
      <c r="E1497" t="s">
        <v>12</v>
      </c>
      <c r="F1497" t="s">
        <v>13</v>
      </c>
      <c r="G1497" t="s">
        <v>19</v>
      </c>
      <c r="H1497">
        <v>6785</v>
      </c>
      <c r="I1497" t="s">
        <v>3041</v>
      </c>
      <c r="J1497" t="s">
        <v>3042</v>
      </c>
      <c r="K1497" t="s">
        <v>17</v>
      </c>
      <c r="L1497" t="str">
        <f t="shared" si="23"/>
        <v xml:space="preserve">{ longitude: -63.5928325999257, latitude: 44.6585505345393, stopType: 'Bus Stop Accessible', gotime: \'6785\', location: \'GOTTINGEN ST OPP BLACK ST &lt;NB&gt;\' }, </v>
      </c>
    </row>
    <row r="1498" spans="1:12" x14ac:dyDescent="0.25">
      <c r="A1498">
        <v>-63.482743860812398</v>
      </c>
      <c r="B1498">
        <v>44.6652844419011</v>
      </c>
      <c r="C1498">
        <v>1628</v>
      </c>
      <c r="D1498" t="s">
        <v>29</v>
      </c>
      <c r="E1498" t="s">
        <v>12</v>
      </c>
      <c r="F1498" t="s">
        <v>25</v>
      </c>
      <c r="G1498" t="s">
        <v>26</v>
      </c>
      <c r="H1498">
        <v>6468</v>
      </c>
      <c r="I1498" t="s">
        <v>3043</v>
      </c>
      <c r="J1498" t="s">
        <v>3044</v>
      </c>
      <c r="K1498" t="s">
        <v>17</v>
      </c>
      <c r="L1498" t="str">
        <f t="shared" si="23"/>
        <v xml:space="preserve">{ longitude: -63.4827438608124, latitude: 44.6652844419011, stopType: 'Bus Stop Accessible', gotime: \'6468\', location: \'COLBY DR NS BALSAM PL\' }, </v>
      </c>
    </row>
    <row r="1499" spans="1:12" x14ac:dyDescent="0.25">
      <c r="A1499">
        <v>-63.585834312067199</v>
      </c>
      <c r="B1499">
        <v>44.6535395516511</v>
      </c>
      <c r="C1499">
        <v>360</v>
      </c>
      <c r="D1499" t="s">
        <v>29</v>
      </c>
      <c r="E1499" t="s">
        <v>12</v>
      </c>
      <c r="F1499" t="s">
        <v>13</v>
      </c>
      <c r="G1499" t="s">
        <v>19</v>
      </c>
      <c r="H1499">
        <v>6786</v>
      </c>
      <c r="I1499" t="s">
        <v>3045</v>
      </c>
      <c r="J1499" t="s">
        <v>3046</v>
      </c>
      <c r="K1499" t="s">
        <v>17</v>
      </c>
      <c r="L1499" t="str">
        <f t="shared" si="23"/>
        <v xml:space="preserve">{ longitude: -63.5858343120672, latitude: 44.6535395516511, stopType: 'Bus Stop Accessible', gotime: \'6786\', location: \'GOTTINGEN ST OPP PRINCE WILLIAM  &lt;SB&gt;\' }, </v>
      </c>
    </row>
    <row r="1500" spans="1:12" x14ac:dyDescent="0.25">
      <c r="A1500">
        <v>-63.480158394416499</v>
      </c>
      <c r="B1500">
        <v>44.666017359824799</v>
      </c>
      <c r="C1500">
        <v>1629</v>
      </c>
      <c r="D1500" t="s">
        <v>29</v>
      </c>
      <c r="E1500" t="s">
        <v>12</v>
      </c>
      <c r="F1500" t="s">
        <v>25</v>
      </c>
      <c r="G1500" t="s">
        <v>26</v>
      </c>
      <c r="H1500">
        <v>6469</v>
      </c>
      <c r="I1500" t="s">
        <v>3047</v>
      </c>
      <c r="J1500" t="s">
        <v>3048</v>
      </c>
      <c r="K1500" t="s">
        <v>17</v>
      </c>
      <c r="L1500" t="str">
        <f t="shared" si="23"/>
        <v xml:space="preserve">{ longitude: -63.4801583944165, latitude: 44.6660173598248, stopType: 'Bus Stop Accessible', gotime: \'6469\', location: \'COLBY DR NS BOLING GREEN CR\' }, </v>
      </c>
    </row>
    <row r="1501" spans="1:12" x14ac:dyDescent="0.25">
      <c r="A1501">
        <v>-63.486866450791098</v>
      </c>
      <c r="B1501">
        <v>44.6631791523046</v>
      </c>
      <c r="C1501">
        <v>1630</v>
      </c>
      <c r="D1501" t="s">
        <v>11</v>
      </c>
      <c r="E1501" t="s">
        <v>12</v>
      </c>
      <c r="F1501" t="s">
        <v>25</v>
      </c>
      <c r="G1501" t="s">
        <v>26</v>
      </c>
      <c r="H1501">
        <v>6470</v>
      </c>
      <c r="I1501" t="s">
        <v>3049</v>
      </c>
      <c r="J1501" t="s">
        <v>3050</v>
      </c>
      <c r="K1501" t="s">
        <v>17</v>
      </c>
      <c r="L1501" t="str">
        <f t="shared" si="23"/>
        <v xml:space="preserve">{ longitude: -63.4868664507911, latitude: 44.6631791523046, stopType: 'Bus Stop Non-Standard', gotime: \'6470\', location: \'COLBY DR NS CASTLEWOOD DR\' }, </v>
      </c>
    </row>
    <row r="1502" spans="1:12" x14ac:dyDescent="0.25">
      <c r="A1502">
        <v>-63.588733668929201</v>
      </c>
      <c r="B1502">
        <v>44.6557003469173</v>
      </c>
      <c r="C1502">
        <v>361</v>
      </c>
      <c r="D1502" t="s">
        <v>22</v>
      </c>
      <c r="E1502" t="s">
        <v>12</v>
      </c>
      <c r="F1502" t="s">
        <v>13</v>
      </c>
      <c r="G1502" t="s">
        <v>19</v>
      </c>
      <c r="H1502">
        <v>6787</v>
      </c>
      <c r="I1502" t="s">
        <v>3051</v>
      </c>
      <c r="J1502" t="s">
        <v>3052</v>
      </c>
      <c r="K1502" t="s">
        <v>17</v>
      </c>
      <c r="L1502" t="str">
        <f t="shared" si="23"/>
        <v xml:space="preserve">{ longitude: -63.5887336689292, latitude: 44.6557003469173, stopType: 'Bus Stop Shelter Accessible', gotime: \'6787\', location: \'GOTTINGEN ST OPP SUNRISE MANOR &lt;NB&gt;\' }, </v>
      </c>
    </row>
    <row r="1503" spans="1:12" x14ac:dyDescent="0.25">
      <c r="A1503">
        <v>-63.583297556363199</v>
      </c>
      <c r="B1503">
        <v>44.651808542056301</v>
      </c>
      <c r="C1503">
        <v>362</v>
      </c>
      <c r="D1503" t="s">
        <v>29</v>
      </c>
      <c r="E1503" t="s">
        <v>12</v>
      </c>
      <c r="F1503" t="s">
        <v>13</v>
      </c>
      <c r="G1503" t="s">
        <v>14</v>
      </c>
      <c r="H1503">
        <v>6790</v>
      </c>
      <c r="I1503" t="s">
        <v>3053</v>
      </c>
      <c r="J1503" t="s">
        <v>3054</v>
      </c>
      <c r="K1503" t="s">
        <v>17</v>
      </c>
      <c r="L1503" t="str">
        <f t="shared" si="23"/>
        <v xml:space="preserve">{ longitude: -63.5832975563632, latitude: 44.6518085420563, stopType: 'Bus Stop Accessible', gotime: \'6790\', location: \'GOTTINGEN ST SB FS CIVIC 2128\' }, </v>
      </c>
    </row>
    <row r="1504" spans="1:12" x14ac:dyDescent="0.25">
      <c r="A1504">
        <v>-63.662739999226503</v>
      </c>
      <c r="B1504">
        <v>44.661688081493999</v>
      </c>
      <c r="C1504">
        <v>1631</v>
      </c>
      <c r="D1504" t="s">
        <v>29</v>
      </c>
      <c r="E1504" t="s">
        <v>12</v>
      </c>
      <c r="F1504" t="s">
        <v>25</v>
      </c>
      <c r="G1504" t="s">
        <v>19</v>
      </c>
      <c r="H1504">
        <v>7070</v>
      </c>
      <c r="I1504" t="s">
        <v>3055</v>
      </c>
      <c r="J1504" t="s">
        <v>3056</v>
      </c>
      <c r="K1504" t="s">
        <v>17</v>
      </c>
      <c r="L1504" t="str">
        <f t="shared" si="23"/>
        <v xml:space="preserve">{ longitude: -63.6627399992265, latitude: 44.661688081494, stopType: 'Bus Stop Accessible', gotime: \'7070\', location: \'LACEWOOD DR FS RADCLIFFE\' }, </v>
      </c>
    </row>
    <row r="1505" spans="1:12" x14ac:dyDescent="0.25">
      <c r="A1505">
        <v>-63.494935918984702</v>
      </c>
      <c r="B1505">
        <v>44.685866768848499</v>
      </c>
      <c r="C1505">
        <v>363</v>
      </c>
      <c r="D1505" t="s">
        <v>18</v>
      </c>
      <c r="E1505" t="s">
        <v>12</v>
      </c>
      <c r="F1505" t="s">
        <v>25</v>
      </c>
      <c r="G1505" t="s">
        <v>26</v>
      </c>
      <c r="H1505">
        <v>6792</v>
      </c>
      <c r="I1505" t="s">
        <v>3057</v>
      </c>
      <c r="J1505" t="s">
        <v>3058</v>
      </c>
      <c r="K1505" t="s">
        <v>17</v>
      </c>
      <c r="L1505" t="str">
        <f t="shared" si="23"/>
        <v xml:space="preserve">{ longitude: -63.4949359189847, latitude: 44.6858667688485, stopType: 'Bus Stop Shelter Non-Standard', gotime: \'6792\', location: \'GREGORY DR FS FLYING CLOUD DR\' }, </v>
      </c>
    </row>
    <row r="1506" spans="1:12" x14ac:dyDescent="0.25">
      <c r="A1506">
        <v>-63.522703125333599</v>
      </c>
      <c r="B1506">
        <v>44.676811067135802</v>
      </c>
      <c r="C1506">
        <v>1632</v>
      </c>
      <c r="D1506" t="s">
        <v>29</v>
      </c>
      <c r="E1506" t="s">
        <v>12</v>
      </c>
      <c r="F1506" t="s">
        <v>25</v>
      </c>
      <c r="G1506" t="s">
        <v>19</v>
      </c>
      <c r="H1506">
        <v>6631</v>
      </c>
      <c r="I1506" t="s">
        <v>3059</v>
      </c>
      <c r="J1506" t="s">
        <v>3060</v>
      </c>
      <c r="K1506" t="s">
        <v>17</v>
      </c>
      <c r="L1506" t="str">
        <f t="shared" si="23"/>
        <v xml:space="preserve">{ longitude: -63.5227031253336, latitude: 44.6768110671358, stopType: 'Bus Stop Accessible', gotime: \'6631\', location: \'ELLENVALE AVE FS CIVIC 38\' }, </v>
      </c>
    </row>
    <row r="1507" spans="1:12" x14ac:dyDescent="0.25">
      <c r="A1507">
        <v>-63.494849648272201</v>
      </c>
      <c r="B1507">
        <v>44.685749013324198</v>
      </c>
      <c r="C1507">
        <v>364</v>
      </c>
      <c r="D1507" t="s">
        <v>29</v>
      </c>
      <c r="E1507" t="s">
        <v>12</v>
      </c>
      <c r="F1507" t="s">
        <v>25</v>
      </c>
      <c r="G1507" t="s">
        <v>26</v>
      </c>
      <c r="H1507">
        <v>6793</v>
      </c>
      <c r="I1507" t="s">
        <v>3061</v>
      </c>
      <c r="J1507" t="s">
        <v>3062</v>
      </c>
      <c r="K1507" t="s">
        <v>17</v>
      </c>
      <c r="L1507" t="str">
        <f t="shared" si="23"/>
        <v xml:space="preserve">{ longitude: -63.4948496482722, latitude: 44.6857490133242, stopType: 'Bus Stop Accessible', gotime: \'6793\', location: \'GREGORY DR AT JOSEPH GILES SCHOOL\' }, </v>
      </c>
    </row>
    <row r="1508" spans="1:12" x14ac:dyDescent="0.25">
      <c r="A1508">
        <v>-63.612732875478898</v>
      </c>
      <c r="B1508">
        <v>44.5996627020088</v>
      </c>
      <c r="C1508">
        <v>1633</v>
      </c>
      <c r="D1508" t="s">
        <v>29</v>
      </c>
      <c r="E1508" t="s">
        <v>12</v>
      </c>
      <c r="F1508" t="s">
        <v>13</v>
      </c>
      <c r="G1508" t="s">
        <v>14</v>
      </c>
      <c r="H1508">
        <v>6796</v>
      </c>
      <c r="I1508" t="s">
        <v>3063</v>
      </c>
      <c r="J1508" t="s">
        <v>3064</v>
      </c>
      <c r="K1508" t="s">
        <v>17</v>
      </c>
      <c r="L1508" t="str">
        <f t="shared" si="23"/>
        <v xml:space="preserve">{ longitude: -63.6127328754789, latitude: 44.5996627020088, stopType: 'Bus Stop Accessible', gotime: \'6796\', location: \'GREYSTONE DR AT CIVIC 146 [IB]\' }, </v>
      </c>
    </row>
    <row r="1509" spans="1:12" x14ac:dyDescent="0.25">
      <c r="A1509">
        <v>-63.497842233557499</v>
      </c>
      <c r="B1509">
        <v>44.684857344009899</v>
      </c>
      <c r="C1509">
        <v>365</v>
      </c>
      <c r="D1509" t="s">
        <v>18</v>
      </c>
      <c r="E1509" t="s">
        <v>12</v>
      </c>
      <c r="F1509" t="s">
        <v>25</v>
      </c>
      <c r="G1509" t="s">
        <v>19</v>
      </c>
      <c r="H1509">
        <v>6794</v>
      </c>
      <c r="I1509" t="s">
        <v>3065</v>
      </c>
      <c r="J1509" t="s">
        <v>3066</v>
      </c>
      <c r="K1509" t="s">
        <v>17</v>
      </c>
      <c r="L1509" t="str">
        <f t="shared" si="23"/>
        <v xml:space="preserve">{ longitude: -63.4978422335575, latitude: 44.6848573440099, stopType: 'Bus Stop Shelter Non-Standard', gotime: \'6794\', location: \'GREGORY DR NS WILDWOOD BLVD\' }, </v>
      </c>
    </row>
    <row r="1510" spans="1:12" x14ac:dyDescent="0.25">
      <c r="A1510">
        <v>-63.614295087413701</v>
      </c>
      <c r="B1510">
        <v>44.599341024151499</v>
      </c>
      <c r="C1510">
        <v>1634</v>
      </c>
      <c r="D1510" t="s">
        <v>29</v>
      </c>
      <c r="E1510" t="s">
        <v>12</v>
      </c>
      <c r="F1510" t="s">
        <v>25</v>
      </c>
      <c r="G1510" t="s">
        <v>26</v>
      </c>
      <c r="H1510">
        <v>6797</v>
      </c>
      <c r="I1510" t="s">
        <v>3067</v>
      </c>
      <c r="J1510" t="s">
        <v>3068</v>
      </c>
      <c r="K1510" t="s">
        <v>17</v>
      </c>
      <c r="L1510" t="str">
        <f t="shared" si="23"/>
        <v xml:space="preserve">{ longitude: -63.6142950874137, latitude: 44.5993410241515, stopType: 'Bus Stop Accessible', gotime: \'6797\', location: \'GREYSTONE DR NS CIVIC 192\' }, </v>
      </c>
    </row>
    <row r="1511" spans="1:12" x14ac:dyDescent="0.25">
      <c r="A1511">
        <v>-63.612704410172398</v>
      </c>
      <c r="B1511">
        <v>44.599695600285102</v>
      </c>
      <c r="C1511">
        <v>366</v>
      </c>
      <c r="D1511" t="s">
        <v>22</v>
      </c>
      <c r="E1511" t="s">
        <v>12</v>
      </c>
      <c r="F1511" t="s">
        <v>13</v>
      </c>
      <c r="G1511" t="s">
        <v>19</v>
      </c>
      <c r="H1511">
        <v>6795</v>
      </c>
      <c r="I1511" t="s">
        <v>3069</v>
      </c>
      <c r="J1511" t="s">
        <v>3070</v>
      </c>
      <c r="K1511" t="s">
        <v>17</v>
      </c>
      <c r="L1511" t="str">
        <f t="shared" si="23"/>
        <v xml:space="preserve">{ longitude: -63.6127044101724, latitude: 44.5996956002851, stopType: 'Bus Stop Shelter Accessible', gotime: \'6795\', location: \'GREYSTONE DR AT CIVIC 146\' }, </v>
      </c>
    </row>
    <row r="1512" spans="1:12" x14ac:dyDescent="0.25">
      <c r="A1512">
        <v>-63.614244843730198</v>
      </c>
      <c r="B1512">
        <v>44.599331634629003</v>
      </c>
      <c r="C1512">
        <v>1635</v>
      </c>
      <c r="D1512" t="s">
        <v>22</v>
      </c>
      <c r="E1512" t="s">
        <v>12</v>
      </c>
      <c r="F1512" t="s">
        <v>25</v>
      </c>
      <c r="G1512" t="s">
        <v>26</v>
      </c>
      <c r="H1512">
        <v>6798</v>
      </c>
      <c r="I1512" t="s">
        <v>3071</v>
      </c>
      <c r="J1512" s="1" t="s">
        <v>3072</v>
      </c>
      <c r="K1512" t="s">
        <v>17</v>
      </c>
      <c r="L1512" t="str">
        <f t="shared" si="23"/>
        <v xml:space="preserve">{ longitude: -63.6142448437302, latitude: 44.599331634629, stopType: 'Bus Stop Shelter Accessible', gotime: \'6798\', location: \'GREYSTONE DR NS CIVIC 92 [IB]\' }, </v>
      </c>
    </row>
    <row r="1513" spans="1:12" x14ac:dyDescent="0.25">
      <c r="A1513">
        <v>-63.483302483091798</v>
      </c>
      <c r="B1513">
        <v>44.662184505567701</v>
      </c>
      <c r="C1513">
        <v>367</v>
      </c>
      <c r="D1513" t="s">
        <v>103</v>
      </c>
      <c r="E1513" t="s">
        <v>12</v>
      </c>
      <c r="F1513" t="s">
        <v>25</v>
      </c>
      <c r="G1513" t="s">
        <v>65</v>
      </c>
      <c r="H1513">
        <v>6471</v>
      </c>
      <c r="I1513" t="s">
        <v>3073</v>
      </c>
      <c r="J1513" t="s">
        <v>3074</v>
      </c>
      <c r="K1513" t="s">
        <v>17</v>
      </c>
      <c r="L1513" t="str">
        <f t="shared" si="23"/>
        <v xml:space="preserve">{ longitude: -63.4833024830918, latitude: 44.6621845055677, stopType: 'Bus Stop Inaccessible', gotime: \'6471\', location: \'COLBY DR NS CRESTWOOD DR\' }, </v>
      </c>
    </row>
    <row r="1514" spans="1:12" x14ac:dyDescent="0.25">
      <c r="A1514">
        <v>-63.612571880086001</v>
      </c>
      <c r="B1514">
        <v>44.600002635233203</v>
      </c>
      <c r="C1514">
        <v>1636</v>
      </c>
      <c r="D1514" t="s">
        <v>29</v>
      </c>
      <c r="E1514" t="s">
        <v>12</v>
      </c>
      <c r="F1514" t="s">
        <v>25</v>
      </c>
      <c r="G1514" t="s">
        <v>26</v>
      </c>
      <c r="H1514">
        <v>6799</v>
      </c>
      <c r="I1514" t="s">
        <v>3075</v>
      </c>
      <c r="J1514" t="s">
        <v>3076</v>
      </c>
      <c r="K1514" t="s">
        <v>17</v>
      </c>
      <c r="L1514" t="str">
        <f t="shared" si="23"/>
        <v xml:space="preserve">{ longitude: -63.612571880086, latitude: 44.6000026352332, stopType: 'Bus Stop Accessible', gotime: \'6799\', location: \'GREYSTONE DR NS CRANBERRY CRT\' }, </v>
      </c>
    </row>
    <row r="1515" spans="1:12" x14ac:dyDescent="0.25">
      <c r="A1515">
        <v>-63.490155182126401</v>
      </c>
      <c r="B1515">
        <v>44.664054257446502</v>
      </c>
      <c r="C1515">
        <v>368</v>
      </c>
      <c r="D1515" t="s">
        <v>29</v>
      </c>
      <c r="E1515" t="s">
        <v>12</v>
      </c>
      <c r="F1515" t="s">
        <v>25</v>
      </c>
      <c r="G1515" t="s">
        <v>26</v>
      </c>
      <c r="H1515">
        <v>6472</v>
      </c>
      <c r="I1515" t="s">
        <v>3077</v>
      </c>
      <c r="J1515" t="s">
        <v>3078</v>
      </c>
      <c r="K1515" t="s">
        <v>17</v>
      </c>
      <c r="L1515" t="str">
        <f t="shared" si="23"/>
        <v xml:space="preserve">{ longitude: -63.4901551821264, latitude: 44.6640542574465, stopType: 'Bus Stop Accessible', gotime: \'6472\', location: \'COLBY DR NS DEERBROOKE DR\' }, </v>
      </c>
    </row>
    <row r="1516" spans="1:12" x14ac:dyDescent="0.25">
      <c r="A1516">
        <v>-63.612572428039002</v>
      </c>
      <c r="B1516">
        <v>44.599966640110203</v>
      </c>
      <c r="C1516">
        <v>1637</v>
      </c>
      <c r="D1516" t="s">
        <v>29</v>
      </c>
      <c r="E1516" t="s">
        <v>12</v>
      </c>
      <c r="F1516" t="s">
        <v>25</v>
      </c>
      <c r="G1516" t="s">
        <v>26</v>
      </c>
      <c r="H1516">
        <v>6800</v>
      </c>
      <c r="I1516" t="s">
        <v>3079</v>
      </c>
      <c r="J1516" t="s">
        <v>3080</v>
      </c>
      <c r="K1516" t="s">
        <v>17</v>
      </c>
      <c r="L1516" t="str">
        <f t="shared" si="23"/>
        <v xml:space="preserve">{ longitude: -63.612572428039, latitude: 44.5999666401102, stopType: 'Bus Stop Accessible', gotime: \'6800\', location: \'GREYSTONE DR [IB] NS CRANBERRY CRT\' }, </v>
      </c>
    </row>
    <row r="1517" spans="1:12" x14ac:dyDescent="0.25">
      <c r="A1517">
        <v>-63.464556958515999</v>
      </c>
      <c r="B1517">
        <v>44.744678145839202</v>
      </c>
      <c r="C1517">
        <v>369</v>
      </c>
      <c r="D1517" t="s">
        <v>11</v>
      </c>
      <c r="E1517" t="s">
        <v>12</v>
      </c>
      <c r="F1517" t="s">
        <v>25</v>
      </c>
      <c r="G1517" t="s">
        <v>26</v>
      </c>
      <c r="H1517">
        <v>7107</v>
      </c>
      <c r="I1517" t="s">
        <v>3081</v>
      </c>
      <c r="J1517" t="s">
        <v>3082</v>
      </c>
      <c r="K1517" t="s">
        <v>17</v>
      </c>
      <c r="L1517" t="str">
        <f t="shared" si="23"/>
        <v xml:space="preserve">{ longitude: -63.464556958516, latitude: 44.7446781458392, stopType: 'Bus Stop Non-Standard', gotime: \'7107\', location: \'NORTH PRESTON RD AT CIVIC 1032\' }, </v>
      </c>
    </row>
    <row r="1518" spans="1:12" x14ac:dyDescent="0.25">
      <c r="A1518">
        <v>-63.816576944497498</v>
      </c>
      <c r="B1518">
        <v>44.727773401671101</v>
      </c>
      <c r="C1518">
        <v>1638</v>
      </c>
      <c r="D1518" t="s">
        <v>103</v>
      </c>
      <c r="E1518" t="s">
        <v>12</v>
      </c>
      <c r="F1518" t="s">
        <v>13</v>
      </c>
      <c r="G1518" t="s">
        <v>65</v>
      </c>
      <c r="H1518">
        <v>6801</v>
      </c>
      <c r="I1518" t="s">
        <v>3083</v>
      </c>
      <c r="J1518" t="s">
        <v>3084</v>
      </c>
      <c r="K1518" t="s">
        <v>17</v>
      </c>
      <c r="L1518" t="str">
        <f t="shared" si="23"/>
        <v xml:space="preserve">{ longitude: -63.8165769444975, latitude: 44.7277734016711, stopType: 'Bus Stop Inaccessible', gotime: \'6801\', location: \'HAMMONDS PLAINS RD FS YANKEETOWN RD\' }, </v>
      </c>
    </row>
    <row r="1519" spans="1:12" x14ac:dyDescent="0.25">
      <c r="A1519">
        <v>-63.467802250006997</v>
      </c>
      <c r="B1519">
        <v>44.709905901083602</v>
      </c>
      <c r="C1519">
        <v>370</v>
      </c>
      <c r="D1519" t="s">
        <v>103</v>
      </c>
      <c r="E1519" t="s">
        <v>12</v>
      </c>
      <c r="F1519" t="s">
        <v>25</v>
      </c>
      <c r="G1519" t="s">
        <v>65</v>
      </c>
      <c r="H1519">
        <v>7108</v>
      </c>
      <c r="I1519" t="s">
        <v>3085</v>
      </c>
      <c r="J1519" t="s">
        <v>3086</v>
      </c>
      <c r="K1519" t="s">
        <v>17</v>
      </c>
      <c r="L1519" t="str">
        <f t="shared" si="23"/>
        <v xml:space="preserve">{ longitude: -63.467802250007, latitude: 44.7099059010836, stopType: 'Bus Stop Inaccessible', gotime: \'7108\', location: \'LAKE MAJOR RD AT CIVIC 137\' }, </v>
      </c>
    </row>
    <row r="1520" spans="1:12" x14ac:dyDescent="0.25">
      <c r="A1520">
        <v>-63.816789103135903</v>
      </c>
      <c r="B1520">
        <v>44.7278534180546</v>
      </c>
      <c r="C1520">
        <v>1639</v>
      </c>
      <c r="D1520" t="s">
        <v>103</v>
      </c>
      <c r="E1520" t="s">
        <v>12</v>
      </c>
      <c r="F1520" t="s">
        <v>25</v>
      </c>
      <c r="G1520" t="s">
        <v>65</v>
      </c>
      <c r="H1520">
        <v>6802</v>
      </c>
      <c r="I1520" t="s">
        <v>3087</v>
      </c>
      <c r="J1520" t="s">
        <v>3088</v>
      </c>
      <c r="K1520" t="s">
        <v>17</v>
      </c>
      <c r="L1520" t="str">
        <f t="shared" si="23"/>
        <v xml:space="preserve">{ longitude: -63.8167891031359, latitude: 44.7278534180546, stopType: 'Bus Stop Inaccessible', gotime: \'6802\', location: \'HAMMONDS PLAINS RD OPP YANKEETOWN RD\' }, </v>
      </c>
    </row>
    <row r="1521" spans="1:12" x14ac:dyDescent="0.25">
      <c r="A1521">
        <v>-63.467510820051402</v>
      </c>
      <c r="B1521">
        <v>44.712810159540197</v>
      </c>
      <c r="C1521">
        <v>371</v>
      </c>
      <c r="D1521" t="s">
        <v>11</v>
      </c>
      <c r="E1521" t="s">
        <v>12</v>
      </c>
      <c r="F1521" t="s">
        <v>25</v>
      </c>
      <c r="G1521" t="s">
        <v>26</v>
      </c>
      <c r="H1521">
        <v>7109</v>
      </c>
      <c r="I1521" t="s">
        <v>3089</v>
      </c>
      <c r="J1521" t="s">
        <v>3090</v>
      </c>
      <c r="K1521" t="s">
        <v>17</v>
      </c>
      <c r="L1521" t="str">
        <f t="shared" si="23"/>
        <v xml:space="preserve">{ longitude: -63.4675108200514, latitude: 44.7128101595402, stopType: 'Bus Stop Non-Standard', gotime: \'7109\', location: \'LAKE MAJOR RD AT CIVIC 190\' }, </v>
      </c>
    </row>
    <row r="1522" spans="1:12" x14ac:dyDescent="0.25">
      <c r="A1522">
        <v>-63.688289695678101</v>
      </c>
      <c r="B1522">
        <v>44.721180600662002</v>
      </c>
      <c r="C1522">
        <v>1640</v>
      </c>
      <c r="D1522" t="s">
        <v>11</v>
      </c>
      <c r="E1522" t="s">
        <v>12</v>
      </c>
      <c r="F1522" t="s">
        <v>25</v>
      </c>
      <c r="G1522" t="s">
        <v>26</v>
      </c>
      <c r="H1522">
        <v>6803</v>
      </c>
      <c r="I1522" t="s">
        <v>3091</v>
      </c>
      <c r="J1522" t="s">
        <v>3092</v>
      </c>
      <c r="K1522" t="s">
        <v>17</v>
      </c>
      <c r="L1522" t="str">
        <f t="shared" si="23"/>
        <v xml:space="preserve">{ longitude: -63.6882896956781, latitude: 44.721180600662, stopType: 'Bus Stop Non-Standard', gotime: \'6803\', location: \'HAMMONDS PLAINS RD OPP BROOKSHIRE CRT\' }, </v>
      </c>
    </row>
    <row r="1523" spans="1:12" x14ac:dyDescent="0.25">
      <c r="A1523">
        <v>-63.467221970088701</v>
      </c>
      <c r="B1523">
        <v>44.714148497735998</v>
      </c>
      <c r="C1523">
        <v>372</v>
      </c>
      <c r="D1523" t="s">
        <v>103</v>
      </c>
      <c r="E1523" t="s">
        <v>12</v>
      </c>
      <c r="F1523" t="s">
        <v>25</v>
      </c>
      <c r="G1523" t="s">
        <v>65</v>
      </c>
      <c r="H1523">
        <v>7110</v>
      </c>
      <c r="I1523" t="s">
        <v>3093</v>
      </c>
      <c r="J1523" t="s">
        <v>3094</v>
      </c>
      <c r="K1523" t="s">
        <v>17</v>
      </c>
      <c r="L1523" t="str">
        <f t="shared" si="23"/>
        <v xml:space="preserve">{ longitude: -63.4672219700887, latitude: 44.714148497736, stopType: 'Bus Stop Inaccessible', gotime: \'7110\', location: \'LAKE MAJOR RD AT CIVIC 237\' }, </v>
      </c>
    </row>
    <row r="1524" spans="1:12" x14ac:dyDescent="0.25">
      <c r="A1524">
        <v>-63.683482853657601</v>
      </c>
      <c r="B1524">
        <v>44.717411473560503</v>
      </c>
      <c r="C1524">
        <v>1641</v>
      </c>
      <c r="D1524" t="s">
        <v>11</v>
      </c>
      <c r="E1524" t="s">
        <v>12</v>
      </c>
      <c r="F1524" t="s">
        <v>25</v>
      </c>
      <c r="G1524" t="s">
        <v>26</v>
      </c>
      <c r="H1524">
        <v>6804</v>
      </c>
      <c r="I1524" t="s">
        <v>3095</v>
      </c>
      <c r="J1524" t="s">
        <v>3096</v>
      </c>
      <c r="K1524" t="s">
        <v>17</v>
      </c>
      <c r="L1524" t="str">
        <f t="shared" si="23"/>
        <v xml:space="preserve">{ longitude: -63.6834828536576, latitude: 44.7174114735605, stopType: 'Bus Stop Non-Standard', gotime: \'6804\', location: \'HAMMONDS PLAINS RD FS BASINVIEW\' }, </v>
      </c>
    </row>
    <row r="1525" spans="1:12" x14ac:dyDescent="0.25">
      <c r="A1525">
        <v>-63.709262149590401</v>
      </c>
      <c r="B1525">
        <v>44.787447868968698</v>
      </c>
      <c r="C1525">
        <v>373</v>
      </c>
      <c r="D1525" t="s">
        <v>11</v>
      </c>
      <c r="E1525" t="s">
        <v>12</v>
      </c>
      <c r="F1525" t="s">
        <v>25</v>
      </c>
      <c r="G1525" t="s">
        <v>26</v>
      </c>
      <c r="H1525">
        <v>7225</v>
      </c>
      <c r="I1525" t="s">
        <v>3097</v>
      </c>
      <c r="J1525" t="s">
        <v>3098</v>
      </c>
      <c r="K1525" t="s">
        <v>17</v>
      </c>
      <c r="L1525" t="str">
        <f t="shared" si="23"/>
        <v xml:space="preserve">{ longitude: -63.7092621495904, latitude: 44.7874478689687, stopType: 'Bus Stop Non-Standard', gotime: \'7225\', location: \'MILLWOOD DR FS HIGHRIGGER CR\' }, </v>
      </c>
    </row>
    <row r="1526" spans="1:12" x14ac:dyDescent="0.25">
      <c r="A1526">
        <v>-63.485773242070699</v>
      </c>
      <c r="B1526">
        <v>44.708267438477797</v>
      </c>
      <c r="C1526">
        <v>1642</v>
      </c>
      <c r="D1526" t="s">
        <v>11</v>
      </c>
      <c r="E1526" t="s">
        <v>12</v>
      </c>
      <c r="F1526" t="s">
        <v>13</v>
      </c>
      <c r="G1526" t="s">
        <v>14</v>
      </c>
      <c r="H1526">
        <v>7156</v>
      </c>
      <c r="I1526" t="s">
        <v>3099</v>
      </c>
      <c r="J1526" t="s">
        <v>3100</v>
      </c>
      <c r="K1526" t="s">
        <v>17</v>
      </c>
      <c r="L1526" t="str">
        <f t="shared" si="23"/>
        <v xml:space="preserve">{ longitude: -63.4857732420707, latitude: 44.7082674384778, stopType: 'Bus Stop Non-Standard', gotime: \'7156\', location: \'CHERRY BROOK RD &lt;EB&gt; FS RILEY RD\' }, </v>
      </c>
    </row>
    <row r="1527" spans="1:12" x14ac:dyDescent="0.25">
      <c r="A1527">
        <v>-63.709340598277898</v>
      </c>
      <c r="B1527">
        <v>44.784478557340201</v>
      </c>
      <c r="C1527">
        <v>374</v>
      </c>
      <c r="D1527" t="s">
        <v>29</v>
      </c>
      <c r="E1527" t="s">
        <v>12</v>
      </c>
      <c r="F1527" t="s">
        <v>25</v>
      </c>
      <c r="G1527" t="s">
        <v>26</v>
      </c>
      <c r="H1527">
        <v>7226</v>
      </c>
      <c r="I1527" t="s">
        <v>3101</v>
      </c>
      <c r="J1527" t="s">
        <v>3102</v>
      </c>
      <c r="K1527" t="s">
        <v>17</v>
      </c>
      <c r="L1527" t="str">
        <f t="shared" si="23"/>
        <v xml:space="preserve">{ longitude: -63.7093405982779, latitude: 44.7844785573402, stopType: 'Bus Stop Accessible', gotime: \'7226\', location: \'MILLWOOD DR FS KINDLING CR\' }, </v>
      </c>
    </row>
    <row r="1528" spans="1:12" x14ac:dyDescent="0.25">
      <c r="A1528">
        <v>-63.482560593239597</v>
      </c>
      <c r="B1528">
        <v>44.708904386319098</v>
      </c>
      <c r="C1528">
        <v>1643</v>
      </c>
      <c r="D1528" t="s">
        <v>11</v>
      </c>
      <c r="E1528" t="s">
        <v>12</v>
      </c>
      <c r="F1528" t="s">
        <v>25</v>
      </c>
      <c r="G1528" t="s">
        <v>26</v>
      </c>
      <c r="H1528">
        <v>7157</v>
      </c>
      <c r="I1528" t="s">
        <v>3103</v>
      </c>
      <c r="J1528" t="s">
        <v>3104</v>
      </c>
      <c r="K1528" t="s">
        <v>17</v>
      </c>
      <c r="L1528" t="str">
        <f t="shared" si="23"/>
        <v xml:space="preserve">{ longitude: -63.4825605932396, latitude: 44.7089043863191, stopType: 'Bus Stop Non-Standard', gotime: \'7157\', location: \'CHERRY BROOK RD FS BAPTIST CHURCH\' }, </v>
      </c>
    </row>
    <row r="1529" spans="1:12" x14ac:dyDescent="0.25">
      <c r="A1529">
        <v>-63.697329684871498</v>
      </c>
      <c r="B1529">
        <v>44.790379474122702</v>
      </c>
      <c r="C1529">
        <v>375</v>
      </c>
      <c r="D1529" t="s">
        <v>29</v>
      </c>
      <c r="E1529" t="s">
        <v>12</v>
      </c>
      <c r="F1529" t="s">
        <v>25</v>
      </c>
      <c r="G1529" t="s">
        <v>26</v>
      </c>
      <c r="H1529">
        <v>7227</v>
      </c>
      <c r="I1529" t="s">
        <v>3105</v>
      </c>
      <c r="J1529" t="s">
        <v>3106</v>
      </c>
      <c r="K1529" t="s">
        <v>17</v>
      </c>
      <c r="L1529" t="str">
        <f t="shared" si="23"/>
        <v xml:space="preserve">{ longitude: -63.6973296848715, latitude: 44.7903794741227, stopType: 'Bus Stop Accessible', gotime: \'7227\', location: \'MILLWOOD DR AT CIVIC 424\' }, </v>
      </c>
    </row>
    <row r="1530" spans="1:12" x14ac:dyDescent="0.25">
      <c r="A1530">
        <v>-63.645737715148996</v>
      </c>
      <c r="B1530">
        <v>44.654447767521802</v>
      </c>
      <c r="C1530">
        <v>1644</v>
      </c>
      <c r="D1530" t="s">
        <v>11</v>
      </c>
      <c r="E1530" t="s">
        <v>12</v>
      </c>
      <c r="F1530" t="s">
        <v>13</v>
      </c>
      <c r="G1530" t="s">
        <v>14</v>
      </c>
      <c r="H1530">
        <v>7158</v>
      </c>
      <c r="I1530" t="s">
        <v>3107</v>
      </c>
      <c r="J1530" t="s">
        <v>3108</v>
      </c>
      <c r="K1530" t="s">
        <v>17</v>
      </c>
      <c r="L1530" t="str">
        <f t="shared" si="23"/>
        <v xml:space="preserve">{ longitude: -63.645737715149, latitude: 44.6544477675218, stopType: 'Bus Stop Non-Standard', gotime: \'7158\', location: \'MAIN AVE AT CIVIC 202\' }, </v>
      </c>
    </row>
    <row r="1531" spans="1:12" x14ac:dyDescent="0.25">
      <c r="A1531">
        <v>-63.703018754922397</v>
      </c>
      <c r="B1531">
        <v>44.791157282290897</v>
      </c>
      <c r="C1531">
        <v>376</v>
      </c>
      <c r="D1531" t="s">
        <v>11</v>
      </c>
      <c r="E1531" t="s">
        <v>12</v>
      </c>
      <c r="F1531" t="s">
        <v>25</v>
      </c>
      <c r="G1531" t="s">
        <v>26</v>
      </c>
      <c r="H1531">
        <v>7228</v>
      </c>
      <c r="I1531" t="s">
        <v>3109</v>
      </c>
      <c r="J1531" t="s">
        <v>3110</v>
      </c>
      <c r="K1531" t="s">
        <v>17</v>
      </c>
      <c r="L1531" t="str">
        <f t="shared" si="23"/>
        <v xml:space="preserve">{ longitude: -63.7030187549224, latitude: 44.7911572822909, stopType: 'Bus Stop Non-Standard', gotime: \'7228\', location: \'MILLWOOD DR NS BEAVERBANK CROSS\' }, </v>
      </c>
    </row>
    <row r="1532" spans="1:12" x14ac:dyDescent="0.25">
      <c r="A1532">
        <v>-63.635770938171497</v>
      </c>
      <c r="B1532">
        <v>44.658878597328901</v>
      </c>
      <c r="C1532">
        <v>1645</v>
      </c>
      <c r="D1532" t="s">
        <v>29</v>
      </c>
      <c r="E1532" t="s">
        <v>12</v>
      </c>
      <c r="F1532" t="s">
        <v>13</v>
      </c>
      <c r="G1532" t="s">
        <v>19</v>
      </c>
      <c r="H1532">
        <v>7159</v>
      </c>
      <c r="I1532" t="s">
        <v>3111</v>
      </c>
      <c r="J1532" t="s">
        <v>3112</v>
      </c>
      <c r="K1532" t="s">
        <v>17</v>
      </c>
      <c r="L1532" t="str">
        <f t="shared" si="23"/>
        <v xml:space="preserve">{ longitude: -63.6357709381715, latitude: 44.6588785973289, stopType: 'Bus Stop Accessible', gotime: \'7159\', location: \'MAIN AVE FS MAPLE &lt;EB&gt; TO VICTORIA RD MANOR\' }, </v>
      </c>
    </row>
    <row r="1533" spans="1:12" x14ac:dyDescent="0.25">
      <c r="A1533">
        <v>-63.692808079348801</v>
      </c>
      <c r="B1533">
        <v>44.7901766122149</v>
      </c>
      <c r="C1533">
        <v>377</v>
      </c>
      <c r="D1533" t="s">
        <v>103</v>
      </c>
      <c r="E1533" t="s">
        <v>12</v>
      </c>
      <c r="F1533" t="s">
        <v>25</v>
      </c>
      <c r="G1533" t="s">
        <v>65</v>
      </c>
      <c r="H1533">
        <v>7229</v>
      </c>
      <c r="I1533" t="s">
        <v>3113</v>
      </c>
      <c r="J1533" t="s">
        <v>3114</v>
      </c>
      <c r="K1533" t="s">
        <v>17</v>
      </c>
      <c r="L1533" t="str">
        <f t="shared" si="23"/>
        <v xml:space="preserve">{ longitude: -63.6928080793488, latitude: 44.7901766122149, stopType: 'Bus Stop Inaccessible', gotime: \'7229\', location: \'MILLWOOD DR NS BEAVERBANK RD\' }, </v>
      </c>
    </row>
    <row r="1534" spans="1:12" x14ac:dyDescent="0.25">
      <c r="A1534">
        <v>-63.633259548218298</v>
      </c>
      <c r="B1534">
        <v>44.659866187075899</v>
      </c>
      <c r="C1534">
        <v>1646</v>
      </c>
      <c r="D1534" t="s">
        <v>29</v>
      </c>
      <c r="E1534" t="s">
        <v>12</v>
      </c>
      <c r="F1534" t="s">
        <v>25</v>
      </c>
      <c r="G1534" t="s">
        <v>19</v>
      </c>
      <c r="H1534">
        <v>7160</v>
      </c>
      <c r="I1534" t="s">
        <v>3115</v>
      </c>
      <c r="J1534" t="s">
        <v>3116</v>
      </c>
      <c r="K1534" t="s">
        <v>17</v>
      </c>
      <c r="L1534" t="str">
        <f t="shared" si="23"/>
        <v xml:space="preserve">{ longitude: -63.6332595482183, latitude: 44.6598661870759, stopType: 'Bus Stop Accessible', gotime: \'7160\', location: \'MAIN AVE FS TITUS ST&lt;EB&gt; TO VICTORIA RD MANOR\' }, </v>
      </c>
    </row>
    <row r="1535" spans="1:12" x14ac:dyDescent="0.25">
      <c r="A1535">
        <v>-63.707330843256301</v>
      </c>
      <c r="B1535">
        <v>44.792825212479897</v>
      </c>
      <c r="C1535">
        <v>378</v>
      </c>
      <c r="D1535" t="s">
        <v>103</v>
      </c>
      <c r="E1535" t="s">
        <v>12</v>
      </c>
      <c r="F1535" t="s">
        <v>25</v>
      </c>
      <c r="G1535" t="s">
        <v>65</v>
      </c>
      <c r="H1535">
        <v>7232</v>
      </c>
      <c r="I1535" t="s">
        <v>3117</v>
      </c>
      <c r="J1535" t="s">
        <v>3118</v>
      </c>
      <c r="K1535" t="s">
        <v>17</v>
      </c>
      <c r="L1535" t="str">
        <f t="shared" si="23"/>
        <v xml:space="preserve">{ longitude: -63.7073308432563, latitude: 44.7928252124799, stopType: 'Bus Stop Inaccessible', gotime: \'7232\', location: \'MILLWOOD DR NS JACKLADDER DR\' }, </v>
      </c>
    </row>
    <row r="1536" spans="1:12" x14ac:dyDescent="0.25">
      <c r="A1536">
        <v>-63.631443669050697</v>
      </c>
      <c r="B1536">
        <v>44.660716367145099</v>
      </c>
      <c r="C1536">
        <v>1647</v>
      </c>
      <c r="D1536" t="s">
        <v>11</v>
      </c>
      <c r="E1536" t="s">
        <v>12</v>
      </c>
      <c r="F1536" t="s">
        <v>25</v>
      </c>
      <c r="G1536" t="s">
        <v>26</v>
      </c>
      <c r="H1536">
        <v>7161</v>
      </c>
      <c r="I1536" t="s">
        <v>3119</v>
      </c>
      <c r="J1536" t="s">
        <v>3120</v>
      </c>
      <c r="K1536" t="s">
        <v>17</v>
      </c>
      <c r="L1536" t="str">
        <f t="shared" si="23"/>
        <v xml:space="preserve">{ longitude: -63.6314436690507, latitude: 44.6607163671451, stopType: 'Bus Stop Non-Standard', gotime: \'7161\', location: \'MAIN AVE  FS FORD TO MUMFORD\' }, </v>
      </c>
    </row>
    <row r="1537" spans="1:12" x14ac:dyDescent="0.25">
      <c r="A1537">
        <v>-63.708399140778901</v>
      </c>
      <c r="B1537">
        <v>44.7821681468997</v>
      </c>
      <c r="C1537">
        <v>379</v>
      </c>
      <c r="D1537" t="s">
        <v>11</v>
      </c>
      <c r="E1537" t="s">
        <v>12</v>
      </c>
      <c r="F1537" t="s">
        <v>25</v>
      </c>
      <c r="G1537" t="s">
        <v>26</v>
      </c>
      <c r="H1537">
        <v>7233</v>
      </c>
      <c r="I1537" t="s">
        <v>3121</v>
      </c>
      <c r="J1537" t="s">
        <v>3122</v>
      </c>
      <c r="K1537" t="s">
        <v>17</v>
      </c>
      <c r="L1537" t="str">
        <f t="shared" si="23"/>
        <v xml:space="preserve">{ longitude: -63.7083991407789, latitude: 44.7821681468997, stopType: 'Bus Stop Non-Standard', gotime: \'7233\', location: \'MILLWOOD DR NS KINDLING CR\' }, </v>
      </c>
    </row>
    <row r="1538" spans="1:12" x14ac:dyDescent="0.25">
      <c r="A1538">
        <v>-63.649202814497798</v>
      </c>
      <c r="B1538">
        <v>44.6528765368354</v>
      </c>
      <c r="C1538">
        <v>1648</v>
      </c>
      <c r="D1538" t="s">
        <v>103</v>
      </c>
      <c r="E1538" t="s">
        <v>12</v>
      </c>
      <c r="F1538" t="s">
        <v>13</v>
      </c>
      <c r="G1538" t="s">
        <v>65</v>
      </c>
      <c r="H1538">
        <v>7162</v>
      </c>
      <c r="I1538" t="s">
        <v>3123</v>
      </c>
      <c r="J1538" t="s">
        <v>3124</v>
      </c>
      <c r="K1538" t="s">
        <v>17</v>
      </c>
      <c r="L1538" t="str">
        <f t="shared" si="23"/>
        <v xml:space="preserve">{ longitude: -63.6492028144978, latitude: 44.6528765368354, stopType: 'Bus Stop Inaccessible', gotime: \'7162\', location: \'MAIN AVE FS DUNBRACK ST\' }, </v>
      </c>
    </row>
    <row r="1539" spans="1:12" x14ac:dyDescent="0.25">
      <c r="A1539">
        <v>-63.699961632045003</v>
      </c>
      <c r="B1539">
        <v>44.7901459553919</v>
      </c>
      <c r="C1539">
        <v>380</v>
      </c>
      <c r="D1539" t="s">
        <v>29</v>
      </c>
      <c r="E1539" t="s">
        <v>12</v>
      </c>
      <c r="F1539" t="s">
        <v>25</v>
      </c>
      <c r="G1539" t="s">
        <v>26</v>
      </c>
      <c r="H1539">
        <v>7234</v>
      </c>
      <c r="I1539" t="s">
        <v>3125</v>
      </c>
      <c r="J1539" t="s">
        <v>3126</v>
      </c>
      <c r="K1539" t="s">
        <v>17</v>
      </c>
      <c r="L1539" t="str">
        <f t="shared" ref="L1539:L1602" si="24">CONCATENATE( "{ longitude: ", A1539, ", latitude: ", B1539, ", stopType: '", D1539, "', gotime: \'", H1539, "\', location: \'", I1539, "\' }, ")</f>
        <v xml:space="preserve">{ longitude: -63.699961632045, latitude: 44.7901459553919, stopType: 'Bus Stop Accessible', gotime: \'7234\', location: \'MILLWOOD DR NS OPP CROSSROADS\' }, </v>
      </c>
    </row>
    <row r="1540" spans="1:12" x14ac:dyDescent="0.25">
      <c r="A1540">
        <v>-63.631503109572897</v>
      </c>
      <c r="B1540">
        <v>44.660670920467801</v>
      </c>
      <c r="C1540">
        <v>1649</v>
      </c>
      <c r="D1540" t="s">
        <v>103</v>
      </c>
      <c r="E1540" t="s">
        <v>12</v>
      </c>
      <c r="F1540" t="s">
        <v>13</v>
      </c>
      <c r="G1540" t="s">
        <v>65</v>
      </c>
      <c r="H1540">
        <v>7163</v>
      </c>
      <c r="I1540" t="s">
        <v>3127</v>
      </c>
      <c r="J1540" t="s">
        <v>3128</v>
      </c>
      <c r="K1540" t="s">
        <v>17</v>
      </c>
      <c r="L1540" t="str">
        <f t="shared" si="24"/>
        <v xml:space="preserve">{ longitude: -63.6315031095729, latitude: 44.6606709204678, stopType: 'Bus Stop Inaccessible', gotime: \'7163\', location: \'MAIN AVE  FS FORD TO VIC MANOR\' }, </v>
      </c>
    </row>
    <row r="1541" spans="1:12" x14ac:dyDescent="0.25">
      <c r="A1541">
        <v>-63.541873538785403</v>
      </c>
      <c r="B1541">
        <v>44.666209835996199</v>
      </c>
      <c r="C1541">
        <v>381</v>
      </c>
      <c r="D1541" t="s">
        <v>29</v>
      </c>
      <c r="E1541" t="s">
        <v>12</v>
      </c>
      <c r="F1541" t="s">
        <v>25</v>
      </c>
      <c r="G1541" t="s">
        <v>26</v>
      </c>
      <c r="H1541">
        <v>6724</v>
      </c>
      <c r="I1541" t="s">
        <v>3129</v>
      </c>
      <c r="J1541" t="s">
        <v>3130</v>
      </c>
      <c r="K1541" t="s">
        <v>17</v>
      </c>
      <c r="L1541" t="str">
        <f t="shared" si="24"/>
        <v xml:space="preserve">{ longitude: -63.5418735387854, latitude: 44.6662098359962, stopType: 'Bus Stop Accessible', gotime: \'6724\', location: \'GASTON RD FS REGENCY DR\' }, </v>
      </c>
    </row>
    <row r="1542" spans="1:12" x14ac:dyDescent="0.25">
      <c r="A1542">
        <v>-63.643145712437601</v>
      </c>
      <c r="B1542">
        <v>44.6556254974276</v>
      </c>
      <c r="C1542">
        <v>1650</v>
      </c>
      <c r="D1542" t="s">
        <v>18</v>
      </c>
      <c r="E1542" t="s">
        <v>12</v>
      </c>
      <c r="F1542" t="s">
        <v>13</v>
      </c>
      <c r="G1542" t="s">
        <v>14</v>
      </c>
      <c r="H1542">
        <v>7164</v>
      </c>
      <c r="I1542" t="s">
        <v>3131</v>
      </c>
      <c r="J1542" t="s">
        <v>3132</v>
      </c>
      <c r="K1542" t="s">
        <v>17</v>
      </c>
      <c r="L1542" t="str">
        <f t="shared" si="24"/>
        <v xml:space="preserve">{ longitude: -63.6431457124376, latitude: 44.6556254974276, stopType: 'Bus Stop Shelter Non-Standard', gotime: \'7164\', location: \'MAIN AVE FS HILLCREST\' }, </v>
      </c>
    </row>
    <row r="1543" spans="1:12" x14ac:dyDescent="0.25">
      <c r="A1543">
        <v>-63.533589133618101</v>
      </c>
      <c r="B1543">
        <v>44.664628073118202</v>
      </c>
      <c r="C1543">
        <v>382</v>
      </c>
      <c r="D1543" t="s">
        <v>11</v>
      </c>
      <c r="E1543" t="s">
        <v>12</v>
      </c>
      <c r="F1543" t="s">
        <v>25</v>
      </c>
      <c r="G1543" t="s">
        <v>26</v>
      </c>
      <c r="H1543">
        <v>6725</v>
      </c>
      <c r="I1543" t="s">
        <v>3133</v>
      </c>
      <c r="J1543" t="s">
        <v>3134</v>
      </c>
      <c r="K1543" t="s">
        <v>17</v>
      </c>
      <c r="L1543" t="str">
        <f t="shared" si="24"/>
        <v xml:space="preserve">{ longitude: -63.5335891336181, latitude: 44.6646280731182, stopType: 'Bus Stop Non-Standard', gotime: \'6725\', location: \'GASTON RD AT CIVIC 103\' }, </v>
      </c>
    </row>
    <row r="1544" spans="1:12" x14ac:dyDescent="0.25">
      <c r="A1544">
        <v>-63.635806218493599</v>
      </c>
      <c r="B1544">
        <v>44.658863384731397</v>
      </c>
      <c r="C1544">
        <v>1651</v>
      </c>
      <c r="D1544" t="s">
        <v>103</v>
      </c>
      <c r="E1544" t="s">
        <v>12</v>
      </c>
      <c r="F1544" t="s">
        <v>13</v>
      </c>
      <c r="G1544" t="s">
        <v>65</v>
      </c>
      <c r="H1544">
        <v>7165</v>
      </c>
      <c r="I1544" t="s">
        <v>3135</v>
      </c>
      <c r="J1544" s="1" t="s">
        <v>3136</v>
      </c>
      <c r="K1544" t="s">
        <v>17</v>
      </c>
      <c r="L1544" t="str">
        <f t="shared" si="24"/>
        <v xml:space="preserve">{ longitude: -63.6358062184936, latitude: 44.6588633847314, stopType: 'Bus Stop Inaccessible', gotime: \'7165\', location: \'MAIN AVE FS MAPLE &lt;EB&gt; TO MUMFORD\' }, </v>
      </c>
    </row>
    <row r="1545" spans="1:12" x14ac:dyDescent="0.25">
      <c r="A1545">
        <v>-63.5370668210332</v>
      </c>
      <c r="B1545">
        <v>44.664801445982697</v>
      </c>
      <c r="C1545">
        <v>383</v>
      </c>
      <c r="D1545" t="s">
        <v>29</v>
      </c>
      <c r="E1545" t="s">
        <v>12</v>
      </c>
      <c r="F1545" t="s">
        <v>25</v>
      </c>
      <c r="G1545" t="s">
        <v>26</v>
      </c>
      <c r="H1545">
        <v>6726</v>
      </c>
      <c r="I1545" t="s">
        <v>3137</v>
      </c>
      <c r="J1545" t="s">
        <v>3138</v>
      </c>
      <c r="K1545" t="s">
        <v>17</v>
      </c>
      <c r="L1545" t="str">
        <f t="shared" si="24"/>
        <v xml:space="preserve">{ longitude: -63.5370668210332, latitude: 44.6648014459827, stopType: 'Bus Stop Accessible', gotime: \'6726\', location: \'GASTON RD AT CIVIC 76\' }, </v>
      </c>
    </row>
    <row r="1546" spans="1:12" x14ac:dyDescent="0.25">
      <c r="A1546">
        <v>-63.633259548218298</v>
      </c>
      <c r="B1546">
        <v>44.659866187075899</v>
      </c>
      <c r="C1546">
        <v>1652</v>
      </c>
      <c r="D1546" t="s">
        <v>18</v>
      </c>
      <c r="E1546" t="s">
        <v>12</v>
      </c>
      <c r="F1546" t="s">
        <v>25</v>
      </c>
      <c r="G1546" t="s">
        <v>65</v>
      </c>
      <c r="H1546">
        <v>7166</v>
      </c>
      <c r="I1546" t="s">
        <v>3139</v>
      </c>
      <c r="J1546" t="s">
        <v>3140</v>
      </c>
      <c r="K1546" t="s">
        <v>17</v>
      </c>
      <c r="L1546" t="str">
        <f t="shared" si="24"/>
        <v xml:space="preserve">{ longitude: -63.6332595482183, latitude: 44.6598661870759, stopType: 'Bus Stop Shelter Non-Standard', gotime: \'7166\', location: \'MAIN AVE FS TITUS ST&lt;EB&gt; TO MUMFORD\' }, </v>
      </c>
    </row>
    <row r="1547" spans="1:12" x14ac:dyDescent="0.25">
      <c r="A1547">
        <v>-63.535112577085997</v>
      </c>
      <c r="B1547">
        <v>44.664775951241097</v>
      </c>
      <c r="C1547">
        <v>384</v>
      </c>
      <c r="D1547" t="s">
        <v>29</v>
      </c>
      <c r="E1547" t="s">
        <v>12</v>
      </c>
      <c r="F1547" t="s">
        <v>25</v>
      </c>
      <c r="G1547" t="s">
        <v>26</v>
      </c>
      <c r="H1547">
        <v>6727</v>
      </c>
      <c r="I1547" t="s">
        <v>3141</v>
      </c>
      <c r="J1547" t="s">
        <v>3142</v>
      </c>
      <c r="K1547" t="s">
        <v>17</v>
      </c>
      <c r="L1547" t="str">
        <f t="shared" si="24"/>
        <v xml:space="preserve">{ longitude: -63.535112577086, latitude: 44.6647759512411, stopType: 'Bus Stop Accessible', gotime: \'6727\', location: \'GASTON RD AT CIVIC 96\' }, </v>
      </c>
    </row>
    <row r="1548" spans="1:12" x14ac:dyDescent="0.25">
      <c r="A1548">
        <v>-63.637751532129499</v>
      </c>
      <c r="B1548">
        <v>44.65811130969</v>
      </c>
      <c r="C1548">
        <v>1653</v>
      </c>
      <c r="D1548" t="s">
        <v>22</v>
      </c>
      <c r="E1548" t="s">
        <v>12</v>
      </c>
      <c r="F1548" t="s">
        <v>13</v>
      </c>
      <c r="G1548" t="s">
        <v>14</v>
      </c>
      <c r="H1548">
        <v>7167</v>
      </c>
      <c r="I1548" t="s">
        <v>3143</v>
      </c>
      <c r="J1548" t="s">
        <v>3144</v>
      </c>
      <c r="K1548" t="s">
        <v>17</v>
      </c>
      <c r="L1548" t="str">
        <f t="shared" si="24"/>
        <v xml:space="preserve">{ longitude: -63.6377515321295, latitude: 44.65811130969, stopType: 'Bus Stop Shelter Accessible', gotime: \'7167\', location: \'MAIN AVE AT SENIORS MANOR\' }, </v>
      </c>
    </row>
    <row r="1549" spans="1:12" x14ac:dyDescent="0.25">
      <c r="A1549">
        <v>-63.537039517281201</v>
      </c>
      <c r="B1549">
        <v>44.664927212147397</v>
      </c>
      <c r="C1549">
        <v>385</v>
      </c>
      <c r="D1549" t="s">
        <v>11</v>
      </c>
      <c r="E1549" t="s">
        <v>12</v>
      </c>
      <c r="F1549" t="s">
        <v>25</v>
      </c>
      <c r="G1549" t="s">
        <v>26</v>
      </c>
      <c r="H1549">
        <v>6728</v>
      </c>
      <c r="I1549" t="s">
        <v>3145</v>
      </c>
      <c r="J1549" t="s">
        <v>3146</v>
      </c>
      <c r="K1549" t="s">
        <v>17</v>
      </c>
      <c r="L1549" t="str">
        <f t="shared" si="24"/>
        <v xml:space="preserve">{ longitude: -63.5370395172812, latitude: 44.6649272121474, stopType: 'Bus Stop Non-Standard', gotime: \'6728\', location: \'GASTON RD NS CIVIC 77\' }, </v>
      </c>
    </row>
    <row r="1550" spans="1:12" x14ac:dyDescent="0.25">
      <c r="A1550">
        <v>-63.638772017202903</v>
      </c>
      <c r="B1550">
        <v>44.657514136376797</v>
      </c>
      <c r="C1550">
        <v>1654</v>
      </c>
      <c r="D1550" t="s">
        <v>18</v>
      </c>
      <c r="E1550" t="s">
        <v>12</v>
      </c>
      <c r="F1550" t="s">
        <v>13</v>
      </c>
      <c r="G1550" t="s">
        <v>19</v>
      </c>
      <c r="H1550">
        <v>7168</v>
      </c>
      <c r="I1550" t="s">
        <v>3147</v>
      </c>
      <c r="J1550" t="s">
        <v>3148</v>
      </c>
      <c r="K1550" t="s">
        <v>17</v>
      </c>
      <c r="L1550" t="str">
        <f t="shared" si="24"/>
        <v xml:space="preserve">{ longitude: -63.6387720172029, latitude: 44.6575141363768, stopType: 'Bus Stop Shelter Non-Standard', gotime: \'7168\', location: \'MAIN AVE NS BORDEN &lt;EB&gt;\' }, </v>
      </c>
    </row>
    <row r="1551" spans="1:12" x14ac:dyDescent="0.25">
      <c r="A1551">
        <v>-63.540038668791901</v>
      </c>
      <c r="B1551">
        <v>44.665825437410398</v>
      </c>
      <c r="C1551">
        <v>386</v>
      </c>
      <c r="D1551" t="s">
        <v>11</v>
      </c>
      <c r="E1551" t="s">
        <v>12</v>
      </c>
      <c r="F1551" t="s">
        <v>25</v>
      </c>
      <c r="G1551" t="s">
        <v>26</v>
      </c>
      <c r="H1551">
        <v>6729</v>
      </c>
      <c r="I1551" t="s">
        <v>3149</v>
      </c>
      <c r="J1551" t="s">
        <v>3150</v>
      </c>
      <c r="K1551" t="s">
        <v>17</v>
      </c>
      <c r="L1551" t="str">
        <f t="shared" si="24"/>
        <v xml:space="preserve">{ longitude: -63.5400386687919, latitude: 44.6658254374104, stopType: 'Bus Stop Non-Standard', gotime: \'6729\', location: \'GASTON RD NS GALAXY AVE\' }, </v>
      </c>
    </row>
    <row r="1552" spans="1:12" x14ac:dyDescent="0.25">
      <c r="A1552">
        <v>-63.628977765263798</v>
      </c>
      <c r="B1552">
        <v>44.661940361755299</v>
      </c>
      <c r="C1552">
        <v>1655</v>
      </c>
      <c r="D1552" t="s">
        <v>29</v>
      </c>
      <c r="E1552" t="s">
        <v>12</v>
      </c>
      <c r="F1552" t="s">
        <v>13</v>
      </c>
      <c r="G1552" t="s">
        <v>19</v>
      </c>
      <c r="H1552">
        <v>7169</v>
      </c>
      <c r="I1552" t="s">
        <v>3151</v>
      </c>
      <c r="J1552" t="s">
        <v>3152</v>
      </c>
      <c r="K1552" t="s">
        <v>17</v>
      </c>
      <c r="L1552" t="str">
        <f t="shared" si="24"/>
        <v xml:space="preserve">{ longitude: -63.6289777652638, latitude: 44.6619403617553, stopType: 'Bus Stop Accessible', gotime: \'7169\', location: \'MAIN AVE NS FAIRVIEW OVERPASS\' }, </v>
      </c>
    </row>
    <row r="1553" spans="1:12" x14ac:dyDescent="0.25">
      <c r="A1553">
        <v>-63.535413401840202</v>
      </c>
      <c r="B1553">
        <v>44.6648864894713</v>
      </c>
      <c r="C1553">
        <v>387</v>
      </c>
      <c r="D1553" t="s">
        <v>11</v>
      </c>
      <c r="E1553" t="s">
        <v>12</v>
      </c>
      <c r="F1553" t="s">
        <v>25</v>
      </c>
      <c r="G1553" t="s">
        <v>26</v>
      </c>
      <c r="H1553">
        <v>6730</v>
      </c>
      <c r="I1553" t="s">
        <v>3153</v>
      </c>
      <c r="J1553" t="s">
        <v>3154</v>
      </c>
      <c r="K1553" t="s">
        <v>17</v>
      </c>
      <c r="L1553" t="str">
        <f t="shared" si="24"/>
        <v xml:space="preserve">{ longitude: -63.5354134018402, latitude: 44.6648864894713, stopType: 'Bus Stop Non-Standard', gotime: \'6730\', location: \'GASTON RD NS MARILYN DR\' }, </v>
      </c>
    </row>
    <row r="1554" spans="1:12" x14ac:dyDescent="0.25">
      <c r="A1554">
        <v>-63.639997728765501</v>
      </c>
      <c r="B1554">
        <v>44.657106504477099</v>
      </c>
      <c r="C1554">
        <v>1656</v>
      </c>
      <c r="D1554" t="s">
        <v>29</v>
      </c>
      <c r="E1554" t="s">
        <v>12</v>
      </c>
      <c r="F1554" t="s">
        <v>13</v>
      </c>
      <c r="G1554" t="s">
        <v>14</v>
      </c>
      <c r="H1554">
        <v>7170</v>
      </c>
      <c r="I1554" t="s">
        <v>3155</v>
      </c>
      <c r="J1554" t="s">
        <v>3156</v>
      </c>
      <c r="K1554" t="s">
        <v>17</v>
      </c>
      <c r="L1554" t="str">
        <f t="shared" si="24"/>
        <v xml:space="preserve">{ longitude: -63.6399977287655, latitude: 44.6571065044771, stopType: 'Bus Stop Accessible', gotime: \'7170\', location: \'MAIN AVE NS GEBHARDT ST\' }, </v>
      </c>
    </row>
    <row r="1555" spans="1:12" x14ac:dyDescent="0.25">
      <c r="A1555">
        <v>-63.539162266769601</v>
      </c>
      <c r="B1555">
        <v>44.665440077856402</v>
      </c>
      <c r="C1555">
        <v>388</v>
      </c>
      <c r="D1555" t="s">
        <v>22</v>
      </c>
      <c r="E1555" t="s">
        <v>12</v>
      </c>
      <c r="F1555" t="s">
        <v>25</v>
      </c>
      <c r="G1555" t="s">
        <v>26</v>
      </c>
      <c r="H1555">
        <v>6731</v>
      </c>
      <c r="I1555" t="s">
        <v>3157</v>
      </c>
      <c r="J1555" t="s">
        <v>3158</v>
      </c>
      <c r="K1555" t="s">
        <v>17</v>
      </c>
      <c r="L1555" t="str">
        <f t="shared" si="24"/>
        <v xml:space="preserve">{ longitude: -63.5391622667696, latitude: 44.6654400778564, stopType: 'Bus Stop Shelter Accessible', gotime: \'6731\', location: \'GASTON RD OPP CLEARY DR\' }, </v>
      </c>
    </row>
    <row r="1556" spans="1:12" x14ac:dyDescent="0.25">
      <c r="A1556">
        <v>-63.497745073135697</v>
      </c>
      <c r="B1556">
        <v>44.682444568443302</v>
      </c>
      <c r="C1556">
        <v>1657</v>
      </c>
      <c r="D1556" t="s">
        <v>11</v>
      </c>
      <c r="E1556" t="s">
        <v>12</v>
      </c>
      <c r="F1556" t="s">
        <v>25</v>
      </c>
      <c r="G1556" t="s">
        <v>26</v>
      </c>
      <c r="H1556">
        <v>8485</v>
      </c>
      <c r="I1556" t="s">
        <v>3159</v>
      </c>
      <c r="J1556" t="s">
        <v>3160</v>
      </c>
      <c r="K1556" t="s">
        <v>17</v>
      </c>
      <c r="L1556" t="str">
        <f t="shared" si="24"/>
        <v xml:space="preserve">{ longitude: -63.4977450731357, latitude: 44.6824445684433, stopType: 'Bus Stop Non-Standard', gotime: \'8485\', location: \'WILDWOOD BLVD AT CIVIC 83\' }, </v>
      </c>
    </row>
    <row r="1557" spans="1:12" x14ac:dyDescent="0.25">
      <c r="A1557">
        <v>-63.544510261394997</v>
      </c>
      <c r="B1557">
        <v>44.666915907771902</v>
      </c>
      <c r="C1557">
        <v>389</v>
      </c>
      <c r="D1557" t="s">
        <v>29</v>
      </c>
      <c r="E1557" t="s">
        <v>12</v>
      </c>
      <c r="F1557" t="s">
        <v>25</v>
      </c>
      <c r="G1557" t="s">
        <v>26</v>
      </c>
      <c r="H1557">
        <v>6732</v>
      </c>
      <c r="I1557" t="s">
        <v>3161</v>
      </c>
      <c r="J1557" t="s">
        <v>3162</v>
      </c>
      <c r="K1557" t="s">
        <v>17</v>
      </c>
      <c r="L1557" t="str">
        <f t="shared" si="24"/>
        <v xml:space="preserve">{ longitude: -63.544510261395, latitude: 44.6669159077719, stopType: 'Bus Stop Accessible', gotime: \'6732\', location: \'GASTON RD FS PORTLAND ST\' }, </v>
      </c>
    </row>
    <row r="1558" spans="1:12" x14ac:dyDescent="0.25">
      <c r="A1558">
        <v>-63.497825713782703</v>
      </c>
      <c r="B1558">
        <v>44.682157285298203</v>
      </c>
      <c r="C1558">
        <v>1658</v>
      </c>
      <c r="D1558" t="s">
        <v>29</v>
      </c>
      <c r="E1558" t="s">
        <v>12</v>
      </c>
      <c r="F1558" t="s">
        <v>25</v>
      </c>
      <c r="G1558" t="s">
        <v>26</v>
      </c>
      <c r="H1558">
        <v>8486</v>
      </c>
      <c r="I1558" t="s">
        <v>3163</v>
      </c>
      <c r="J1558" t="s">
        <v>3164</v>
      </c>
      <c r="K1558" t="s">
        <v>17</v>
      </c>
      <c r="L1558" t="str">
        <f t="shared" si="24"/>
        <v xml:space="preserve">{ longitude: -63.4978257137827, latitude: 44.6821572852982, stopType: 'Bus Stop Accessible', gotime: \'8486\', location: \'WILDWOOD BLVD NS CIVIC 108\' }, </v>
      </c>
    </row>
    <row r="1559" spans="1:12" x14ac:dyDescent="0.25">
      <c r="A1559">
        <v>-63.573596838744599</v>
      </c>
      <c r="B1559">
        <v>44.648382078017796</v>
      </c>
      <c r="C1559">
        <v>390</v>
      </c>
      <c r="D1559" t="s">
        <v>29</v>
      </c>
      <c r="E1559" t="s">
        <v>12</v>
      </c>
      <c r="F1559" t="s">
        <v>25</v>
      </c>
      <c r="G1559" t="s">
        <v>26</v>
      </c>
      <c r="H1559">
        <v>6733</v>
      </c>
      <c r="I1559" t="s">
        <v>3165</v>
      </c>
      <c r="J1559" t="s">
        <v>3166</v>
      </c>
      <c r="K1559" t="s">
        <v>17</v>
      </c>
      <c r="L1559" t="str">
        <f t="shared" si="24"/>
        <v xml:space="preserve">{ longitude: -63.5735968387446, latitude: 44.6483820780178, stopType: 'Bus Stop Accessible', gotime: \'6733\', location: \'GEORGE ST FS GRANVILLE ST\' }, </v>
      </c>
    </row>
    <row r="1560" spans="1:12" x14ac:dyDescent="0.25">
      <c r="A1560">
        <v>-63.498542316313603</v>
      </c>
      <c r="B1560">
        <v>44.684494497399001</v>
      </c>
      <c r="C1560">
        <v>1659</v>
      </c>
      <c r="D1560" t="s">
        <v>11</v>
      </c>
      <c r="E1560" t="s">
        <v>12</v>
      </c>
      <c r="F1560" t="s">
        <v>25</v>
      </c>
      <c r="G1560" t="s">
        <v>26</v>
      </c>
      <c r="H1560">
        <v>8487</v>
      </c>
      <c r="I1560" t="s">
        <v>3167</v>
      </c>
      <c r="J1560" t="s">
        <v>3168</v>
      </c>
      <c r="K1560" t="s">
        <v>17</v>
      </c>
      <c r="L1560" t="str">
        <f t="shared" si="24"/>
        <v xml:space="preserve">{ longitude: -63.4985423163136, latitude: 44.684494497399, stopType: 'Bus Stop Non-Standard', gotime: \'8487\', location: \'WILDWOOD BLVD NS GREGORY DR\' }, </v>
      </c>
    </row>
    <row r="1561" spans="1:12" x14ac:dyDescent="0.25">
      <c r="A1561">
        <v>-63.609393346717198</v>
      </c>
      <c r="B1561">
        <v>44.671237689844702</v>
      </c>
      <c r="C1561">
        <v>391</v>
      </c>
      <c r="D1561" t="s">
        <v>29</v>
      </c>
      <c r="E1561" t="s">
        <v>12</v>
      </c>
      <c r="F1561" t="s">
        <v>13</v>
      </c>
      <c r="G1561" t="s">
        <v>19</v>
      </c>
      <c r="H1561">
        <v>6734</v>
      </c>
      <c r="I1561" t="s">
        <v>3169</v>
      </c>
      <c r="J1561" t="s">
        <v>3170</v>
      </c>
      <c r="K1561" t="s">
        <v>17</v>
      </c>
      <c r="L1561" t="str">
        <f t="shared" si="24"/>
        <v xml:space="preserve">{ longitude: -63.6093933467172, latitude: 44.6712376898447, stopType: 'Bus Stop Accessible', gotime: \'6734\', location: \'GLEBE ST AT CIVIC 5413\' }, </v>
      </c>
    </row>
    <row r="1562" spans="1:12" x14ac:dyDescent="0.25">
      <c r="A1562">
        <v>-63.5467654905258</v>
      </c>
      <c r="B1562">
        <v>44.649349237028098</v>
      </c>
      <c r="C1562">
        <v>1660</v>
      </c>
      <c r="D1562" t="s">
        <v>11</v>
      </c>
      <c r="E1562" t="s">
        <v>12</v>
      </c>
      <c r="F1562" t="s">
        <v>25</v>
      </c>
      <c r="G1562" t="s">
        <v>26</v>
      </c>
      <c r="H1562">
        <v>6066</v>
      </c>
      <c r="I1562" t="s">
        <v>3171</v>
      </c>
      <c r="J1562" t="s">
        <v>3172</v>
      </c>
      <c r="K1562" t="s">
        <v>17</v>
      </c>
      <c r="L1562" t="str">
        <f t="shared" si="24"/>
        <v xml:space="preserve">{ longitude: -63.5467654905258, latitude: 44.6493492370281, stopType: 'Bus Stop Non-Standard', gotime: \'6066\', location: \'ATLANTIC ST FS PLEASANT ST (IB/60)\' }, </v>
      </c>
    </row>
    <row r="1563" spans="1:12" x14ac:dyDescent="0.25">
      <c r="A1563">
        <v>-63.489345690812698</v>
      </c>
      <c r="B1563">
        <v>44.693215187682902</v>
      </c>
      <c r="C1563">
        <v>1661</v>
      </c>
      <c r="D1563" t="s">
        <v>29</v>
      </c>
      <c r="E1563" t="s">
        <v>12</v>
      </c>
      <c r="F1563" t="s">
        <v>25</v>
      </c>
      <c r="G1563" t="s">
        <v>26</v>
      </c>
      <c r="H1563">
        <v>6069</v>
      </c>
      <c r="I1563" t="s">
        <v>3173</v>
      </c>
      <c r="J1563" t="s">
        <v>3174</v>
      </c>
      <c r="K1563" t="s">
        <v>17</v>
      </c>
      <c r="L1563" t="str">
        <f t="shared" si="24"/>
        <v xml:space="preserve">{ longitude: -63.4893456908127, latitude: 44.6932151876829, stopType: 'Bus Stop Accessible', gotime: \'6069\', location: \'AUBURN DR FS CIVIC 14\' }, </v>
      </c>
    </row>
    <row r="1564" spans="1:12" x14ac:dyDescent="0.25">
      <c r="A1564">
        <v>-63.560588532736297</v>
      </c>
      <c r="B1564">
        <v>44.683466422867397</v>
      </c>
      <c r="C1564">
        <v>392</v>
      </c>
      <c r="D1564" t="s">
        <v>29</v>
      </c>
      <c r="E1564" t="s">
        <v>12</v>
      </c>
      <c r="F1564" t="s">
        <v>13</v>
      </c>
      <c r="G1564" t="s">
        <v>14</v>
      </c>
      <c r="H1564">
        <v>6735</v>
      </c>
      <c r="I1564" t="s">
        <v>3175</v>
      </c>
      <c r="J1564" t="s">
        <v>3176</v>
      </c>
      <c r="K1564" t="s">
        <v>17</v>
      </c>
      <c r="L1564" t="str">
        <f t="shared" si="24"/>
        <v xml:space="preserve">{ longitude: -63.5605885327363, latitude: 44.6834664228674, stopType: 'Bus Stop Accessible', gotime: \'6735\', location: \'GLEN MANOR DR FS MIC MAC BLVD\' }, </v>
      </c>
    </row>
    <row r="1565" spans="1:12" x14ac:dyDescent="0.25">
      <c r="A1565">
        <v>-63.490803640691198</v>
      </c>
      <c r="B1565">
        <v>44.687000287497298</v>
      </c>
      <c r="C1565">
        <v>1662</v>
      </c>
      <c r="D1565" t="s">
        <v>11</v>
      </c>
      <c r="E1565" t="s">
        <v>12</v>
      </c>
      <c r="F1565" t="s">
        <v>25</v>
      </c>
      <c r="G1565" t="s">
        <v>160</v>
      </c>
      <c r="H1565">
        <v>6070</v>
      </c>
      <c r="I1565" t="s">
        <v>3177</v>
      </c>
      <c r="J1565" t="s">
        <v>3178</v>
      </c>
      <c r="K1565" t="s">
        <v>17</v>
      </c>
      <c r="L1565" t="str">
        <f t="shared" si="24"/>
        <v xml:space="preserve">{ longitude: -63.4908036406912, latitude: 44.6870002874973, stopType: 'Bus Stop Non-Standard', gotime: \'6070\', location: \'AUBURN DR FS FOREST HILLS PKWY\' }, </v>
      </c>
    </row>
    <row r="1566" spans="1:12" x14ac:dyDescent="0.25">
      <c r="A1566">
        <v>-63.560956719687802</v>
      </c>
      <c r="B1566">
        <v>44.683250217956498</v>
      </c>
      <c r="C1566">
        <v>393</v>
      </c>
      <c r="D1566" t="s">
        <v>103</v>
      </c>
      <c r="E1566" t="s">
        <v>12</v>
      </c>
      <c r="F1566" t="s">
        <v>13</v>
      </c>
      <c r="G1566" t="s">
        <v>19</v>
      </c>
      <c r="H1566">
        <v>6736</v>
      </c>
      <c r="I1566" t="s">
        <v>3179</v>
      </c>
      <c r="J1566" t="s">
        <v>3180</v>
      </c>
      <c r="K1566" t="s">
        <v>17</v>
      </c>
      <c r="L1566" t="str">
        <f t="shared" si="24"/>
        <v xml:space="preserve">{ longitude: -63.5609567196878, latitude: 44.6832502179565, stopType: 'Bus Stop Inaccessible', gotime: \'6736\', location: \'GLEN MANOR DR NS MIC MAC BLVD\' }, </v>
      </c>
    </row>
    <row r="1567" spans="1:12" x14ac:dyDescent="0.25">
      <c r="A1567">
        <v>-63.518535853711398</v>
      </c>
      <c r="B1567">
        <v>44.677846295088401</v>
      </c>
      <c r="C1567">
        <v>1663</v>
      </c>
      <c r="D1567" t="s">
        <v>22</v>
      </c>
      <c r="E1567" t="s">
        <v>12</v>
      </c>
      <c r="F1567" t="s">
        <v>25</v>
      </c>
      <c r="G1567" t="s">
        <v>19</v>
      </c>
      <c r="H1567">
        <v>6632</v>
      </c>
      <c r="I1567" t="s">
        <v>3181</v>
      </c>
      <c r="J1567" t="s">
        <v>3182</v>
      </c>
      <c r="K1567" t="s">
        <v>17</v>
      </c>
      <c r="L1567" t="str">
        <f t="shared" si="24"/>
        <v xml:space="preserve">{ longitude: -63.5185358537114, latitude: 44.6778462950884, stopType: 'Bus Stop Shelter Accessible', gotime: \'6632\', location: \'ELLENVALE AVE FS SPRING AVE\' }, </v>
      </c>
    </row>
    <row r="1568" spans="1:12" x14ac:dyDescent="0.25">
      <c r="A1568">
        <v>-63.688992929888101</v>
      </c>
      <c r="B1568">
        <v>44.7810420271081</v>
      </c>
      <c r="C1568">
        <v>394</v>
      </c>
      <c r="D1568" t="s">
        <v>18</v>
      </c>
      <c r="E1568" t="s">
        <v>12</v>
      </c>
      <c r="F1568" t="s">
        <v>25</v>
      </c>
      <c r="G1568" t="s">
        <v>19</v>
      </c>
      <c r="H1568">
        <v>6737</v>
      </c>
      <c r="I1568" t="s">
        <v>3183</v>
      </c>
      <c r="J1568" t="s">
        <v>3184</v>
      </c>
      <c r="K1568" t="s">
        <v>17</v>
      </c>
      <c r="L1568" t="str">
        <f t="shared" si="24"/>
        <v xml:space="preserve">{ longitude: -63.6889929298881, latitude: 44.7810420271081, stopType: 'Bus Stop Shelter Non-Standard', gotime: \'6737\', location: \'GLENDALE DROPP SMOKEY DR\' }, </v>
      </c>
    </row>
    <row r="1569" spans="1:12" x14ac:dyDescent="0.25">
      <c r="A1569">
        <v>-63.525830090550699</v>
      </c>
      <c r="B1569">
        <v>44.676126806287201</v>
      </c>
      <c r="C1569">
        <v>1664</v>
      </c>
      <c r="D1569" t="s">
        <v>11</v>
      </c>
      <c r="E1569" t="s">
        <v>12</v>
      </c>
      <c r="F1569" t="s">
        <v>25</v>
      </c>
      <c r="G1569" t="s">
        <v>26</v>
      </c>
      <c r="H1569">
        <v>6633</v>
      </c>
      <c r="I1569" t="s">
        <v>3185</v>
      </c>
      <c r="J1569" t="s">
        <v>3186</v>
      </c>
      <c r="K1569" t="s">
        <v>17</v>
      </c>
      <c r="L1569" t="str">
        <f t="shared" si="24"/>
        <v xml:space="preserve">{ longitude: -63.5258300905507, latitude: 44.6761268062872, stopType: 'Bus Stop Non-Standard', gotime: \'6633\', location: \'ELLENVALE AVE FS WALTDALE DR\' }, </v>
      </c>
    </row>
    <row r="1570" spans="1:12" x14ac:dyDescent="0.25">
      <c r="A1570">
        <v>-63.667115995673598</v>
      </c>
      <c r="B1570">
        <v>44.7681321681154</v>
      </c>
      <c r="C1570">
        <v>395</v>
      </c>
      <c r="D1570" t="s">
        <v>29</v>
      </c>
      <c r="E1570" t="s">
        <v>12</v>
      </c>
      <c r="F1570" t="s">
        <v>25</v>
      </c>
      <c r="G1570" t="s">
        <v>26</v>
      </c>
      <c r="H1570">
        <v>6738</v>
      </c>
      <c r="I1570" t="s">
        <v>3187</v>
      </c>
      <c r="J1570" t="s">
        <v>3188</v>
      </c>
      <c r="K1570" t="s">
        <v>17</v>
      </c>
      <c r="L1570" t="str">
        <f t="shared" si="24"/>
        <v xml:space="preserve">{ longitude: -63.6671159956736, latitude: 44.7681321681154, stopType: 'Bus Stop Accessible', gotime: \'6738\', location: \'GLENDALE DR FS CHANDLER DR\' }, </v>
      </c>
    </row>
    <row r="1571" spans="1:12" x14ac:dyDescent="0.25">
      <c r="A1571">
        <v>-63.525751406325398</v>
      </c>
      <c r="B1571">
        <v>44.6763061295377</v>
      </c>
      <c r="C1571">
        <v>1665</v>
      </c>
      <c r="D1571" t="s">
        <v>29</v>
      </c>
      <c r="E1571" t="s">
        <v>12</v>
      </c>
      <c r="F1571" t="s">
        <v>25</v>
      </c>
      <c r="G1571" t="s">
        <v>26</v>
      </c>
      <c r="H1571">
        <v>6634</v>
      </c>
      <c r="I1571" t="s">
        <v>3189</v>
      </c>
      <c r="J1571" t="s">
        <v>3190</v>
      </c>
      <c r="K1571" t="s">
        <v>17</v>
      </c>
      <c r="L1571" t="str">
        <f t="shared" si="24"/>
        <v xml:space="preserve">{ longitude: -63.5257514063254, latitude: 44.6763061295377, stopType: 'Bus Stop Accessible', gotime: \'6634\', location: \'ELLENVALE AVE AT CIVIC 20\' }, </v>
      </c>
    </row>
    <row r="1572" spans="1:12" x14ac:dyDescent="0.25">
      <c r="A1572">
        <v>-63.660207538555703</v>
      </c>
      <c r="B1572">
        <v>44.7601529327344</v>
      </c>
      <c r="C1572">
        <v>396</v>
      </c>
      <c r="D1572" t="s">
        <v>29</v>
      </c>
      <c r="E1572" t="s">
        <v>12</v>
      </c>
      <c r="F1572" t="s">
        <v>25</v>
      </c>
      <c r="G1572" t="s">
        <v>19</v>
      </c>
      <c r="H1572">
        <v>6739</v>
      </c>
      <c r="I1572" t="s">
        <v>3191</v>
      </c>
      <c r="J1572" t="s">
        <v>3192</v>
      </c>
      <c r="K1572" t="s">
        <v>17</v>
      </c>
      <c r="L1572" t="str">
        <f t="shared" si="24"/>
        <v xml:space="preserve">{ longitude: -63.6602075385557, latitude: 44.7601529327344, stopType: 'Bus Stop Accessible', gotime: \'6739\', location: \'GLENDALE DR FS COBEQUID RD\' }, </v>
      </c>
    </row>
    <row r="1573" spans="1:12" x14ac:dyDescent="0.25">
      <c r="A1573">
        <v>-63.522959288065799</v>
      </c>
      <c r="B1573">
        <v>44.676579266239102</v>
      </c>
      <c r="C1573">
        <v>1666</v>
      </c>
      <c r="D1573" t="s">
        <v>11</v>
      </c>
      <c r="E1573" t="s">
        <v>12</v>
      </c>
      <c r="F1573" t="s">
        <v>25</v>
      </c>
      <c r="G1573" t="s">
        <v>26</v>
      </c>
      <c r="H1573">
        <v>6635</v>
      </c>
      <c r="I1573" t="s">
        <v>3193</v>
      </c>
      <c r="J1573" t="s">
        <v>3194</v>
      </c>
      <c r="K1573" t="s">
        <v>17</v>
      </c>
      <c r="L1573" t="str">
        <f t="shared" si="24"/>
        <v xml:space="preserve">{ longitude: -63.5229592880658, latitude: 44.6765792662391, stopType: 'Bus Stop Non-Standard', gotime: \'6635\', location: \'ELLENVALE AVE NS ALBERTA ST\' }, </v>
      </c>
    </row>
    <row r="1574" spans="1:12" x14ac:dyDescent="0.25">
      <c r="A1574">
        <v>-63.518222079529899</v>
      </c>
      <c r="B1574">
        <v>44.677753600743998</v>
      </c>
      <c r="C1574">
        <v>1667</v>
      </c>
      <c r="D1574" t="s">
        <v>11</v>
      </c>
      <c r="E1574" t="s">
        <v>12</v>
      </c>
      <c r="F1574" t="s">
        <v>25</v>
      </c>
      <c r="G1574" t="s">
        <v>26</v>
      </c>
      <c r="H1574">
        <v>6636</v>
      </c>
      <c r="I1574" t="s">
        <v>3195</v>
      </c>
      <c r="J1574" t="s">
        <v>3196</v>
      </c>
      <c r="K1574" t="s">
        <v>17</v>
      </c>
      <c r="L1574" t="str">
        <f t="shared" si="24"/>
        <v xml:space="preserve">{ longitude: -63.5182220795299, latitude: 44.677753600744, stopType: 'Bus Stop Non-Standard', gotime: \'6636\', location: \'ELLENVALE AVE NS SPRING AVE\' }, </v>
      </c>
    </row>
    <row r="1575" spans="1:12" x14ac:dyDescent="0.25">
      <c r="A1575">
        <v>-63.675332632490097</v>
      </c>
      <c r="B1575">
        <v>44.772829463722402</v>
      </c>
      <c r="C1575">
        <v>397</v>
      </c>
      <c r="D1575" t="s">
        <v>29</v>
      </c>
      <c r="E1575" t="s">
        <v>12</v>
      </c>
      <c r="F1575" t="s">
        <v>13</v>
      </c>
      <c r="G1575" t="s">
        <v>14</v>
      </c>
      <c r="H1575">
        <v>6740</v>
      </c>
      <c r="I1575" t="s">
        <v>3197</v>
      </c>
      <c r="J1575" t="s">
        <v>3198</v>
      </c>
      <c r="K1575" t="s">
        <v>17</v>
      </c>
      <c r="L1575" t="str">
        <f t="shared" si="24"/>
        <v xml:space="preserve">{ longitude: -63.6753326324901, latitude: 44.7728294637224, stopType: 'Bus Stop Accessible', gotime: \'6740\', location: \'GLENDALE DR FS MACDOUGALL AVE\' }, </v>
      </c>
    </row>
    <row r="1576" spans="1:12" x14ac:dyDescent="0.25">
      <c r="A1576">
        <v>-63.610876818759102</v>
      </c>
      <c r="B1576">
        <v>44.681347483252303</v>
      </c>
      <c r="C1576">
        <v>1668</v>
      </c>
      <c r="D1576" t="s">
        <v>11</v>
      </c>
      <c r="E1576" t="s">
        <v>12</v>
      </c>
      <c r="F1576" t="s">
        <v>25</v>
      </c>
      <c r="G1576" t="s">
        <v>160</v>
      </c>
      <c r="H1576">
        <v>6637</v>
      </c>
      <c r="I1576" t="s">
        <v>3199</v>
      </c>
      <c r="J1576" t="s">
        <v>3200</v>
      </c>
      <c r="K1576" t="s">
        <v>17</v>
      </c>
      <c r="L1576" t="str">
        <f t="shared" si="24"/>
        <v xml:space="preserve">{ longitude: -63.6108768187591, latitude: 44.6813474832523, stopType: 'Bus Stop Non-Standard', gotime: \'6637\', location: \'ENDEAVOUR DR FS BAFFIN BLVD\' }, </v>
      </c>
    </row>
    <row r="1577" spans="1:12" x14ac:dyDescent="0.25">
      <c r="A1577">
        <v>-63.663942544058699</v>
      </c>
      <c r="B1577">
        <v>44.765679090311998</v>
      </c>
      <c r="C1577">
        <v>398</v>
      </c>
      <c r="D1577" t="s">
        <v>11</v>
      </c>
      <c r="E1577" t="s">
        <v>12</v>
      </c>
      <c r="F1577" t="s">
        <v>25</v>
      </c>
      <c r="G1577" t="s">
        <v>26</v>
      </c>
      <c r="H1577">
        <v>6741</v>
      </c>
      <c r="I1577" t="s">
        <v>3201</v>
      </c>
      <c r="J1577" t="s">
        <v>3202</v>
      </c>
      <c r="K1577" t="s">
        <v>17</v>
      </c>
      <c r="L1577" t="str">
        <f t="shared" si="24"/>
        <v xml:space="preserve">{ longitude: -63.6639425440587, latitude: 44.765679090312, stopType: 'Bus Stop Non-Standard', gotime: \'6741\', location: \'GLENDALE DR FS MAGEE DR\' }, </v>
      </c>
    </row>
    <row r="1578" spans="1:12" x14ac:dyDescent="0.25">
      <c r="A1578">
        <v>-63.521816281018097</v>
      </c>
      <c r="B1578">
        <v>44.668046736592899</v>
      </c>
      <c r="C1578">
        <v>1669</v>
      </c>
      <c r="D1578" t="s">
        <v>29</v>
      </c>
      <c r="E1578" t="s">
        <v>12</v>
      </c>
      <c r="F1578" t="s">
        <v>25</v>
      </c>
      <c r="G1578" t="s">
        <v>26</v>
      </c>
      <c r="H1578">
        <v>6639</v>
      </c>
      <c r="I1578" t="s">
        <v>3203</v>
      </c>
      <c r="J1578" t="s">
        <v>3204</v>
      </c>
      <c r="K1578" t="s">
        <v>17</v>
      </c>
      <c r="L1578" t="str">
        <f t="shared" si="24"/>
        <v xml:space="preserve">{ longitude: -63.5218162810181, latitude: 44.6680467365929, stopType: 'Bus Stop Accessible', gotime: \'6639\', location: \'EISENER BLVD NS CINEMAS\' }, </v>
      </c>
    </row>
    <row r="1579" spans="1:12" x14ac:dyDescent="0.25">
      <c r="A1579">
        <v>-63.688481384687201</v>
      </c>
      <c r="B1579">
        <v>44.637880511884703</v>
      </c>
      <c r="C1579">
        <v>399</v>
      </c>
      <c r="D1579" t="s">
        <v>11</v>
      </c>
      <c r="E1579" t="s">
        <v>12</v>
      </c>
      <c r="F1579" t="s">
        <v>25</v>
      </c>
      <c r="G1579" t="s">
        <v>26</v>
      </c>
      <c r="H1579">
        <v>6188</v>
      </c>
      <c r="I1579" t="s">
        <v>3205</v>
      </c>
      <c r="J1579" t="s">
        <v>3206</v>
      </c>
      <c r="K1579" t="s">
        <v>17</v>
      </c>
      <c r="L1579" t="str">
        <f t="shared" si="24"/>
        <v xml:space="preserve">{ longitude: -63.6884813846872, latitude: 44.6378805118847, stopType: 'Bus Stop Non-Standard', gotime: \'6188\', location: \'ST MARGARETS BAY RD OPP LAKESIDE IND PARK ENTRANCE\' }, </v>
      </c>
    </row>
    <row r="1580" spans="1:12" x14ac:dyDescent="0.25">
      <c r="A1580">
        <v>-63.674887344962201</v>
      </c>
      <c r="B1580">
        <v>44.634741175203303</v>
      </c>
      <c r="C1580">
        <v>400</v>
      </c>
      <c r="D1580" t="s">
        <v>11</v>
      </c>
      <c r="E1580" t="s">
        <v>12</v>
      </c>
      <c r="F1580" t="s">
        <v>25</v>
      </c>
      <c r="G1580" t="s">
        <v>26</v>
      </c>
      <c r="H1580">
        <v>6189</v>
      </c>
      <c r="I1580" t="s">
        <v>3207</v>
      </c>
      <c r="J1580" t="s">
        <v>3208</v>
      </c>
      <c r="K1580" t="s">
        <v>17</v>
      </c>
      <c r="L1580" t="str">
        <f t="shared" si="24"/>
        <v xml:space="preserve">{ longitude: -63.6748873449622, latitude: 44.6347411752033, stopType: 'Bus Stop Non-Standard', gotime: \'6189\', location: \'ST MARGARETS BAY RD OPP NS CIVIC 1025\' }, </v>
      </c>
    </row>
    <row r="1581" spans="1:12" x14ac:dyDescent="0.25">
      <c r="A1581">
        <v>-63.540384245027496</v>
      </c>
      <c r="B1581">
        <v>44.644876907011401</v>
      </c>
      <c r="C1581">
        <v>1670</v>
      </c>
      <c r="D1581" t="s">
        <v>11</v>
      </c>
      <c r="E1581" t="s">
        <v>12</v>
      </c>
      <c r="F1581" t="s">
        <v>25</v>
      </c>
      <c r="G1581" t="s">
        <v>26</v>
      </c>
      <c r="H1581">
        <v>6640</v>
      </c>
      <c r="I1581" t="s">
        <v>3209</v>
      </c>
      <c r="J1581" t="s">
        <v>3210</v>
      </c>
      <c r="K1581" t="s">
        <v>17</v>
      </c>
      <c r="L1581" t="str">
        <f t="shared" si="24"/>
        <v xml:space="preserve">{ longitude: -63.5403842450275, latitude: 44.6448769070114, stopType: 'Bus Stop Non-Standard', gotime: \'6640\', location: \'EVERETTE ST FS PLEASANT ST\' }, </v>
      </c>
    </row>
    <row r="1582" spans="1:12" x14ac:dyDescent="0.25">
      <c r="A1582">
        <v>-63.739887059087401</v>
      </c>
      <c r="B1582">
        <v>44.659396023257102</v>
      </c>
      <c r="C1582">
        <v>401</v>
      </c>
      <c r="D1582" t="s">
        <v>11</v>
      </c>
      <c r="E1582" t="s">
        <v>12</v>
      </c>
      <c r="F1582" t="s">
        <v>13</v>
      </c>
      <c r="G1582" t="s">
        <v>14</v>
      </c>
      <c r="H1582">
        <v>6190</v>
      </c>
      <c r="I1582" t="s">
        <v>3211</v>
      </c>
      <c r="J1582" t="s">
        <v>3212</v>
      </c>
      <c r="K1582" t="s">
        <v>17</v>
      </c>
      <c r="L1582" t="str">
        <f t="shared" si="24"/>
        <v xml:space="preserve">{ longitude: -63.7398870590874, latitude: 44.6593960232571, stopType: 'Bus Stop Non-Standard', gotime: \'6190\', location: \'ST MARGARETS BAY RD FS JAMES ST\' }, </v>
      </c>
    </row>
    <row r="1583" spans="1:12" x14ac:dyDescent="0.25">
      <c r="A1583">
        <v>-63.576523861267198</v>
      </c>
      <c r="B1583">
        <v>44.696689346783401</v>
      </c>
      <c r="C1583">
        <v>1671</v>
      </c>
      <c r="D1583" t="s">
        <v>11</v>
      </c>
      <c r="E1583" t="s">
        <v>12</v>
      </c>
      <c r="F1583" t="s">
        <v>25</v>
      </c>
      <c r="G1583" t="s">
        <v>26</v>
      </c>
      <c r="H1583">
        <v>6641</v>
      </c>
      <c r="I1583" t="s">
        <v>3213</v>
      </c>
      <c r="J1583" t="s">
        <v>3214</v>
      </c>
      <c r="K1583" t="s">
        <v>17</v>
      </c>
      <c r="L1583" t="str">
        <f t="shared" si="24"/>
        <v xml:space="preserve">{ longitude: -63.5765238612672, latitude: 44.6966893467834, stopType: 'Bus Stop Non-Standard', gotime: \'6641\', location: \'EILEEN STUBBS AVE OPP CIVIC 100 [OB]\' }, </v>
      </c>
    </row>
    <row r="1584" spans="1:12" x14ac:dyDescent="0.25">
      <c r="A1584">
        <v>-63.6079414654278</v>
      </c>
      <c r="B1584">
        <v>44.656451744198399</v>
      </c>
      <c r="C1584">
        <v>402</v>
      </c>
      <c r="D1584" t="s">
        <v>22</v>
      </c>
      <c r="E1584" t="s">
        <v>12</v>
      </c>
      <c r="F1584" t="s">
        <v>13</v>
      </c>
      <c r="G1584" t="s">
        <v>19</v>
      </c>
      <c r="H1584">
        <v>6191</v>
      </c>
      <c r="I1584" t="s">
        <v>3215</v>
      </c>
      <c r="J1584" t="s">
        <v>3216</v>
      </c>
      <c r="K1584" t="s">
        <v>17</v>
      </c>
      <c r="L1584" t="str">
        <f t="shared" si="24"/>
        <v xml:space="preserve">{ longitude: -63.6079414654278, latitude: 44.6564517441984, stopType: 'Bus Stop Shelter Accessible', gotime: \'6191\', location: \'BAYERS RD &lt;EB&gt; NS WINDSOR ST\' }, </v>
      </c>
    </row>
    <row r="1585" spans="1:12" x14ac:dyDescent="0.25">
      <c r="A1585">
        <v>-63.576649449767103</v>
      </c>
      <c r="B1585">
        <v>44.696726361070297</v>
      </c>
      <c r="C1585">
        <v>1672</v>
      </c>
      <c r="D1585" t="s">
        <v>11</v>
      </c>
      <c r="E1585" t="s">
        <v>12</v>
      </c>
      <c r="F1585" t="s">
        <v>25</v>
      </c>
      <c r="G1585" t="s">
        <v>26</v>
      </c>
      <c r="H1585">
        <v>6642</v>
      </c>
      <c r="I1585" t="s">
        <v>3217</v>
      </c>
      <c r="J1585" t="s">
        <v>3218</v>
      </c>
      <c r="K1585" t="s">
        <v>17</v>
      </c>
      <c r="L1585" t="str">
        <f t="shared" si="24"/>
        <v xml:space="preserve">{ longitude: -63.5766494497671, latitude: 44.6967263610703, stopType: 'Bus Stop Non-Standard', gotime: \'6642\', location: \'EILEEN STUBBS AVE NS OPP CIVIC 100 TO SACKVILLE\' }, </v>
      </c>
    </row>
    <row r="1586" spans="1:12" x14ac:dyDescent="0.25">
      <c r="A1586">
        <v>-63.608221681083997</v>
      </c>
      <c r="B1586">
        <v>44.656506401290898</v>
      </c>
      <c r="C1586">
        <v>403</v>
      </c>
      <c r="D1586" t="s">
        <v>11</v>
      </c>
      <c r="E1586" t="s">
        <v>12</v>
      </c>
      <c r="F1586" t="s">
        <v>13</v>
      </c>
      <c r="G1586" t="s">
        <v>14</v>
      </c>
      <c r="H1586">
        <v>6192</v>
      </c>
      <c r="I1586" t="s">
        <v>3219</v>
      </c>
      <c r="J1586" t="s">
        <v>3220</v>
      </c>
      <c r="K1586" t="s">
        <v>17</v>
      </c>
      <c r="L1586" t="str">
        <f t="shared" si="24"/>
        <v xml:space="preserve">{ longitude: -63.608221681084, latitude: 44.6565064012909, stopType: 'Bus Stop Non-Standard', gotime: \'6192\', location: \'BAYERS RD FS WINDSOR ST\' }, </v>
      </c>
    </row>
    <row r="1587" spans="1:12" x14ac:dyDescent="0.25">
      <c r="A1587">
        <v>-63.622700192103302</v>
      </c>
      <c r="B1587">
        <v>44.662433284591103</v>
      </c>
      <c r="C1587">
        <v>1673</v>
      </c>
      <c r="D1587" t="s">
        <v>29</v>
      </c>
      <c r="E1587" t="s">
        <v>12</v>
      </c>
      <c r="F1587" t="s">
        <v>13</v>
      </c>
      <c r="G1587" t="s">
        <v>19</v>
      </c>
      <c r="H1587">
        <v>6643</v>
      </c>
      <c r="I1587" t="s">
        <v>3221</v>
      </c>
      <c r="J1587" t="s">
        <v>3222</v>
      </c>
      <c r="K1587" t="s">
        <v>17</v>
      </c>
      <c r="L1587" t="str">
        <f t="shared" si="24"/>
        <v xml:space="preserve">{ longitude: -63.6227001921033, latitude: 44.6624332845911, stopType: 'Bus Stop Accessible', gotime: \'6643\', location: \'FAIRVIEW OVERPASS NS WINDSOR ST\' }, </v>
      </c>
    </row>
    <row r="1588" spans="1:12" x14ac:dyDescent="0.25">
      <c r="A1588">
        <v>-63.617898353806197</v>
      </c>
      <c r="B1588">
        <v>44.651720783579698</v>
      </c>
      <c r="C1588">
        <v>404</v>
      </c>
      <c r="D1588" t="s">
        <v>29</v>
      </c>
      <c r="E1588" t="s">
        <v>12</v>
      </c>
      <c r="F1588" t="s">
        <v>25</v>
      </c>
      <c r="G1588" t="s">
        <v>19</v>
      </c>
      <c r="H1588">
        <v>6193</v>
      </c>
      <c r="I1588" t="s">
        <v>3223</v>
      </c>
      <c r="J1588" t="s">
        <v>3224</v>
      </c>
      <c r="K1588" t="s">
        <v>17</v>
      </c>
      <c r="L1588" t="str">
        <f t="shared" si="24"/>
        <v xml:space="preserve">{ longitude: -63.6178983538062, latitude: 44.6517207835797, stopType: 'Bus Stop Accessible', gotime: \'6193\', location: \'BAYERS RD &lt;EB&gt; NS COLEMAN CT\' }, </v>
      </c>
    </row>
    <row r="1589" spans="1:12" x14ac:dyDescent="0.25">
      <c r="A1589">
        <v>-63.6285629512629</v>
      </c>
      <c r="B1589">
        <v>44.661936387205301</v>
      </c>
      <c r="C1589">
        <v>1674</v>
      </c>
      <c r="D1589" t="s">
        <v>29</v>
      </c>
      <c r="E1589" t="s">
        <v>12</v>
      </c>
      <c r="F1589" t="s">
        <v>25</v>
      </c>
      <c r="G1589" t="s">
        <v>19</v>
      </c>
      <c r="H1589">
        <v>6644</v>
      </c>
      <c r="I1589" t="s">
        <v>3225</v>
      </c>
      <c r="J1589" t="s">
        <v>3226</v>
      </c>
      <c r="K1589" t="s">
        <v>17</v>
      </c>
      <c r="L1589" t="str">
        <f t="shared" si="24"/>
        <v xml:space="preserve">{ longitude: -63.6285629512629, latitude: 44.6619363872053, stopType: 'Bus Stop Accessible', gotime: \'6644\', location: \'FAIRVIEW OVERPASS FS MAIN AVE\' }, </v>
      </c>
    </row>
    <row r="1590" spans="1:12" x14ac:dyDescent="0.25">
      <c r="A1590">
        <v>-63.6266588465854</v>
      </c>
      <c r="B1590">
        <v>44.653770222375996</v>
      </c>
      <c r="C1590">
        <v>405</v>
      </c>
      <c r="D1590" t="s">
        <v>22</v>
      </c>
      <c r="E1590" t="s">
        <v>12</v>
      </c>
      <c r="F1590" t="s">
        <v>13</v>
      </c>
      <c r="G1590" t="s">
        <v>19</v>
      </c>
      <c r="H1590">
        <v>6194</v>
      </c>
      <c r="I1590" t="s">
        <v>3227</v>
      </c>
      <c r="J1590" t="s">
        <v>3228</v>
      </c>
      <c r="K1590" t="s">
        <v>17</v>
      </c>
      <c r="L1590" t="str">
        <f t="shared" si="24"/>
        <v xml:space="preserve">{ longitude: -63.6266588465854, latitude: 44.653770222376, stopType: 'Bus Stop Shelter Accessible', gotime: \'6194\', location: \'BAYERS RD  &lt;WB&gt; AT BRSC\' }, </v>
      </c>
    </row>
    <row r="1591" spans="1:12" x14ac:dyDescent="0.25">
      <c r="A1591">
        <v>-63.6644676081863</v>
      </c>
      <c r="B1591">
        <v>44.673326151639998</v>
      </c>
      <c r="C1591">
        <v>1675</v>
      </c>
      <c r="D1591" t="s">
        <v>29</v>
      </c>
      <c r="E1591" t="s">
        <v>12</v>
      </c>
      <c r="F1591" t="s">
        <v>13</v>
      </c>
      <c r="G1591" t="s">
        <v>14</v>
      </c>
      <c r="H1591">
        <v>6645</v>
      </c>
      <c r="I1591" t="s">
        <v>3229</v>
      </c>
      <c r="J1591" t="s">
        <v>3230</v>
      </c>
      <c r="K1591" t="s">
        <v>17</v>
      </c>
      <c r="L1591" t="str">
        <f t="shared" si="24"/>
        <v xml:space="preserve">{ longitude: -63.6644676081863, latitude: 44.67332615164, stopType: 'Bus Stop Accessible', gotime: \'6645\', location: \'FARNHAM GATE FS DUNBRACK ST\' }, </v>
      </c>
    </row>
    <row r="1592" spans="1:12" x14ac:dyDescent="0.25">
      <c r="A1592">
        <v>-63.6099483671915</v>
      </c>
      <c r="B1592">
        <v>44.655030051560402</v>
      </c>
      <c r="C1592">
        <v>406</v>
      </c>
      <c r="D1592" t="s">
        <v>29</v>
      </c>
      <c r="E1592" t="s">
        <v>12</v>
      </c>
      <c r="F1592" t="s">
        <v>13</v>
      </c>
      <c r="G1592" t="s">
        <v>19</v>
      </c>
      <c r="H1592">
        <v>6195</v>
      </c>
      <c r="I1592" t="s">
        <v>3231</v>
      </c>
      <c r="J1592" t="s">
        <v>3232</v>
      </c>
      <c r="K1592" t="s">
        <v>17</v>
      </c>
      <c r="L1592" t="str">
        <f t="shared" si="24"/>
        <v xml:space="preserve">{ longitude: -63.6099483671915, latitude: 44.6550300515604, stopType: 'Bus Stop Accessible', gotime: \'6195\', location: \'BAYERS RD &lt;EB&gt; FS OXFORD ST\' }, </v>
      </c>
    </row>
    <row r="1593" spans="1:12" x14ac:dyDescent="0.25">
      <c r="A1593">
        <v>-63.664571903500303</v>
      </c>
      <c r="B1593">
        <v>44.673326914647298</v>
      </c>
      <c r="C1593">
        <v>1676</v>
      </c>
      <c r="D1593" t="s">
        <v>29</v>
      </c>
      <c r="E1593" t="s">
        <v>12</v>
      </c>
      <c r="F1593" t="s">
        <v>13</v>
      </c>
      <c r="G1593" t="s">
        <v>14</v>
      </c>
      <c r="H1593">
        <v>6646</v>
      </c>
      <c r="I1593" t="s">
        <v>3229</v>
      </c>
      <c r="J1593" t="s">
        <v>3233</v>
      </c>
      <c r="K1593" t="s">
        <v>17</v>
      </c>
      <c r="L1593" t="str">
        <f t="shared" si="24"/>
        <v xml:space="preserve">{ longitude: -63.6645719035003, latitude: 44.6733269146473, stopType: 'Bus Stop Accessible', gotime: \'6646\', location: \'FARNHAM GATE FS DUNBRACK ST\' }, </v>
      </c>
    </row>
    <row r="1594" spans="1:12" x14ac:dyDescent="0.25">
      <c r="A1594">
        <v>-63.610057126121802</v>
      </c>
      <c r="B1594">
        <v>44.655247883357703</v>
      </c>
      <c r="C1594">
        <v>407</v>
      </c>
      <c r="D1594" t="s">
        <v>11</v>
      </c>
      <c r="E1594" t="s">
        <v>12</v>
      </c>
      <c r="F1594" t="s">
        <v>13</v>
      </c>
      <c r="G1594" t="s">
        <v>14</v>
      </c>
      <c r="H1594">
        <v>6196</v>
      </c>
      <c r="I1594" t="s">
        <v>3234</v>
      </c>
      <c r="J1594" t="s">
        <v>3235</v>
      </c>
      <c r="K1594" t="s">
        <v>17</v>
      </c>
      <c r="L1594" t="str">
        <f t="shared" si="24"/>
        <v xml:space="preserve">{ longitude: -63.6100571261218, latitude: 44.6552478833577, stopType: 'Bus Stop Non-Standard', gotime: \'6196\', location: \'BAYERS RD &lt;WB&gt; NS OXFORD ST\' }, </v>
      </c>
    </row>
    <row r="1595" spans="1:12" x14ac:dyDescent="0.25">
      <c r="A1595">
        <v>-63.666095415471297</v>
      </c>
      <c r="B1595">
        <v>44.672735247364301</v>
      </c>
      <c r="C1595">
        <v>1677</v>
      </c>
      <c r="D1595" t="s">
        <v>11</v>
      </c>
      <c r="E1595" t="s">
        <v>12</v>
      </c>
      <c r="F1595" t="s">
        <v>13</v>
      </c>
      <c r="G1595" t="s">
        <v>14</v>
      </c>
      <c r="H1595">
        <v>6647</v>
      </c>
      <c r="I1595" t="s">
        <v>3236</v>
      </c>
      <c r="J1595" t="s">
        <v>3237</v>
      </c>
      <c r="K1595" t="s">
        <v>17</v>
      </c>
      <c r="L1595" t="str">
        <f t="shared" si="24"/>
        <v xml:space="preserve">{ longitude: -63.6660954154713, latitude: 44.6727352473643, stopType: 'Bus Stop Non-Standard', gotime: \'6647\', location: \'FARNHAM GATE FS OPP LANDSDOWNE dr\' }, </v>
      </c>
    </row>
    <row r="1596" spans="1:12" x14ac:dyDescent="0.25">
      <c r="A1596">
        <v>-63.707512538497603</v>
      </c>
      <c r="B1596">
        <v>44.792496280024601</v>
      </c>
      <c r="C1596">
        <v>408</v>
      </c>
      <c r="D1596" t="s">
        <v>11</v>
      </c>
      <c r="E1596" t="s">
        <v>12</v>
      </c>
      <c r="F1596" t="s">
        <v>13</v>
      </c>
      <c r="G1596" t="s">
        <v>14</v>
      </c>
      <c r="H1596">
        <v>7235</v>
      </c>
      <c r="I1596" t="s">
        <v>3238</v>
      </c>
      <c r="J1596" t="s">
        <v>3239</v>
      </c>
      <c r="K1596" t="s">
        <v>17</v>
      </c>
      <c r="L1596" t="str">
        <f t="shared" si="24"/>
        <v xml:space="preserve">{ longitude: -63.7075125384976, latitude: 44.7924962800246, stopType: 'Bus Stop Non-Standard', gotime: \'7235\', location: \'MILLWOOD DR NS OPP JACKLADDER\' }, </v>
      </c>
    </row>
    <row r="1597" spans="1:12" x14ac:dyDescent="0.25">
      <c r="A1597">
        <v>-63.6677643037997</v>
      </c>
      <c r="B1597">
        <v>44.671880116967102</v>
      </c>
      <c r="C1597">
        <v>1678</v>
      </c>
      <c r="D1597" t="s">
        <v>11</v>
      </c>
      <c r="E1597" t="s">
        <v>12</v>
      </c>
      <c r="F1597" t="s">
        <v>13</v>
      </c>
      <c r="G1597" t="s">
        <v>14</v>
      </c>
      <c r="H1597">
        <v>6648</v>
      </c>
      <c r="I1597" t="s">
        <v>3240</v>
      </c>
      <c r="J1597" t="s">
        <v>3241</v>
      </c>
      <c r="K1597" t="s">
        <v>17</v>
      </c>
      <c r="L1597" t="str">
        <f t="shared" si="24"/>
        <v xml:space="preserve">{ longitude: -63.6677643037997, latitude: 44.6718801169671, stopType: 'Bus Stop Non-Standard', gotime: \'6648\', location: \'FARNHAM GATE  NS CHELTON WOODS LN\' }, </v>
      </c>
    </row>
    <row r="1598" spans="1:12" x14ac:dyDescent="0.25">
      <c r="A1598">
        <v>-63.669551002507703</v>
      </c>
      <c r="B1598">
        <v>44.672177515055303</v>
      </c>
      <c r="C1598">
        <v>1679</v>
      </c>
      <c r="D1598" t="s">
        <v>11</v>
      </c>
      <c r="E1598" t="s">
        <v>12</v>
      </c>
      <c r="F1598" t="s">
        <v>25</v>
      </c>
      <c r="G1598" t="s">
        <v>26</v>
      </c>
      <c r="H1598">
        <v>6649</v>
      </c>
      <c r="I1598" t="s">
        <v>3242</v>
      </c>
      <c r="J1598" t="s">
        <v>3243</v>
      </c>
      <c r="K1598" t="s">
        <v>17</v>
      </c>
      <c r="L1598" t="str">
        <f t="shared" si="24"/>
        <v xml:space="preserve">{ longitude: -63.6695510025077, latitude: 44.6721775150553, stopType: 'Bus Stop Non-Standard', gotime: \'6649\', location: \'FARNHAM GATE NS CIVIC 220\' }, </v>
      </c>
    </row>
    <row r="1599" spans="1:12" x14ac:dyDescent="0.25">
      <c r="A1599">
        <v>-63.524220665688198</v>
      </c>
      <c r="B1599">
        <v>44.680333935141</v>
      </c>
      <c r="C1599">
        <v>409</v>
      </c>
      <c r="D1599" t="s">
        <v>29</v>
      </c>
      <c r="E1599" t="s">
        <v>12</v>
      </c>
      <c r="F1599" t="s">
        <v>25</v>
      </c>
      <c r="G1599" t="s">
        <v>26</v>
      </c>
      <c r="H1599">
        <v>7260</v>
      </c>
      <c r="I1599" t="s">
        <v>3244</v>
      </c>
      <c r="J1599" t="s">
        <v>3245</v>
      </c>
      <c r="K1599" t="s">
        <v>17</v>
      </c>
      <c r="L1599" t="str">
        <f t="shared" si="24"/>
        <v xml:space="preserve">{ longitude: -63.5242206656882, latitude: 44.680333935141, stopType: 'Bus Stop Accessible', gotime: \'7260\', location: \'MT EDWARD RD AT CIVIC 15\' }, </v>
      </c>
    </row>
    <row r="1600" spans="1:12" x14ac:dyDescent="0.25">
      <c r="A1600">
        <v>-63.671905245057602</v>
      </c>
      <c r="B1600">
        <v>44.671591627986899</v>
      </c>
      <c r="C1600">
        <v>1680</v>
      </c>
      <c r="D1600" t="s">
        <v>11</v>
      </c>
      <c r="E1600" t="s">
        <v>12</v>
      </c>
      <c r="F1600" t="s">
        <v>25</v>
      </c>
      <c r="G1600" t="s">
        <v>26</v>
      </c>
      <c r="H1600">
        <v>6650</v>
      </c>
      <c r="I1600" t="s">
        <v>3246</v>
      </c>
      <c r="J1600" t="s">
        <v>3247</v>
      </c>
      <c r="K1600" t="s">
        <v>17</v>
      </c>
      <c r="L1600" t="str">
        <f t="shared" si="24"/>
        <v xml:space="preserve">{ longitude: -63.6719052450576, latitude: 44.6715916279869, stopType: 'Bus Stop Non-Standard', gotime: \'6650\', location: \'FARNHAM GATE NS GLENBOURNE ct\' }, </v>
      </c>
    </row>
    <row r="1601" spans="1:12" x14ac:dyDescent="0.25">
      <c r="A1601">
        <v>-63.702692174363698</v>
      </c>
      <c r="B1601">
        <v>44.791011009837497</v>
      </c>
      <c r="C1601">
        <v>410</v>
      </c>
      <c r="D1601" t="s">
        <v>103</v>
      </c>
      <c r="E1601" t="s">
        <v>12</v>
      </c>
      <c r="F1601" t="s">
        <v>25</v>
      </c>
      <c r="G1601" t="s">
        <v>65</v>
      </c>
      <c r="H1601">
        <v>7236</v>
      </c>
      <c r="I1601" t="s">
        <v>3248</v>
      </c>
      <c r="J1601" t="s">
        <v>3249</v>
      </c>
      <c r="K1601" t="s">
        <v>17</v>
      </c>
      <c r="L1601" t="str">
        <f t="shared" si="24"/>
        <v xml:space="preserve">{ longitude: -63.7026921743637, latitude: 44.7910110098375, stopType: 'Bus Stop Inaccessible', gotime: \'7236\', location: \'MILLWOOD DR OPP BEAVERBANK CROSS RD\' }, </v>
      </c>
    </row>
    <row r="1602" spans="1:12" x14ac:dyDescent="0.25">
      <c r="A1602">
        <v>-63.666320026971199</v>
      </c>
      <c r="B1602">
        <v>44.672833184422799</v>
      </c>
      <c r="C1602">
        <v>1681</v>
      </c>
      <c r="D1602" t="s">
        <v>29</v>
      </c>
      <c r="E1602" t="s">
        <v>12</v>
      </c>
      <c r="F1602" t="s">
        <v>13</v>
      </c>
      <c r="G1602" t="s">
        <v>14</v>
      </c>
      <c r="H1602">
        <v>6651</v>
      </c>
      <c r="I1602" t="s">
        <v>3250</v>
      </c>
      <c r="J1602" t="s">
        <v>3251</v>
      </c>
      <c r="K1602" t="s">
        <v>17</v>
      </c>
      <c r="L1602" t="str">
        <f t="shared" si="24"/>
        <v xml:space="preserve">{ longitude: -63.6663200269712, latitude: 44.6728331844228, stopType: 'Bus Stop Accessible', gotime: \'6651\', location: \'FARNHAM GATE  NS LANDSDOWNE DR\' }, </v>
      </c>
    </row>
    <row r="1603" spans="1:12" x14ac:dyDescent="0.25">
      <c r="A1603">
        <v>-63.708730210089698</v>
      </c>
      <c r="B1603">
        <v>44.791232997032701</v>
      </c>
      <c r="C1603">
        <v>411</v>
      </c>
      <c r="D1603" t="s">
        <v>11</v>
      </c>
      <c r="E1603" t="s">
        <v>12</v>
      </c>
      <c r="F1603" t="s">
        <v>25</v>
      </c>
      <c r="G1603" t="s">
        <v>26</v>
      </c>
      <c r="H1603">
        <v>7237</v>
      </c>
      <c r="I1603" t="s">
        <v>3252</v>
      </c>
      <c r="J1603" t="s">
        <v>3253</v>
      </c>
      <c r="K1603" t="s">
        <v>17</v>
      </c>
      <c r="L1603" t="str">
        <f t="shared" ref="L1603:L1666" si="25">CONCATENATE( "{ longitude: ", A1603, ", latitude: ", B1603, ", stopType: '", D1603, "', gotime: \'", H1603, "\', location: \'", I1603, "\' }, ")</f>
        <v xml:space="preserve">{ longitude: -63.7087302100897, latitude: 44.7912329970327, stopType: 'Bus Stop Non-Standard', gotime: \'7237\', location: \'MILLWOOD DR OPP CIVIC 144\' }, </v>
      </c>
    </row>
    <row r="1604" spans="1:12" x14ac:dyDescent="0.25">
      <c r="A1604">
        <v>-63.666261520011503</v>
      </c>
      <c r="B1604">
        <v>44.672902505243897</v>
      </c>
      <c r="C1604">
        <v>1682</v>
      </c>
      <c r="D1604" t="s">
        <v>29</v>
      </c>
      <c r="E1604" t="s">
        <v>12</v>
      </c>
      <c r="F1604" t="s">
        <v>13</v>
      </c>
      <c r="G1604" t="s">
        <v>14</v>
      </c>
      <c r="H1604">
        <v>6652</v>
      </c>
      <c r="I1604" t="s">
        <v>3254</v>
      </c>
      <c r="J1604" t="s">
        <v>3255</v>
      </c>
      <c r="K1604" t="s">
        <v>17</v>
      </c>
      <c r="L1604" t="str">
        <f t="shared" si="25"/>
        <v xml:space="preserve">{ longitude: -63.6662615200115, latitude: 44.6729025052439, stopType: 'Bus Stop Accessible', gotime: \'6652\', location: \'FARNHAM GATE NS LANDSDOWNE DR\' }, </v>
      </c>
    </row>
    <row r="1605" spans="1:12" x14ac:dyDescent="0.25">
      <c r="A1605">
        <v>-63.697331805279497</v>
      </c>
      <c r="B1605">
        <v>44.790226496625202</v>
      </c>
      <c r="C1605">
        <v>412</v>
      </c>
      <c r="D1605" t="s">
        <v>11</v>
      </c>
      <c r="E1605" t="s">
        <v>12</v>
      </c>
      <c r="F1605" t="s">
        <v>25</v>
      </c>
      <c r="G1605" t="s">
        <v>26</v>
      </c>
      <c r="H1605">
        <v>7238</v>
      </c>
      <c r="I1605" t="s">
        <v>3256</v>
      </c>
      <c r="J1605" t="s">
        <v>3257</v>
      </c>
      <c r="K1605" t="s">
        <v>17</v>
      </c>
      <c r="L1605" t="str">
        <f t="shared" si="25"/>
        <v xml:space="preserve">{ longitude: -63.6973318052795, latitude: 44.7902264966252, stopType: 'Bus Stop Non-Standard', gotime: \'7238\', location: \'MILLWOOD DR OPP CIVIC 424\' }, </v>
      </c>
    </row>
    <row r="1606" spans="1:12" x14ac:dyDescent="0.25">
      <c r="A1606">
        <v>-63.674167075604501</v>
      </c>
      <c r="B1606">
        <v>44.671293015676099</v>
      </c>
      <c r="C1606">
        <v>1683</v>
      </c>
      <c r="D1606" t="s">
        <v>11</v>
      </c>
      <c r="E1606" t="s">
        <v>12</v>
      </c>
      <c r="F1606" t="s">
        <v>25</v>
      </c>
      <c r="G1606" t="s">
        <v>26</v>
      </c>
      <c r="H1606">
        <v>6653</v>
      </c>
      <c r="I1606" t="s">
        <v>3258</v>
      </c>
      <c r="J1606" t="s">
        <v>3259</v>
      </c>
      <c r="K1606" t="s">
        <v>17</v>
      </c>
      <c r="L1606" t="str">
        <f t="shared" si="25"/>
        <v xml:space="preserve">{ longitude: -63.6741670756045, latitude: 44.6712930156761, stopType: 'Bus Stop Non-Standard', gotime: \'6653\', location: \'FARNHAM GATE NS REDFERN TERR\' }, </v>
      </c>
    </row>
    <row r="1607" spans="1:12" x14ac:dyDescent="0.25">
      <c r="A1607">
        <v>-63.709565187680901</v>
      </c>
      <c r="B1607">
        <v>44.786541011456102</v>
      </c>
      <c r="C1607">
        <v>413</v>
      </c>
      <c r="D1607" t="s">
        <v>103</v>
      </c>
      <c r="E1607" t="s">
        <v>12</v>
      </c>
      <c r="F1607" t="s">
        <v>25</v>
      </c>
      <c r="G1607" t="s">
        <v>65</v>
      </c>
      <c r="H1607">
        <v>7239</v>
      </c>
      <c r="I1607" t="s">
        <v>3260</v>
      </c>
      <c r="J1607" t="s">
        <v>3261</v>
      </c>
      <c r="K1607" t="s">
        <v>17</v>
      </c>
      <c r="L1607" t="str">
        <f t="shared" si="25"/>
        <v xml:space="preserve">{ longitude: -63.7095651876809, latitude: 44.7865410114561, stopType: 'Bus Stop Inaccessible', gotime: \'7239\', location: \'MILLWOOD DR OPP CIVIC 55\' }, </v>
      </c>
    </row>
    <row r="1608" spans="1:12" x14ac:dyDescent="0.25">
      <c r="A1608">
        <v>-63.669104257101402</v>
      </c>
      <c r="B1608">
        <v>44.672266872828502</v>
      </c>
      <c r="C1608">
        <v>1684</v>
      </c>
      <c r="D1608" t="s">
        <v>29</v>
      </c>
      <c r="E1608" t="s">
        <v>12</v>
      </c>
      <c r="F1608" t="s">
        <v>13</v>
      </c>
      <c r="G1608" t="s">
        <v>14</v>
      </c>
      <c r="H1608">
        <v>6654</v>
      </c>
      <c r="I1608" t="s">
        <v>3262</v>
      </c>
      <c r="J1608" t="s">
        <v>3263</v>
      </c>
      <c r="K1608" t="s">
        <v>17</v>
      </c>
      <c r="L1608" t="str">
        <f t="shared" si="25"/>
        <v xml:space="preserve">{ longitude: -63.6691042571014, latitude: 44.6722668728285, stopType: 'Bus Stop Accessible', gotime: \'6654\', location: \'FARNHAM GATE  AT CIVIC 185\' }, </v>
      </c>
    </row>
    <row r="1609" spans="1:12" x14ac:dyDescent="0.25">
      <c r="A1609">
        <v>-63.704439225814198</v>
      </c>
      <c r="B1609">
        <v>44.792634113464501</v>
      </c>
      <c r="C1609">
        <v>414</v>
      </c>
      <c r="D1609" t="s">
        <v>11</v>
      </c>
      <c r="E1609" t="s">
        <v>12</v>
      </c>
      <c r="F1609" t="s">
        <v>25</v>
      </c>
      <c r="G1609" t="s">
        <v>26</v>
      </c>
      <c r="H1609">
        <v>7240</v>
      </c>
      <c r="I1609" t="s">
        <v>3264</v>
      </c>
      <c r="J1609" t="s">
        <v>3265</v>
      </c>
      <c r="K1609" t="s">
        <v>17</v>
      </c>
      <c r="L1609" t="str">
        <f t="shared" si="25"/>
        <v xml:space="preserve">{ longitude: -63.7044392258142, latitude: 44.7926341134645, stopType: 'Bus Stop Non-Standard', gotime: \'7240\', location: \'MILLWOOD DR OPP NS ROSSING DR\' }, </v>
      </c>
    </row>
    <row r="1610" spans="1:12" x14ac:dyDescent="0.25">
      <c r="A1610">
        <v>-63.670701574481697</v>
      </c>
      <c r="B1610">
        <v>44.672252024009403</v>
      </c>
      <c r="C1610">
        <v>1685</v>
      </c>
      <c r="D1610" t="s">
        <v>29</v>
      </c>
      <c r="E1610" t="s">
        <v>12</v>
      </c>
      <c r="F1610" t="s">
        <v>13</v>
      </c>
      <c r="G1610" t="s">
        <v>14</v>
      </c>
      <c r="H1610">
        <v>6655</v>
      </c>
      <c r="I1610" t="s">
        <v>3266</v>
      </c>
      <c r="J1610" t="s">
        <v>3267</v>
      </c>
      <c r="K1610" t="s">
        <v>17</v>
      </c>
      <c r="L1610" t="str">
        <f t="shared" si="25"/>
        <v xml:space="preserve">{ longitude: -63.6707015744817, latitude: 44.6722520240094, stopType: 'Bus Stop Accessible', gotime: \'6655\', location: \'FARNHAM GATE NS FARNHAM CT\' }, </v>
      </c>
    </row>
    <row r="1611" spans="1:12" x14ac:dyDescent="0.25">
      <c r="A1611">
        <v>-63.638563549571302</v>
      </c>
      <c r="B1611">
        <v>44.643148753832101</v>
      </c>
      <c r="C1611">
        <v>415</v>
      </c>
      <c r="D1611" t="s">
        <v>11</v>
      </c>
      <c r="E1611" t="s">
        <v>12</v>
      </c>
      <c r="F1611" t="s">
        <v>25</v>
      </c>
      <c r="G1611" t="s">
        <v>26</v>
      </c>
      <c r="H1611">
        <v>7241</v>
      </c>
      <c r="I1611" t="s">
        <v>3268</v>
      </c>
      <c r="J1611" t="s">
        <v>3269</v>
      </c>
      <c r="K1611" t="s">
        <v>17</v>
      </c>
      <c r="L1611" t="str">
        <f t="shared" si="25"/>
        <v xml:space="preserve">{ longitude: -63.6385635495713, latitude: 44.6431487538321, stopType: 'Bus Stop Non-Standard', gotime: \'7241\', location: \'MILSOM NS ARLINGTON AVE\' }, </v>
      </c>
    </row>
    <row r="1612" spans="1:12" x14ac:dyDescent="0.25">
      <c r="A1612">
        <v>-63.493252650105703</v>
      </c>
      <c r="B1612">
        <v>44.698559516763801</v>
      </c>
      <c r="C1612">
        <v>416</v>
      </c>
      <c r="D1612" t="s">
        <v>11</v>
      </c>
      <c r="E1612" t="s">
        <v>12</v>
      </c>
      <c r="F1612" t="s">
        <v>25</v>
      </c>
      <c r="G1612" t="s">
        <v>26</v>
      </c>
      <c r="H1612">
        <v>7242</v>
      </c>
      <c r="I1612" t="s">
        <v>3270</v>
      </c>
      <c r="J1612" t="s">
        <v>3271</v>
      </c>
      <c r="K1612" t="s">
        <v>17</v>
      </c>
      <c r="L1612" t="str">
        <f t="shared" si="25"/>
        <v xml:space="preserve">{ longitude: -63.4932526501057, latitude: 44.6985595167638, stopType: 'Bus Stop Non-Standard', gotime: \'7242\', location: \'MONTAGUE RD FS HWY #107\' }, </v>
      </c>
    </row>
    <row r="1613" spans="1:12" x14ac:dyDescent="0.25">
      <c r="A1613">
        <v>-63.675036460021801</v>
      </c>
      <c r="B1613">
        <v>44.671353297604902</v>
      </c>
      <c r="C1613">
        <v>1686</v>
      </c>
      <c r="D1613" t="s">
        <v>29</v>
      </c>
      <c r="E1613" t="s">
        <v>12</v>
      </c>
      <c r="F1613" t="s">
        <v>25</v>
      </c>
      <c r="G1613" t="s">
        <v>26</v>
      </c>
      <c r="H1613">
        <v>6656</v>
      </c>
      <c r="I1613" t="s">
        <v>3272</v>
      </c>
      <c r="J1613" t="s">
        <v>3273</v>
      </c>
      <c r="K1613" t="s">
        <v>17</v>
      </c>
      <c r="L1613" t="str">
        <f t="shared" si="25"/>
        <v xml:space="preserve">{ longitude: -63.6750364600218, latitude: 44.6713532976049, stopType: 'Bus Stop Accessible', gotime: \'6656\', location: \'FARNHAM GATE FS ASTER CT\' }, </v>
      </c>
    </row>
    <row r="1614" spans="1:12" x14ac:dyDescent="0.25">
      <c r="A1614">
        <v>-63.4991243989124</v>
      </c>
      <c r="B1614">
        <v>44.7056308838227</v>
      </c>
      <c r="C1614">
        <v>417</v>
      </c>
      <c r="D1614" t="s">
        <v>11</v>
      </c>
      <c r="E1614" t="s">
        <v>12</v>
      </c>
      <c r="F1614" t="s">
        <v>25</v>
      </c>
      <c r="G1614" t="s">
        <v>26</v>
      </c>
      <c r="H1614">
        <v>7243</v>
      </c>
      <c r="I1614" t="s">
        <v>3274</v>
      </c>
      <c r="J1614" t="s">
        <v>3275</v>
      </c>
      <c r="K1614" t="s">
        <v>17</v>
      </c>
      <c r="L1614" t="str">
        <f t="shared" si="25"/>
        <v xml:space="preserve">{ longitude: -63.4991243989124, latitude: 44.7056308838227, stopType: 'Bus Stop Non-Standard', gotime: \'7243\', location: \'MONTAGUE RD NS SERPENTINE AVE\' }, </v>
      </c>
    </row>
    <row r="1615" spans="1:12" x14ac:dyDescent="0.25">
      <c r="A1615">
        <v>-63.630466107290701</v>
      </c>
      <c r="B1615">
        <v>44.636688540454301</v>
      </c>
      <c r="C1615">
        <v>1687</v>
      </c>
      <c r="D1615" t="s">
        <v>103</v>
      </c>
      <c r="E1615" t="s">
        <v>12</v>
      </c>
      <c r="F1615" t="s">
        <v>25</v>
      </c>
      <c r="G1615" t="s">
        <v>19</v>
      </c>
      <c r="H1615">
        <v>6661</v>
      </c>
      <c r="I1615" t="s">
        <v>3276</v>
      </c>
      <c r="J1615" t="s">
        <v>3277</v>
      </c>
      <c r="K1615" t="s">
        <v>17</v>
      </c>
      <c r="L1615" t="str">
        <f t="shared" si="25"/>
        <v xml:space="preserve">{ longitude: -63.6304661072907, latitude: 44.6366885404543, stopType: 'Bus Stop Inaccessible', gotime: \'6661\', location: \'FENWOOD RD FS ST MARGARETS BAY RD\' }, </v>
      </c>
    </row>
    <row r="1616" spans="1:12" x14ac:dyDescent="0.25">
      <c r="A1616">
        <v>-63.494906779033798</v>
      </c>
      <c r="B1616">
        <v>44.699951039658302</v>
      </c>
      <c r="C1616">
        <v>418</v>
      </c>
      <c r="D1616" t="s">
        <v>11</v>
      </c>
      <c r="E1616" t="s">
        <v>12</v>
      </c>
      <c r="F1616" t="s">
        <v>25</v>
      </c>
      <c r="G1616" t="s">
        <v>26</v>
      </c>
      <c r="H1616">
        <v>7244</v>
      </c>
      <c r="I1616" t="s">
        <v>3278</v>
      </c>
      <c r="J1616" t="s">
        <v>3279</v>
      </c>
      <c r="K1616" t="s">
        <v>17</v>
      </c>
      <c r="L1616" t="str">
        <f t="shared" si="25"/>
        <v xml:space="preserve">{ longitude: -63.4949067790338, latitude: 44.6999510396583, stopType: 'Bus Stop Non-Standard', gotime: \'7244\', location: \'MONTAGUE RD OPP CIVIC 54\' }, </v>
      </c>
    </row>
    <row r="1617" spans="1:12" x14ac:dyDescent="0.25">
      <c r="A1617">
        <v>-63.47003113385</v>
      </c>
      <c r="B1617">
        <v>44.6133317627677</v>
      </c>
      <c r="C1617">
        <v>1688</v>
      </c>
      <c r="D1617" t="s">
        <v>11</v>
      </c>
      <c r="E1617" t="s">
        <v>12</v>
      </c>
      <c r="F1617" t="s">
        <v>25</v>
      </c>
      <c r="G1617" t="s">
        <v>19</v>
      </c>
      <c r="H1617">
        <v>8673</v>
      </c>
      <c r="I1617" t="s">
        <v>3280</v>
      </c>
      <c r="J1617" t="s">
        <v>3281</v>
      </c>
      <c r="K1617" t="s">
        <v>17</v>
      </c>
      <c r="L1617" t="str">
        <f t="shared" si="25"/>
        <v xml:space="preserve">{ longitude: -63.47003113385, latitude: 44.6133317627677, stopType: 'Bus Stop Non-Standard', gotime: \'8673\', location: \'HERITAGE HILLS DR AT CIVIC 6\' }, </v>
      </c>
    </row>
    <row r="1618" spans="1:12" x14ac:dyDescent="0.25">
      <c r="A1618">
        <v>-63.4978256973234</v>
      </c>
      <c r="B1618">
        <v>44.702640599671497</v>
      </c>
      <c r="C1618">
        <v>419</v>
      </c>
      <c r="D1618" t="s">
        <v>11</v>
      </c>
      <c r="E1618" t="s">
        <v>12</v>
      </c>
      <c r="F1618" t="s">
        <v>25</v>
      </c>
      <c r="G1618" t="s">
        <v>26</v>
      </c>
      <c r="H1618">
        <v>7245</v>
      </c>
      <c r="I1618" t="s">
        <v>3282</v>
      </c>
      <c r="J1618" t="s">
        <v>3283</v>
      </c>
      <c r="K1618" t="s">
        <v>17</v>
      </c>
      <c r="L1618" t="str">
        <f t="shared" si="25"/>
        <v xml:space="preserve">{ longitude: -63.4978256973234, latitude: 44.7026405996715, stopType: 'Bus Stop Non-Standard', gotime: \'7245\', location: \'MONTAGUE RD NS GANDER AVE\' }, </v>
      </c>
    </row>
    <row r="1619" spans="1:12" x14ac:dyDescent="0.25">
      <c r="A1619">
        <v>-63.472834556934998</v>
      </c>
      <c r="B1619">
        <v>44.612259034470199</v>
      </c>
      <c r="C1619">
        <v>1689</v>
      </c>
      <c r="D1619" t="s">
        <v>11</v>
      </c>
      <c r="E1619" t="s">
        <v>12</v>
      </c>
      <c r="F1619" t="s">
        <v>25</v>
      </c>
      <c r="G1619" t="s">
        <v>19</v>
      </c>
      <c r="H1619">
        <v>8674</v>
      </c>
      <c r="I1619" t="s">
        <v>3284</v>
      </c>
      <c r="J1619" t="s">
        <v>3285</v>
      </c>
      <c r="K1619" t="s">
        <v>17</v>
      </c>
      <c r="L1619" t="str">
        <f t="shared" si="25"/>
        <v xml:space="preserve">{ longitude: -63.472834556935, latitude: 44.6122590344702, stopType: 'Bus Stop Non-Standard', gotime: \'8674\', location: \'COW BAY RD AT CIVIC 386\' }, </v>
      </c>
    </row>
    <row r="1620" spans="1:12" x14ac:dyDescent="0.25">
      <c r="A1620">
        <v>-63.575562317891197</v>
      </c>
      <c r="B1620">
        <v>44.640523201867602</v>
      </c>
      <c r="C1620">
        <v>420</v>
      </c>
      <c r="D1620" t="s">
        <v>29</v>
      </c>
      <c r="E1620" t="s">
        <v>12</v>
      </c>
      <c r="F1620" t="s">
        <v>25</v>
      </c>
      <c r="G1620" t="s">
        <v>19</v>
      </c>
      <c r="H1620">
        <v>7246</v>
      </c>
      <c r="I1620" t="s">
        <v>3286</v>
      </c>
      <c r="J1620" t="s">
        <v>3287</v>
      </c>
      <c r="K1620" t="s">
        <v>17</v>
      </c>
      <c r="L1620" t="str">
        <f t="shared" si="25"/>
        <v xml:space="preserve">{ longitude: -63.5755623178912, latitude: 44.6405232018676, stopType: 'Bus Stop Accessible', gotime: \'7246\', location: \'MORRIS ST AT SPENCER HOUSE\' }, </v>
      </c>
    </row>
    <row r="1621" spans="1:12" x14ac:dyDescent="0.25">
      <c r="A1621">
        <v>-63.475174409942497</v>
      </c>
      <c r="B1621">
        <v>44.611749066778202</v>
      </c>
      <c r="C1621">
        <v>1690</v>
      </c>
      <c r="D1621" t="s">
        <v>11</v>
      </c>
      <c r="E1621" t="s">
        <v>12</v>
      </c>
      <c r="F1621" t="s">
        <v>25</v>
      </c>
      <c r="G1621" t="s">
        <v>26</v>
      </c>
      <c r="H1621">
        <v>8675</v>
      </c>
      <c r="I1621" t="s">
        <v>3288</v>
      </c>
      <c r="J1621" t="s">
        <v>3289</v>
      </c>
      <c r="K1621" t="s">
        <v>17</v>
      </c>
      <c r="L1621" t="str">
        <f t="shared" si="25"/>
        <v xml:space="preserve">{ longitude: -63.4751744099425, latitude: 44.6117490667782, stopType: 'Bus Stop Non-Standard', gotime: \'8675\', location: \'COW BAY RD FS CALDWELL RD\' }, </v>
      </c>
    </row>
    <row r="1622" spans="1:12" x14ac:dyDescent="0.25">
      <c r="A1622">
        <v>-63.575559888538102</v>
      </c>
      <c r="B1622">
        <v>44.6406761784826</v>
      </c>
      <c r="C1622">
        <v>421</v>
      </c>
      <c r="D1622" t="s">
        <v>29</v>
      </c>
      <c r="E1622" t="s">
        <v>12</v>
      </c>
      <c r="F1622" t="s">
        <v>25</v>
      </c>
      <c r="G1622" t="s">
        <v>19</v>
      </c>
      <c r="H1622">
        <v>7247</v>
      </c>
      <c r="I1622" t="s">
        <v>3290</v>
      </c>
      <c r="J1622" t="s">
        <v>3291</v>
      </c>
      <c r="K1622" t="s">
        <v>17</v>
      </c>
      <c r="L1622" t="str">
        <f t="shared" si="25"/>
        <v xml:space="preserve">{ longitude: -63.5755598885381, latitude: 44.6406761784826, stopType: 'Bus Stop Accessible', gotime: \'7247\', location: \'MORRIS ST NS BIRMINGHAM ST\' }, </v>
      </c>
    </row>
    <row r="1623" spans="1:12" x14ac:dyDescent="0.25">
      <c r="A1623">
        <v>-63.480170337921699</v>
      </c>
      <c r="B1623">
        <v>44.611370799163602</v>
      </c>
      <c r="C1623">
        <v>1691</v>
      </c>
      <c r="D1623" t="s">
        <v>11</v>
      </c>
      <c r="E1623" t="s">
        <v>12</v>
      </c>
      <c r="F1623" t="s">
        <v>25</v>
      </c>
      <c r="G1623" t="s">
        <v>19</v>
      </c>
      <c r="H1623">
        <v>8676</v>
      </c>
      <c r="I1623" t="s">
        <v>3292</v>
      </c>
      <c r="J1623" t="s">
        <v>3293</v>
      </c>
      <c r="K1623" t="s">
        <v>17</v>
      </c>
      <c r="L1623" t="str">
        <f t="shared" si="25"/>
        <v xml:space="preserve">{ longitude: -63.4801703379217, latitude: 44.6113707991636, stopType: 'Bus Stop Non-Standard', gotime: \'8676\', location: \'COW BAY RD NS CIVIC 254\' }, </v>
      </c>
    </row>
    <row r="1624" spans="1:12" x14ac:dyDescent="0.25">
      <c r="A1624">
        <v>-63.612381746344802</v>
      </c>
      <c r="B1624">
        <v>44.709054051255997</v>
      </c>
      <c r="C1624">
        <v>422</v>
      </c>
      <c r="D1624" t="s">
        <v>11</v>
      </c>
      <c r="E1624" t="s">
        <v>12</v>
      </c>
      <c r="F1624" t="s">
        <v>13</v>
      </c>
      <c r="G1624" t="s">
        <v>14</v>
      </c>
      <c r="H1624">
        <v>7248</v>
      </c>
      <c r="I1624" t="s">
        <v>3294</v>
      </c>
      <c r="J1624" t="s">
        <v>3295</v>
      </c>
      <c r="K1624" t="s">
        <v>17</v>
      </c>
      <c r="L1624" t="str">
        <f t="shared" si="25"/>
        <v xml:space="preserve">{ longitude: -63.6123817463448, latitude: 44.709054051256, stopType: 'Bus Stop Non-Standard', gotime: \'7248\', location: \'MOSHER DR AT CIVIC 31\' }, </v>
      </c>
    </row>
    <row r="1625" spans="1:12" x14ac:dyDescent="0.25">
      <c r="A1625">
        <v>-63.6330882449681</v>
      </c>
      <c r="B1625">
        <v>44.655072516169596</v>
      </c>
      <c r="C1625">
        <v>1692</v>
      </c>
      <c r="D1625" t="s">
        <v>11</v>
      </c>
      <c r="E1625" t="s">
        <v>12</v>
      </c>
      <c r="F1625" t="s">
        <v>13</v>
      </c>
      <c r="G1625" t="s">
        <v>14</v>
      </c>
      <c r="H1625">
        <v>8243</v>
      </c>
      <c r="I1625" t="s">
        <v>3296</v>
      </c>
      <c r="J1625" t="s">
        <v>3297</v>
      </c>
      <c r="K1625" t="s">
        <v>17</v>
      </c>
      <c r="L1625" t="str">
        <f t="shared" si="25"/>
        <v xml:space="preserve">{ longitude: -63.6330882449681, latitude: 44.6550725161696, stopType: 'Bus Stop Non-Standard', gotime: \'8243\', location: \'ROSEDALE AVE FS CIVIC 10\' }, </v>
      </c>
    </row>
    <row r="1626" spans="1:12" x14ac:dyDescent="0.25">
      <c r="A1626">
        <v>-63.6084402875831</v>
      </c>
      <c r="B1626">
        <v>44.707787602417298</v>
      </c>
      <c r="C1626">
        <v>423</v>
      </c>
      <c r="D1626" t="s">
        <v>11</v>
      </c>
      <c r="E1626" t="s">
        <v>12</v>
      </c>
      <c r="F1626" t="s">
        <v>25</v>
      </c>
      <c r="G1626" t="s">
        <v>26</v>
      </c>
      <c r="H1626">
        <v>7249</v>
      </c>
      <c r="I1626" t="s">
        <v>3298</v>
      </c>
      <c r="J1626" t="s">
        <v>3299</v>
      </c>
      <c r="K1626" t="s">
        <v>17</v>
      </c>
      <c r="L1626" t="str">
        <f t="shared" si="25"/>
        <v xml:space="preserve">{ longitude: -63.6084402875831, latitude: 44.7077876024173, stopType: 'Bus Stop Non-Standard', gotime: \'7249\', location: \'MOSHER DR NS AKERLEY BLVD\' }, </v>
      </c>
    </row>
    <row r="1627" spans="1:12" x14ac:dyDescent="0.25">
      <c r="A1627">
        <v>-63.4844621760924</v>
      </c>
      <c r="B1627">
        <v>44.610905055457003</v>
      </c>
      <c r="C1627">
        <v>1693</v>
      </c>
      <c r="D1627" t="s">
        <v>11</v>
      </c>
      <c r="E1627" t="s">
        <v>12</v>
      </c>
      <c r="F1627" t="s">
        <v>25</v>
      </c>
      <c r="G1627" t="s">
        <v>19</v>
      </c>
      <c r="H1627">
        <v>8677</v>
      </c>
      <c r="I1627" t="s">
        <v>3300</v>
      </c>
      <c r="J1627" t="s">
        <v>3301</v>
      </c>
      <c r="K1627" t="s">
        <v>17</v>
      </c>
      <c r="L1627" t="str">
        <f t="shared" si="25"/>
        <v xml:space="preserve">{ longitude: -63.4844621760924, latitude: 44.610905055457, stopType: 'Bus Stop Non-Standard', gotime: \'8677\', location: \'COW BAY RD NS CIVIC 194\' }, </v>
      </c>
    </row>
    <row r="1628" spans="1:12" x14ac:dyDescent="0.25">
      <c r="A1628">
        <v>-63.610779219280502</v>
      </c>
      <c r="B1628">
        <v>44.708550831941501</v>
      </c>
      <c r="C1628">
        <v>424</v>
      </c>
      <c r="D1628" t="s">
        <v>11</v>
      </c>
      <c r="E1628" t="s">
        <v>12</v>
      </c>
      <c r="F1628" t="s">
        <v>13</v>
      </c>
      <c r="G1628" t="s">
        <v>14</v>
      </c>
      <c r="H1628">
        <v>7250</v>
      </c>
      <c r="I1628" t="s">
        <v>3302</v>
      </c>
      <c r="J1628" t="s">
        <v>3303</v>
      </c>
      <c r="K1628" t="s">
        <v>17</v>
      </c>
      <c r="L1628" t="str">
        <f t="shared" si="25"/>
        <v xml:space="preserve">{ longitude: -63.6107792192805, latitude: 44.7085508319415, stopType: 'Bus Stop Non-Standard', gotime: \'7250\', location: \'MOSHER DR  NS GURHOLT DR\' }, </v>
      </c>
    </row>
    <row r="1629" spans="1:12" x14ac:dyDescent="0.25">
      <c r="A1629">
        <v>-63.488179932402304</v>
      </c>
      <c r="B1629">
        <v>44.6122970287147</v>
      </c>
      <c r="C1629">
        <v>1694</v>
      </c>
      <c r="D1629" t="s">
        <v>11</v>
      </c>
      <c r="E1629" t="s">
        <v>12</v>
      </c>
      <c r="F1629" t="s">
        <v>25</v>
      </c>
      <c r="G1629" t="s">
        <v>19</v>
      </c>
      <c r="H1629">
        <v>8678</v>
      </c>
      <c r="I1629" t="s">
        <v>3304</v>
      </c>
      <c r="J1629" t="s">
        <v>3305</v>
      </c>
      <c r="K1629" t="s">
        <v>17</v>
      </c>
      <c r="L1629" t="str">
        <f t="shared" si="25"/>
        <v xml:space="preserve">{ longitude: -63.4881799324023, latitude: 44.6122970287147, stopType: 'Bus Stop Non-Standard', gotime: \'8678\', location: \'COW BAY RD NS HORNES RD\' }, </v>
      </c>
    </row>
    <row r="1630" spans="1:12" x14ac:dyDescent="0.25">
      <c r="A1630">
        <v>-63.491379373663399</v>
      </c>
      <c r="B1630">
        <v>44.6123433307949</v>
      </c>
      <c r="C1630">
        <v>1695</v>
      </c>
      <c r="D1630" t="s">
        <v>29</v>
      </c>
      <c r="E1630" t="s">
        <v>12</v>
      </c>
      <c r="F1630" t="s">
        <v>25</v>
      </c>
      <c r="G1630" t="s">
        <v>19</v>
      </c>
      <c r="H1630">
        <v>8679</v>
      </c>
      <c r="I1630" t="s">
        <v>3306</v>
      </c>
      <c r="J1630" t="s">
        <v>3307</v>
      </c>
      <c r="K1630" t="s">
        <v>17</v>
      </c>
      <c r="L1630" t="str">
        <f t="shared" si="25"/>
        <v xml:space="preserve">{ longitude: -63.4913793736634, latitude: 44.6123433307949, stopType: 'Bus Stop Accessible', gotime: \'8679\', location: \'COW BAY RD FS CIVIC 36\' }, </v>
      </c>
    </row>
    <row r="1631" spans="1:12" x14ac:dyDescent="0.25">
      <c r="A1631">
        <v>-63.6222012752974</v>
      </c>
      <c r="B1631">
        <v>44.632204165036498</v>
      </c>
      <c r="C1631">
        <v>425</v>
      </c>
      <c r="D1631" t="s">
        <v>29</v>
      </c>
      <c r="E1631" t="s">
        <v>12</v>
      </c>
      <c r="F1631" t="s">
        <v>13</v>
      </c>
      <c r="G1631" t="s">
        <v>14</v>
      </c>
      <c r="H1631">
        <v>7251</v>
      </c>
      <c r="I1631" t="s">
        <v>3308</v>
      </c>
      <c r="J1631" t="s">
        <v>3309</v>
      </c>
      <c r="K1631" t="s">
        <v>17</v>
      </c>
      <c r="L1631" t="str">
        <f t="shared" si="25"/>
        <v xml:space="preserve">{ longitude: -63.6222012752974, latitude: 44.6322041650365, stopType: 'Bus Stop Accessible', gotime: \'7251\', location: \'MOUNTAIN AVE AT CIVIC 10\' }, </v>
      </c>
    </row>
    <row r="1632" spans="1:12" x14ac:dyDescent="0.25">
      <c r="A1632">
        <v>-63.518317194174301</v>
      </c>
      <c r="B1632">
        <v>44.6721205897339</v>
      </c>
      <c r="C1632">
        <v>1696</v>
      </c>
      <c r="D1632" t="s">
        <v>11</v>
      </c>
      <c r="E1632" t="s">
        <v>12</v>
      </c>
      <c r="F1632" t="s">
        <v>25</v>
      </c>
      <c r="G1632" t="s">
        <v>19</v>
      </c>
      <c r="H1632">
        <v>8680</v>
      </c>
      <c r="I1632" t="s">
        <v>3310</v>
      </c>
      <c r="J1632" t="s">
        <v>3311</v>
      </c>
      <c r="K1632" t="s">
        <v>17</v>
      </c>
      <c r="L1632" t="str">
        <f t="shared" si="25"/>
        <v xml:space="preserve">{ longitude: -63.5183171941743, latitude: 44.6721205897339, stopType: 'Bus Stop Non-Standard', gotime: \'8680\', location: \'SPRING AVE FS CLYSDALE\' }, </v>
      </c>
    </row>
    <row r="1633" spans="1:12" x14ac:dyDescent="0.25">
      <c r="A1633">
        <v>-63.624155315484998</v>
      </c>
      <c r="B1633">
        <v>44.630547455444798</v>
      </c>
      <c r="C1633">
        <v>426</v>
      </c>
      <c r="D1633" t="s">
        <v>29</v>
      </c>
      <c r="E1633" t="s">
        <v>12</v>
      </c>
      <c r="F1633" t="s">
        <v>25</v>
      </c>
      <c r="G1633" t="s">
        <v>19</v>
      </c>
      <c r="H1633">
        <v>7252</v>
      </c>
      <c r="I1633" t="s">
        <v>3312</v>
      </c>
      <c r="J1633" t="s">
        <v>3313</v>
      </c>
      <c r="K1633" t="s">
        <v>17</v>
      </c>
      <c r="L1633" t="str">
        <f t="shared" si="25"/>
        <v xml:space="preserve">{ longitude: -63.624155315485, latitude: 44.6305474554448, stopType: 'Bus Stop Accessible', gotime: \'7252\', location: \'MOUNTAIN AVE AT CIVIC 30\' }, </v>
      </c>
    </row>
    <row r="1634" spans="1:12" x14ac:dyDescent="0.25">
      <c r="A1634">
        <v>-63.658707854179099</v>
      </c>
      <c r="B1634">
        <v>44.759043943414703</v>
      </c>
      <c r="C1634">
        <v>1697</v>
      </c>
      <c r="D1634" t="s">
        <v>29</v>
      </c>
      <c r="E1634" t="s">
        <v>12</v>
      </c>
      <c r="F1634" t="s">
        <v>25</v>
      </c>
      <c r="G1634" t="s">
        <v>19</v>
      </c>
      <c r="H1634">
        <v>8681</v>
      </c>
      <c r="I1634" t="s">
        <v>3314</v>
      </c>
      <c r="J1634" t="s">
        <v>3315</v>
      </c>
      <c r="K1634" t="s">
        <v>17</v>
      </c>
      <c r="L1634" t="str">
        <f t="shared" si="25"/>
        <v xml:space="preserve">{ longitude: -63.6587078541791, latitude: 44.7590439434147, stopType: 'Bus Stop Accessible', gotime: \'8681\', location: \'DUKE ST CIVIC 21\' }, </v>
      </c>
    </row>
    <row r="1635" spans="1:12" x14ac:dyDescent="0.25">
      <c r="A1635">
        <v>-63.6232643915815</v>
      </c>
      <c r="B1635">
        <v>44.631392540116998</v>
      </c>
      <c r="C1635">
        <v>427</v>
      </c>
      <c r="D1635" t="s">
        <v>11</v>
      </c>
      <c r="E1635" t="s">
        <v>12</v>
      </c>
      <c r="F1635" t="s">
        <v>13</v>
      </c>
      <c r="G1635" t="s">
        <v>14</v>
      </c>
      <c r="H1635">
        <v>7253</v>
      </c>
      <c r="I1635" t="s">
        <v>3316</v>
      </c>
      <c r="J1635" t="s">
        <v>3317</v>
      </c>
      <c r="K1635" t="s">
        <v>17</v>
      </c>
      <c r="L1635" t="str">
        <f t="shared" si="25"/>
        <v xml:space="preserve">{ longitude: -63.6232643915815, latitude: 44.631392540117, stopType: 'Bus Stop Non-Standard', gotime: \'7253\', location: \'MOUNTAIN AVE AT CIVIC 29C\' }, </v>
      </c>
    </row>
    <row r="1636" spans="1:12" x14ac:dyDescent="0.25">
      <c r="A1636">
        <v>-63.653094918171199</v>
      </c>
      <c r="B1636">
        <v>44.758498477986201</v>
      </c>
      <c r="C1636">
        <v>1698</v>
      </c>
      <c r="D1636" t="s">
        <v>11</v>
      </c>
      <c r="E1636" t="s">
        <v>12</v>
      </c>
      <c r="F1636" t="s">
        <v>25</v>
      </c>
      <c r="G1636" t="s">
        <v>19</v>
      </c>
      <c r="H1636">
        <v>8682</v>
      </c>
      <c r="I1636" t="s">
        <v>3318</v>
      </c>
      <c r="J1636" t="s">
        <v>3319</v>
      </c>
      <c r="K1636" t="s">
        <v>17</v>
      </c>
      <c r="L1636" t="str">
        <f t="shared" si="25"/>
        <v xml:space="preserve">{ longitude: -63.6530949181712, latitude: 44.7584984779862, stopType: 'Bus Stop Non-Standard', gotime: \'8682\', location: \'DUKE ST NS ESTATES RD\' }, </v>
      </c>
    </row>
    <row r="1637" spans="1:12" x14ac:dyDescent="0.25">
      <c r="A1637">
        <v>-63.625098400459301</v>
      </c>
      <c r="B1637">
        <v>44.629852699971501</v>
      </c>
      <c r="C1637">
        <v>428</v>
      </c>
      <c r="D1637" t="s">
        <v>11</v>
      </c>
      <c r="E1637" t="s">
        <v>12</v>
      </c>
      <c r="F1637" t="s">
        <v>25</v>
      </c>
      <c r="G1637" t="s">
        <v>26</v>
      </c>
      <c r="H1637">
        <v>7254</v>
      </c>
      <c r="I1637" t="s">
        <v>3320</v>
      </c>
      <c r="J1637" t="s">
        <v>3321</v>
      </c>
      <c r="K1637" t="s">
        <v>17</v>
      </c>
      <c r="L1637" t="str">
        <f t="shared" si="25"/>
        <v xml:space="preserve">{ longitude: -63.6250984004593, latitude: 44.6298526999715, stopType: 'Bus Stop Non-Standard', gotime: \'7254\', location: \'MOUNTAIN AVE AT CIVIC 57\' }, </v>
      </c>
    </row>
    <row r="1638" spans="1:12" x14ac:dyDescent="0.25">
      <c r="A1638">
        <v>-63.661933598337903</v>
      </c>
      <c r="B1638">
        <v>44.756450487053101</v>
      </c>
      <c r="C1638">
        <v>1699</v>
      </c>
      <c r="D1638" t="s">
        <v>29</v>
      </c>
      <c r="E1638" t="s">
        <v>12</v>
      </c>
      <c r="F1638" t="s">
        <v>13</v>
      </c>
      <c r="G1638" t="s">
        <v>19</v>
      </c>
      <c r="H1638">
        <v>8683</v>
      </c>
      <c r="I1638" t="s">
        <v>3322</v>
      </c>
      <c r="J1638" t="s">
        <v>3323</v>
      </c>
      <c r="K1638" t="s">
        <v>17</v>
      </c>
      <c r="L1638" t="str">
        <f t="shared" si="25"/>
        <v xml:space="preserve">{ longitude: -63.6619335983379, latitude: 44.7564504870531, stopType: 'Bus Stop Accessible', gotime: \'8683\', location: \'COBEQUID RD NS OPP HILLSIDE TO SACKVILLE TERMINAL\' }, </v>
      </c>
    </row>
    <row r="1639" spans="1:12" x14ac:dyDescent="0.25">
      <c r="A1639">
        <v>-63.625879128056397</v>
      </c>
      <c r="B1639">
        <v>44.629057696222901</v>
      </c>
      <c r="C1639">
        <v>429</v>
      </c>
      <c r="D1639" t="s">
        <v>29</v>
      </c>
      <c r="E1639" t="s">
        <v>12</v>
      </c>
      <c r="F1639" t="s">
        <v>25</v>
      </c>
      <c r="G1639" t="s">
        <v>26</v>
      </c>
      <c r="H1639">
        <v>7255</v>
      </c>
      <c r="I1639" t="s">
        <v>3324</v>
      </c>
      <c r="J1639" t="s">
        <v>3325</v>
      </c>
      <c r="K1639" t="s">
        <v>17</v>
      </c>
      <c r="L1639" t="str">
        <f t="shared" si="25"/>
        <v xml:space="preserve">{ longitude: -63.6258791280564, latitude: 44.6290576962229, stopType: 'Bus Stop Accessible', gotime: \'7255\', location: \'MOUNTAIN AVE OPP  WITHROD DR\' }, </v>
      </c>
    </row>
    <row r="1640" spans="1:12" x14ac:dyDescent="0.25">
      <c r="A1640">
        <v>-63.632681544387303</v>
      </c>
      <c r="B1640">
        <v>44.658993412539999</v>
      </c>
      <c r="C1640">
        <v>1700</v>
      </c>
      <c r="D1640" t="s">
        <v>11</v>
      </c>
      <c r="E1640" t="s">
        <v>12</v>
      </c>
      <c r="F1640" t="s">
        <v>13</v>
      </c>
      <c r="G1640" t="s">
        <v>14</v>
      </c>
      <c r="H1640">
        <v>8686</v>
      </c>
      <c r="I1640" t="s">
        <v>3326</v>
      </c>
      <c r="J1640" t="s">
        <v>3327</v>
      </c>
      <c r="K1640" t="s">
        <v>17</v>
      </c>
      <c r="L1640" t="str">
        <f t="shared" si="25"/>
        <v xml:space="preserve">{ longitude: -63.6326815443873, latitude: 44.65899341254, stopType: 'Bus Stop Non-Standard', gotime: \'8686\', location: \'ALMA CR  NS TITUS ST TO VICTORIA MANOR\' }, </v>
      </c>
    </row>
    <row r="1641" spans="1:12" x14ac:dyDescent="0.25">
      <c r="A1641">
        <v>-63.518596503082598</v>
      </c>
      <c r="B1641">
        <v>44.683219647809402</v>
      </c>
      <c r="C1641">
        <v>430</v>
      </c>
      <c r="D1641" t="s">
        <v>29</v>
      </c>
      <c r="E1641" t="s">
        <v>12</v>
      </c>
      <c r="F1641" t="s">
        <v>25</v>
      </c>
      <c r="G1641" t="s">
        <v>26</v>
      </c>
      <c r="H1641">
        <v>7256</v>
      </c>
      <c r="I1641" t="s">
        <v>3328</v>
      </c>
      <c r="J1641" t="s">
        <v>3329</v>
      </c>
      <c r="K1641" t="s">
        <v>17</v>
      </c>
      <c r="L1641" t="str">
        <f t="shared" si="25"/>
        <v xml:space="preserve">{ longitude: -63.5185965030826, latitude: 44.6832196478094, stopType: 'Bus Stop Accessible', gotime: \'7256\', location: \'MT EDWARD RD AT CIVIC 84\' }, </v>
      </c>
    </row>
    <row r="1642" spans="1:12" x14ac:dyDescent="0.25">
      <c r="A1642">
        <v>-63.661489812089698</v>
      </c>
      <c r="B1642">
        <v>44.757957452882302</v>
      </c>
      <c r="C1642">
        <v>1701</v>
      </c>
      <c r="D1642" t="s">
        <v>29</v>
      </c>
      <c r="E1642" t="s">
        <v>12</v>
      </c>
      <c r="F1642" t="s">
        <v>25</v>
      </c>
      <c r="G1642" t="s">
        <v>19</v>
      </c>
      <c r="H1642">
        <v>8687</v>
      </c>
      <c r="I1642" t="s">
        <v>3330</v>
      </c>
      <c r="J1642" t="s">
        <v>3331</v>
      </c>
      <c r="K1642" t="s">
        <v>17</v>
      </c>
      <c r="L1642" t="str">
        <f t="shared" si="25"/>
        <v xml:space="preserve">{ longitude: -63.6614898120897, latitude: 44.7579574528823, stopType: 'Bus Stop Accessible', gotime: \'8687\', location: \'COBEQUID RD NS CIVIC 160 TO SACKVILLE TERMINAL\' }, </v>
      </c>
    </row>
    <row r="1643" spans="1:12" x14ac:dyDescent="0.25">
      <c r="A1643">
        <v>-63.514124097451401</v>
      </c>
      <c r="B1643">
        <v>44.6851070633669</v>
      </c>
      <c r="C1643">
        <v>431</v>
      </c>
      <c r="D1643" t="s">
        <v>29</v>
      </c>
      <c r="E1643" t="s">
        <v>12</v>
      </c>
      <c r="F1643" t="s">
        <v>25</v>
      </c>
      <c r="G1643" t="s">
        <v>26</v>
      </c>
      <c r="H1643">
        <v>7257</v>
      </c>
      <c r="I1643" t="s">
        <v>3332</v>
      </c>
      <c r="J1643" t="s">
        <v>3333</v>
      </c>
      <c r="K1643" t="s">
        <v>17</v>
      </c>
      <c r="L1643" t="str">
        <f t="shared" si="25"/>
        <v xml:space="preserve">{ longitude: -63.5141240974514, latitude: 44.6851070633669, stopType: 'Bus Stop Accessible', gotime: \'7257\', location: \'MT EDWARD RD FS CIVIC 115\' }, </v>
      </c>
    </row>
    <row r="1644" spans="1:12" x14ac:dyDescent="0.25">
      <c r="A1644">
        <v>-63.517479113212602</v>
      </c>
      <c r="B1644">
        <v>44.683651025599701</v>
      </c>
      <c r="C1644">
        <v>432</v>
      </c>
      <c r="D1644" t="s">
        <v>29</v>
      </c>
      <c r="E1644" t="s">
        <v>12</v>
      </c>
      <c r="F1644" t="s">
        <v>25</v>
      </c>
      <c r="G1644" t="s">
        <v>26</v>
      </c>
      <c r="H1644">
        <v>7258</v>
      </c>
      <c r="I1644" t="s">
        <v>3334</v>
      </c>
      <c r="J1644" t="s">
        <v>3335</v>
      </c>
      <c r="K1644" t="s">
        <v>17</v>
      </c>
      <c r="L1644" t="str">
        <f t="shared" si="25"/>
        <v xml:space="preserve">{ longitude: -63.5174791132126, latitude: 44.6836510255997, stopType: 'Bus Stop Accessible', gotime: \'7258\', location: \'MT EDWARD RD FS CIVIC 89\' }, </v>
      </c>
    </row>
    <row r="1645" spans="1:12" x14ac:dyDescent="0.25">
      <c r="A1645">
        <v>-63.6620711393699</v>
      </c>
      <c r="B1645">
        <v>44.756188797864297</v>
      </c>
      <c r="C1645">
        <v>1702</v>
      </c>
      <c r="D1645" t="s">
        <v>29</v>
      </c>
      <c r="E1645" t="s">
        <v>12</v>
      </c>
      <c r="F1645" t="s">
        <v>25</v>
      </c>
      <c r="G1645" t="s">
        <v>19</v>
      </c>
      <c r="H1645">
        <v>8688</v>
      </c>
      <c r="I1645" t="s">
        <v>3336</v>
      </c>
      <c r="J1645" t="s">
        <v>3337</v>
      </c>
      <c r="K1645" t="s">
        <v>17</v>
      </c>
      <c r="L1645" t="str">
        <f t="shared" si="25"/>
        <v xml:space="preserve">{ longitude: -63.6620711393699, latitude: 44.7561887978643, stopType: 'Bus Stop Accessible', gotime: \'8688\', location: \'COBEQUID RD NS CIVIC 112 TO SACKVILLE TERMINAL\' }, </v>
      </c>
    </row>
    <row r="1646" spans="1:12" x14ac:dyDescent="0.25">
      <c r="A1646">
        <v>-63.505365321950599</v>
      </c>
      <c r="B1646">
        <v>44.689017982937898</v>
      </c>
      <c r="C1646">
        <v>433</v>
      </c>
      <c r="D1646" t="s">
        <v>18</v>
      </c>
      <c r="E1646" t="s">
        <v>12</v>
      </c>
      <c r="F1646" t="s">
        <v>25</v>
      </c>
      <c r="G1646" t="s">
        <v>19</v>
      </c>
      <c r="H1646">
        <v>7259</v>
      </c>
      <c r="I1646" t="s">
        <v>3338</v>
      </c>
      <c r="J1646" t="s">
        <v>3339</v>
      </c>
      <c r="K1646" t="s">
        <v>17</v>
      </c>
      <c r="L1646" t="str">
        <f t="shared" si="25"/>
        <v xml:space="preserve">{ longitude: -63.5053653219506, latitude: 44.6890179829379, stopType: 'Bus Stop Shelter Non-Standard', gotime: \'7259\', location: \'MT EDWARD RD FS CRANBERRY CR\' }, </v>
      </c>
    </row>
    <row r="1647" spans="1:12" x14ac:dyDescent="0.25">
      <c r="A1647">
        <v>-63.661790179092002</v>
      </c>
      <c r="B1647">
        <v>44.755013187367503</v>
      </c>
      <c r="C1647">
        <v>1703</v>
      </c>
      <c r="D1647" t="s">
        <v>29</v>
      </c>
      <c r="E1647" t="s">
        <v>12</v>
      </c>
      <c r="F1647" t="s">
        <v>13</v>
      </c>
      <c r="G1647" t="s">
        <v>19</v>
      </c>
      <c r="H1647">
        <v>8689</v>
      </c>
      <c r="I1647" t="s">
        <v>3340</v>
      </c>
      <c r="J1647" s="1" t="s">
        <v>3341</v>
      </c>
      <c r="K1647" t="s">
        <v>17</v>
      </c>
      <c r="L1647" t="str">
        <f t="shared" si="25"/>
        <v xml:space="preserve">{ longitude: -63.661790179092, latitude: 44.7550131873675, stopType: 'Bus Stop Accessible', gotime: \'8689\', location: \'COBEQUID RD FS RAMP EXIT TO SACKVILLE TERMINAL\' }, </v>
      </c>
    </row>
    <row r="1648" spans="1:12" x14ac:dyDescent="0.25">
      <c r="A1648">
        <v>-63.589092788246198</v>
      </c>
      <c r="B1648">
        <v>44.655779529902198</v>
      </c>
      <c r="C1648">
        <v>434</v>
      </c>
      <c r="D1648" t="s">
        <v>22</v>
      </c>
      <c r="E1648" t="s">
        <v>12</v>
      </c>
      <c r="F1648" t="s">
        <v>13</v>
      </c>
      <c r="G1648" t="s">
        <v>19</v>
      </c>
      <c r="H1648">
        <v>6774</v>
      </c>
      <c r="I1648" t="s">
        <v>3342</v>
      </c>
      <c r="J1648" t="s">
        <v>3343</v>
      </c>
      <c r="K1648" t="s">
        <v>17</v>
      </c>
      <c r="L1648" t="str">
        <f t="shared" si="25"/>
        <v xml:space="preserve">{ longitude: -63.5890927882462, latitude: 44.6557795299022, stopType: 'Bus Stop Shelter Accessible', gotime: \'6774\', location: \'GOTTINGEN ST AT SUNRISE MANOR &lt;SB&gt;\' }, </v>
      </c>
    </row>
    <row r="1649" spans="1:12" x14ac:dyDescent="0.25">
      <c r="A1649">
        <v>-63.660682523401803</v>
      </c>
      <c r="B1649">
        <v>44.758466299734003</v>
      </c>
      <c r="C1649">
        <v>1704</v>
      </c>
      <c r="D1649" t="s">
        <v>29</v>
      </c>
      <c r="E1649" t="s">
        <v>12</v>
      </c>
      <c r="F1649" t="s">
        <v>13</v>
      </c>
      <c r="G1649" t="s">
        <v>19</v>
      </c>
      <c r="H1649">
        <v>8690</v>
      </c>
      <c r="I1649" t="s">
        <v>3344</v>
      </c>
      <c r="J1649" t="s">
        <v>3345</v>
      </c>
      <c r="K1649" t="s">
        <v>17</v>
      </c>
      <c r="L1649" t="str">
        <f t="shared" si="25"/>
        <v xml:space="preserve">{ longitude: -63.6606825234018, latitude: 44.758466299734, stopType: 'Bus Stop Accessible', gotime: \'8690\', location: \'COBEQUID RD FS ZINCK TO SACKVILLE TERMINAL\' }, </v>
      </c>
    </row>
    <row r="1650" spans="1:12" x14ac:dyDescent="0.25">
      <c r="A1650">
        <v>-63.586659814246403</v>
      </c>
      <c r="B1650">
        <v>44.654332465853798</v>
      </c>
      <c r="C1650">
        <v>435</v>
      </c>
      <c r="D1650" t="s">
        <v>22</v>
      </c>
      <c r="E1650" t="s">
        <v>12</v>
      </c>
      <c r="F1650" t="s">
        <v>13</v>
      </c>
      <c r="G1650" t="s">
        <v>19</v>
      </c>
      <c r="H1650">
        <v>6775</v>
      </c>
      <c r="I1650" t="s">
        <v>3346</v>
      </c>
      <c r="J1650" t="s">
        <v>3347</v>
      </c>
      <c r="K1650" t="s">
        <v>17</v>
      </c>
      <c r="L1650" t="str">
        <f t="shared" si="25"/>
        <v xml:space="preserve">{ longitude: -63.5866598142464, latitude: 44.6543324658538, stopType: 'Bus Stop Shelter Accessible', gotime: \'6775\', location: \'GOTTINGEN ST NS AHERN MANOR &lt;EB&gt;\' }, </v>
      </c>
    </row>
    <row r="1651" spans="1:12" x14ac:dyDescent="0.25">
      <c r="A1651">
        <v>-63.647364640893301</v>
      </c>
      <c r="B1651">
        <v>44.649892634672497</v>
      </c>
      <c r="C1651">
        <v>1705</v>
      </c>
      <c r="D1651" t="s">
        <v>11</v>
      </c>
      <c r="E1651" t="s">
        <v>12</v>
      </c>
      <c r="F1651" t="s">
        <v>25</v>
      </c>
      <c r="G1651" t="s">
        <v>26</v>
      </c>
      <c r="H1651">
        <v>8700</v>
      </c>
      <c r="I1651" t="s">
        <v>3348</v>
      </c>
      <c r="J1651" t="s">
        <v>3349</v>
      </c>
      <c r="K1651" t="s">
        <v>17</v>
      </c>
      <c r="L1651" t="str">
        <f t="shared" si="25"/>
        <v xml:space="preserve">{ longitude: -63.6473646408933, latitude: 44.6498926346725, stopType: 'Bus Stop Non-Standard', gotime: \'8700\', location: \'GESNER AT FAIRVIEW JUNIOR HIGH\' }, </v>
      </c>
    </row>
    <row r="1652" spans="1:12" x14ac:dyDescent="0.25">
      <c r="A1652">
        <v>-63.594882788132303</v>
      </c>
      <c r="B1652">
        <v>44.659791915967801</v>
      </c>
      <c r="C1652">
        <v>436</v>
      </c>
      <c r="D1652" t="s">
        <v>29</v>
      </c>
      <c r="E1652" t="s">
        <v>12</v>
      </c>
      <c r="F1652" t="s">
        <v>13</v>
      </c>
      <c r="G1652" t="s">
        <v>19</v>
      </c>
      <c r="H1652">
        <v>6776</v>
      </c>
      <c r="I1652" t="s">
        <v>3350</v>
      </c>
      <c r="J1652" t="s">
        <v>3351</v>
      </c>
      <c r="K1652" t="s">
        <v>17</v>
      </c>
      <c r="L1652" t="str">
        <f t="shared" si="25"/>
        <v xml:space="preserve">{ longitude: -63.5948827881323, latitude: 44.6597919159678, stopType: 'Bus Stop Accessible', gotime: \'6776\', location: \'GOTTINGEN ST &lt;FS&gt; ALMON ST\' }, </v>
      </c>
    </row>
    <row r="1653" spans="1:12" x14ac:dyDescent="0.25">
      <c r="A1653">
        <v>-63.7350786808761</v>
      </c>
      <c r="B1653">
        <v>44.7990621352509</v>
      </c>
      <c r="C1653">
        <v>1706</v>
      </c>
      <c r="D1653" t="s">
        <v>11</v>
      </c>
      <c r="E1653" t="s">
        <v>12</v>
      </c>
      <c r="F1653" t="s">
        <v>25</v>
      </c>
      <c r="G1653" t="s">
        <v>26</v>
      </c>
      <c r="H1653">
        <v>8701</v>
      </c>
      <c r="I1653" t="s">
        <v>3352</v>
      </c>
      <c r="J1653" t="s">
        <v>3353</v>
      </c>
      <c r="K1653" t="s">
        <v>17</v>
      </c>
      <c r="L1653" t="str">
        <f t="shared" si="25"/>
        <v xml:space="preserve">{ longitude: -63.7350786808761, latitude: 44.7990621352509, stopType: 'Bus Stop Non-Standard', gotime: \'8701\', location: \'SACKVILLE DR FS CIVIC 1815\' }, </v>
      </c>
    </row>
    <row r="1654" spans="1:12" x14ac:dyDescent="0.25">
      <c r="A1654">
        <v>-63.592951397571802</v>
      </c>
      <c r="B1654">
        <v>44.658452390868</v>
      </c>
      <c r="C1654">
        <v>437</v>
      </c>
      <c r="D1654" t="s">
        <v>29</v>
      </c>
      <c r="E1654" t="s">
        <v>12</v>
      </c>
      <c r="F1654" t="s">
        <v>13</v>
      </c>
      <c r="G1654" t="s">
        <v>19</v>
      </c>
      <c r="H1654">
        <v>6777</v>
      </c>
      <c r="I1654" t="s">
        <v>3354</v>
      </c>
      <c r="J1654" t="s">
        <v>3355</v>
      </c>
      <c r="K1654" t="s">
        <v>17</v>
      </c>
      <c r="L1654" t="str">
        <f t="shared" si="25"/>
        <v xml:space="preserve">{ longitude: -63.5929513975718, latitude: 44.658452390868, stopType: 'Bus Stop Accessible', gotime: \'6777\', location: \'GOTTINGEN ST NS BLACK ST &lt;SB&gt;\' }, </v>
      </c>
    </row>
    <row r="1655" spans="1:12" x14ac:dyDescent="0.25">
      <c r="A1655">
        <v>-63.479171767792302</v>
      </c>
      <c r="B1655">
        <v>44.656126823190696</v>
      </c>
      <c r="C1655">
        <v>1707</v>
      </c>
      <c r="D1655" t="s">
        <v>29</v>
      </c>
      <c r="E1655" t="s">
        <v>12</v>
      </c>
      <c r="F1655" t="s">
        <v>25</v>
      </c>
      <c r="G1655" t="s">
        <v>19</v>
      </c>
      <c r="H1655">
        <v>8702</v>
      </c>
      <c r="I1655" t="s">
        <v>3356</v>
      </c>
      <c r="J1655" t="s">
        <v>3357</v>
      </c>
      <c r="K1655" t="s">
        <v>17</v>
      </c>
      <c r="L1655" t="str">
        <f t="shared" si="25"/>
        <v xml:space="preserve">{ longitude: -63.4791717677923, latitude: 44.6561268231907, stopType: 'Bus Stop Accessible', gotime: \'8702\', location: \'ASTRAL JR HIGH SCHOOL (GREENWICH ST)\' }, </v>
      </c>
    </row>
    <row r="1656" spans="1:12" x14ac:dyDescent="0.25">
      <c r="A1656">
        <v>-63.5246012999825</v>
      </c>
      <c r="B1656">
        <v>44.680202191096797</v>
      </c>
      <c r="C1656">
        <v>438</v>
      </c>
      <c r="D1656" t="s">
        <v>29</v>
      </c>
      <c r="E1656" t="s">
        <v>12</v>
      </c>
      <c r="F1656" t="s">
        <v>25</v>
      </c>
      <c r="G1656" t="s">
        <v>26</v>
      </c>
      <c r="H1656">
        <v>7261</v>
      </c>
      <c r="I1656" t="s">
        <v>3358</v>
      </c>
      <c r="J1656" t="s">
        <v>3359</v>
      </c>
      <c r="K1656" t="s">
        <v>17</v>
      </c>
      <c r="L1656" t="str">
        <f t="shared" si="25"/>
        <v xml:space="preserve">{ longitude: -63.5246012999825, latitude: 44.6802021910968, stopType: 'Bus Stop Accessible', gotime: \'7261\', location: \'MT EDWARD RD AT CIVIC 16\' }, </v>
      </c>
    </row>
    <row r="1657" spans="1:12" x14ac:dyDescent="0.25">
      <c r="A1657">
        <v>-63.663943785962303</v>
      </c>
      <c r="B1657">
        <v>44.656018054593503</v>
      </c>
      <c r="C1657">
        <v>1708</v>
      </c>
      <c r="D1657" t="s">
        <v>11</v>
      </c>
      <c r="E1657" t="s">
        <v>12</v>
      </c>
      <c r="F1657" t="s">
        <v>25</v>
      </c>
      <c r="G1657" t="s">
        <v>26</v>
      </c>
      <c r="H1657">
        <v>8703</v>
      </c>
      <c r="I1657" t="s">
        <v>3360</v>
      </c>
      <c r="J1657" t="s">
        <v>3361</v>
      </c>
      <c r="K1657" t="s">
        <v>17</v>
      </c>
      <c r="L1657" t="str">
        <f t="shared" si="25"/>
        <v xml:space="preserve">{ longitude: -63.6639437859623, latitude: 44.6560180545935, stopType: 'Bus Stop Non-Standard', gotime: \'8703\', location: \'HALIFAX WEST HIGH SCHOOL\' }, </v>
      </c>
    </row>
    <row r="1658" spans="1:12" x14ac:dyDescent="0.25">
      <c r="A1658">
        <v>-63.507220051902998</v>
      </c>
      <c r="B1658">
        <v>44.688269147205901</v>
      </c>
      <c r="C1658">
        <v>439</v>
      </c>
      <c r="D1658" t="s">
        <v>29</v>
      </c>
      <c r="E1658" t="s">
        <v>12</v>
      </c>
      <c r="F1658" t="s">
        <v>25</v>
      </c>
      <c r="G1658" t="s">
        <v>26</v>
      </c>
      <c r="H1658">
        <v>7262</v>
      </c>
      <c r="I1658" t="s">
        <v>3362</v>
      </c>
      <c r="J1658" t="s">
        <v>3363</v>
      </c>
      <c r="K1658" t="s">
        <v>17</v>
      </c>
      <c r="L1658" t="str">
        <f t="shared" si="25"/>
        <v xml:space="preserve">{ longitude: -63.507220051903, latitude: 44.6882691472059, stopType: 'Bus Stop Accessible', gotime: \'7262\', location: \'MT EDWARD RD NS CIVIC 195\' }, </v>
      </c>
    </row>
    <row r="1659" spans="1:12" x14ac:dyDescent="0.25">
      <c r="A1659">
        <v>-63.661088277896802</v>
      </c>
      <c r="B1659">
        <v>44.681781370148897</v>
      </c>
      <c r="C1659">
        <v>1709</v>
      </c>
      <c r="D1659" t="s">
        <v>29</v>
      </c>
      <c r="E1659" t="s">
        <v>12</v>
      </c>
      <c r="F1659" t="s">
        <v>25</v>
      </c>
      <c r="G1659" t="s">
        <v>19</v>
      </c>
      <c r="H1659">
        <v>8706</v>
      </c>
      <c r="I1659" t="s">
        <v>3364</v>
      </c>
      <c r="J1659" t="s">
        <v>3365</v>
      </c>
      <c r="K1659" t="s">
        <v>17</v>
      </c>
      <c r="L1659" t="str">
        <f t="shared" si="25"/>
        <v xml:space="preserve">{ longitude: -63.6610882778968, latitude: 44.6817813701489, stopType: 'Bus Stop Accessible', gotime: \'8706\', location: \'KEARNY LAKE RD OPP ST PETERS CHURCH\' }, </v>
      </c>
    </row>
    <row r="1660" spans="1:12" x14ac:dyDescent="0.25">
      <c r="A1660">
        <v>-63.521292110175096</v>
      </c>
      <c r="B1660">
        <v>44.681955822460701</v>
      </c>
      <c r="C1660">
        <v>440</v>
      </c>
      <c r="D1660" t="s">
        <v>29</v>
      </c>
      <c r="E1660" t="s">
        <v>12</v>
      </c>
      <c r="F1660" t="s">
        <v>25</v>
      </c>
      <c r="G1660" t="s">
        <v>26</v>
      </c>
      <c r="H1660">
        <v>7263</v>
      </c>
      <c r="I1660" t="s">
        <v>3366</v>
      </c>
      <c r="J1660" t="s">
        <v>3367</v>
      </c>
      <c r="K1660" t="s">
        <v>17</v>
      </c>
      <c r="L1660" t="str">
        <f t="shared" si="25"/>
        <v xml:space="preserve">{ longitude: -63.5212921101751, latitude: 44.6819558224607, stopType: 'Bus Stop Accessible', gotime: \'7263\', location: \'MT EDWARD RD NS CIVIC 58\' }, </v>
      </c>
    </row>
    <row r="1661" spans="1:12" x14ac:dyDescent="0.25">
      <c r="A1661">
        <v>-63.643086183037603</v>
      </c>
      <c r="B1661">
        <v>44.661327926064402</v>
      </c>
      <c r="C1661">
        <v>1710</v>
      </c>
      <c r="D1661" t="s">
        <v>29</v>
      </c>
      <c r="E1661" t="s">
        <v>12</v>
      </c>
      <c r="F1661" t="s">
        <v>13</v>
      </c>
      <c r="G1661" t="s">
        <v>19</v>
      </c>
      <c r="H1661">
        <v>8708</v>
      </c>
      <c r="I1661" t="s">
        <v>3368</v>
      </c>
      <c r="J1661" t="s">
        <v>3369</v>
      </c>
      <c r="K1661" t="s">
        <v>17</v>
      </c>
      <c r="L1661" t="str">
        <f t="shared" si="25"/>
        <v xml:space="preserve">{ longitude: -63.6430861830376, latitude: 44.6613279260644, stopType: 'Bus Stop Accessible', gotime: \'8708\', location: \'CLAYTON PARK JUNIOR HIGH\' }, </v>
      </c>
    </row>
    <row r="1662" spans="1:12" x14ac:dyDescent="0.25">
      <c r="A1662">
        <v>-63.592014882125497</v>
      </c>
      <c r="B1662">
        <v>44.691260750268199</v>
      </c>
      <c r="C1662">
        <v>1711</v>
      </c>
      <c r="D1662" t="s">
        <v>29</v>
      </c>
      <c r="E1662" t="s">
        <v>12</v>
      </c>
      <c r="F1662" t="s">
        <v>25</v>
      </c>
      <c r="G1662" t="s">
        <v>19</v>
      </c>
      <c r="H1662">
        <v>8709</v>
      </c>
      <c r="I1662" t="s">
        <v>3370</v>
      </c>
      <c r="J1662" t="s">
        <v>3371</v>
      </c>
      <c r="K1662" t="s">
        <v>17</v>
      </c>
      <c r="L1662" t="str">
        <f t="shared" si="25"/>
        <v xml:space="preserve">{ longitude: -63.5920148821255, latitude: 44.6912607502682, stopType: 'Bus Stop Accessible', gotime: \'8709\', location: \'THORNHILL DR AT THORNHILL  GARAGE\' }, </v>
      </c>
    </row>
    <row r="1663" spans="1:12" x14ac:dyDescent="0.25">
      <c r="A1663">
        <v>-63.678888788420601</v>
      </c>
      <c r="B1663">
        <v>44.777145006466597</v>
      </c>
      <c r="C1663">
        <v>441</v>
      </c>
      <c r="D1663" t="s">
        <v>11</v>
      </c>
      <c r="E1663" t="s">
        <v>12</v>
      </c>
      <c r="F1663" t="s">
        <v>25</v>
      </c>
      <c r="G1663" t="s">
        <v>26</v>
      </c>
      <c r="H1663">
        <v>6753</v>
      </c>
      <c r="I1663" t="s">
        <v>3372</v>
      </c>
      <c r="J1663" t="s">
        <v>3373</v>
      </c>
      <c r="K1663" t="s">
        <v>17</v>
      </c>
      <c r="L1663" t="str">
        <f t="shared" si="25"/>
        <v xml:space="preserve">{ longitude: -63.6788887884206, latitude: 44.7771450064666, stopType: 'Bus Stop Non-Standard', gotime: \'6753\', location: \'GLENDALE DR NS METROPOLITAN AVE\' }, </v>
      </c>
    </row>
    <row r="1664" spans="1:12" x14ac:dyDescent="0.25">
      <c r="A1664">
        <v>-63.565791097111799</v>
      </c>
      <c r="B1664">
        <v>44.637951287448402</v>
      </c>
      <c r="C1664">
        <v>1712</v>
      </c>
      <c r="D1664" t="s">
        <v>29</v>
      </c>
      <c r="E1664" t="s">
        <v>12</v>
      </c>
      <c r="F1664" t="s">
        <v>13</v>
      </c>
      <c r="G1664" t="s">
        <v>19</v>
      </c>
      <c r="H1664">
        <v>8711</v>
      </c>
      <c r="I1664" t="s">
        <v>3374</v>
      </c>
      <c r="J1664" t="s">
        <v>3375</v>
      </c>
      <c r="K1664" t="s">
        <v>17</v>
      </c>
      <c r="L1664" t="str">
        <f t="shared" si="25"/>
        <v xml:space="preserve">{ longitude: -63.5657910971118, latitude: 44.6379512874484, stopType: 'Bus Stop Accessible', gotime: \'8711\', location: \'PIER 21 (FRED)\' }, </v>
      </c>
    </row>
    <row r="1665" spans="1:12" x14ac:dyDescent="0.25">
      <c r="A1665">
        <v>-63.676963408833799</v>
      </c>
      <c r="B1665">
        <v>44.775919623803503</v>
      </c>
      <c r="C1665">
        <v>442</v>
      </c>
      <c r="D1665" t="s">
        <v>29</v>
      </c>
      <c r="E1665" t="s">
        <v>12</v>
      </c>
      <c r="F1665" t="s">
        <v>13</v>
      </c>
      <c r="G1665" t="s">
        <v>14</v>
      </c>
      <c r="H1665">
        <v>6754</v>
      </c>
      <c r="I1665" t="s">
        <v>3372</v>
      </c>
      <c r="J1665" t="s">
        <v>3376</v>
      </c>
      <c r="K1665" t="s">
        <v>17</v>
      </c>
      <c r="L1665" t="str">
        <f t="shared" si="25"/>
        <v xml:space="preserve">{ longitude: -63.6769634088338, latitude: 44.7759196238035, stopType: 'Bus Stop Accessible', gotime: \'6754\', location: \'GLENDALE DR NS METROPOLITAN AVE\' }, </v>
      </c>
    </row>
    <row r="1666" spans="1:12" x14ac:dyDescent="0.25">
      <c r="A1666">
        <v>-63.602557634200203</v>
      </c>
      <c r="B1666">
        <v>44.621262972703803</v>
      </c>
      <c r="C1666">
        <v>1713</v>
      </c>
      <c r="D1666" t="s">
        <v>29</v>
      </c>
      <c r="E1666" t="s">
        <v>12</v>
      </c>
      <c r="F1666" t="s">
        <v>25</v>
      </c>
      <c r="G1666" t="s">
        <v>19</v>
      </c>
      <c r="H1666">
        <v>8799</v>
      </c>
      <c r="I1666" t="s">
        <v>3377</v>
      </c>
      <c r="J1666" t="s">
        <v>3378</v>
      </c>
      <c r="K1666" t="s">
        <v>17</v>
      </c>
      <c r="L1666" t="str">
        <f t="shared" si="25"/>
        <v xml:space="preserve">{ longitude: -63.6025576342002, latitude: 44.6212629727038, stopType: 'Bus Stop Accessible', gotime: \'8799\', location: \'CUNARD JR HIGH\' }, </v>
      </c>
    </row>
    <row r="1667" spans="1:12" x14ac:dyDescent="0.25">
      <c r="A1667">
        <v>-63.6907483494197</v>
      </c>
      <c r="B1667">
        <v>44.782017433641997</v>
      </c>
      <c r="C1667">
        <v>443</v>
      </c>
      <c r="D1667" t="s">
        <v>11</v>
      </c>
      <c r="E1667" t="s">
        <v>12</v>
      </c>
      <c r="F1667" t="s">
        <v>25</v>
      </c>
      <c r="G1667" t="s">
        <v>26</v>
      </c>
      <c r="H1667">
        <v>6755</v>
      </c>
      <c r="I1667" t="s">
        <v>3379</v>
      </c>
      <c r="J1667" t="s">
        <v>3380</v>
      </c>
      <c r="K1667" t="s">
        <v>17</v>
      </c>
      <c r="L1667" t="str">
        <f t="shared" ref="L1667:L1730" si="26">CONCATENATE( "{ longitude: ", A1667, ", latitude: ", B1667, ", stopType: '", D1667, "', gotime: \'", H1667, "\', location: \'", I1667, "\' }, ")</f>
        <v xml:space="preserve">{ longitude: -63.6907483494197, latitude: 44.782017433642, stopType: 'Bus Stop Non-Standard', gotime: \'6755\', location: \'GLENDALE DR NS OLD BEAVERBANK RD\' }, </v>
      </c>
    </row>
    <row r="1668" spans="1:12" x14ac:dyDescent="0.25">
      <c r="A1668">
        <v>-63.628442645335703</v>
      </c>
      <c r="B1668">
        <v>44.636295124763201</v>
      </c>
      <c r="C1668">
        <v>1714</v>
      </c>
      <c r="D1668" t="s">
        <v>11</v>
      </c>
      <c r="E1668" t="s">
        <v>12</v>
      </c>
      <c r="F1668" t="s">
        <v>25</v>
      </c>
      <c r="G1668" t="s">
        <v>26</v>
      </c>
      <c r="H1668">
        <v>6662</v>
      </c>
      <c r="I1668" t="s">
        <v>3381</v>
      </c>
      <c r="J1668" t="s">
        <v>3382</v>
      </c>
      <c r="K1668" t="s">
        <v>17</v>
      </c>
      <c r="L1668" t="str">
        <f t="shared" si="26"/>
        <v xml:space="preserve">{ longitude: -63.6284426453357, latitude: 44.6362951247632, stopType: 'Bus Stop Non-Standard', gotime: \'6662\', location: \'FENWOOD RD AT CIVIC 23\' }, </v>
      </c>
    </row>
    <row r="1669" spans="1:12" x14ac:dyDescent="0.25">
      <c r="A1669">
        <v>-63.672367607049502</v>
      </c>
      <c r="B1669">
        <v>44.7701682566004</v>
      </c>
      <c r="C1669">
        <v>444</v>
      </c>
      <c r="D1669" t="s">
        <v>29</v>
      </c>
      <c r="E1669" t="s">
        <v>12</v>
      </c>
      <c r="F1669" t="s">
        <v>25</v>
      </c>
      <c r="G1669" t="s">
        <v>26</v>
      </c>
      <c r="H1669">
        <v>6756</v>
      </c>
      <c r="I1669" t="s">
        <v>3383</v>
      </c>
      <c r="J1669" t="s">
        <v>3384</v>
      </c>
      <c r="K1669" t="s">
        <v>17</v>
      </c>
      <c r="L1669" t="str">
        <f t="shared" si="26"/>
        <v xml:space="preserve">{ longitude: -63.6723676070495, latitude: 44.7701682566004, stopType: 'Bus Stop Accessible', gotime: \'6756\', location: \'GLENDALE DR NS PINEHILL DR\' }, </v>
      </c>
    </row>
    <row r="1670" spans="1:12" x14ac:dyDescent="0.25">
      <c r="A1670">
        <v>-63.626619240174698</v>
      </c>
      <c r="B1670">
        <v>44.636011200819603</v>
      </c>
      <c r="C1670">
        <v>1715</v>
      </c>
      <c r="D1670" t="s">
        <v>11</v>
      </c>
      <c r="E1670" t="s">
        <v>12</v>
      </c>
      <c r="F1670" t="s">
        <v>25</v>
      </c>
      <c r="G1670" t="s">
        <v>26</v>
      </c>
      <c r="H1670">
        <v>6663</v>
      </c>
      <c r="I1670" t="s">
        <v>3385</v>
      </c>
      <c r="J1670" t="s">
        <v>3386</v>
      </c>
      <c r="K1670" t="s">
        <v>17</v>
      </c>
      <c r="L1670" t="str">
        <f t="shared" si="26"/>
        <v xml:space="preserve">{ longitude: -63.6266192401747, latitude: 44.6360112008196, stopType: 'Bus Stop Non-Standard', gotime: \'6663\', location: \'FENWOOD RD NS EDGEHILL RD\' }, </v>
      </c>
    </row>
    <row r="1671" spans="1:12" x14ac:dyDescent="0.25">
      <c r="A1671">
        <v>-63.681344435661899</v>
      </c>
      <c r="B1671">
        <v>44.778620567206303</v>
      </c>
      <c r="C1671">
        <v>445</v>
      </c>
      <c r="D1671" t="s">
        <v>29</v>
      </c>
      <c r="E1671" t="s">
        <v>12</v>
      </c>
      <c r="F1671" t="s">
        <v>25</v>
      </c>
      <c r="G1671" t="s">
        <v>26</v>
      </c>
      <c r="H1671">
        <v>6757</v>
      </c>
      <c r="I1671" t="s">
        <v>3387</v>
      </c>
      <c r="J1671" t="s">
        <v>3388</v>
      </c>
      <c r="K1671" t="s">
        <v>17</v>
      </c>
      <c r="L1671" t="str">
        <f t="shared" si="26"/>
        <v xml:space="preserve">{ longitude: -63.6813444356619, latitude: 44.7786205672063, stopType: 'Bus Stop Accessible', gotime: \'6757\', location: \'GLENDALE DR NS RIVERSIDE DR\' }, </v>
      </c>
    </row>
    <row r="1672" spans="1:12" x14ac:dyDescent="0.25">
      <c r="A1672">
        <v>-63.684433841564797</v>
      </c>
      <c r="B1672">
        <v>44.779543439268302</v>
      </c>
      <c r="C1672">
        <v>446</v>
      </c>
      <c r="D1672" t="s">
        <v>18</v>
      </c>
      <c r="E1672" t="s">
        <v>12</v>
      </c>
      <c r="F1672" t="s">
        <v>13</v>
      </c>
      <c r="G1672" t="s">
        <v>19</v>
      </c>
      <c r="H1672">
        <v>6758</v>
      </c>
      <c r="I1672" t="s">
        <v>3389</v>
      </c>
      <c r="J1672" t="s">
        <v>3390</v>
      </c>
      <c r="K1672" t="s">
        <v>17</v>
      </c>
      <c r="L1672" t="str">
        <f t="shared" si="26"/>
        <v xml:space="preserve">{ longitude: -63.6844338415648, latitude: 44.7795434392683, stopType: 'Bus Stop Shelter Non-Standard', gotime: \'6758\', location: \'GLENDALE DR OPP RANKIN DR\' }, </v>
      </c>
    </row>
    <row r="1673" spans="1:12" x14ac:dyDescent="0.25">
      <c r="A1673">
        <v>-63.648255944134299</v>
      </c>
      <c r="B1673">
        <v>44.656648838753497</v>
      </c>
      <c r="C1673">
        <v>447</v>
      </c>
      <c r="D1673" t="s">
        <v>18</v>
      </c>
      <c r="E1673" t="s">
        <v>12</v>
      </c>
      <c r="F1673" t="s">
        <v>13</v>
      </c>
      <c r="G1673" t="s">
        <v>14</v>
      </c>
      <c r="H1673">
        <v>6759</v>
      </c>
      <c r="I1673" t="s">
        <v>3391</v>
      </c>
      <c r="J1673" t="s">
        <v>3392</v>
      </c>
      <c r="K1673" t="s">
        <v>17</v>
      </c>
      <c r="L1673" t="str">
        <f t="shared" si="26"/>
        <v xml:space="preserve">{ longitude: -63.6482559441343, latitude: 44.6566488387535, stopType: 'Bus Stop Shelter Non-Standard', gotime: \'6759\', location: \'GLENFOREST DR FS WILLET ST\' }, </v>
      </c>
    </row>
    <row r="1674" spans="1:12" x14ac:dyDescent="0.25">
      <c r="A1674">
        <v>-63.490437968557799</v>
      </c>
      <c r="B1674">
        <v>44.672950206094001</v>
      </c>
      <c r="C1674">
        <v>1716</v>
      </c>
      <c r="D1674" t="s">
        <v>29</v>
      </c>
      <c r="E1674" t="s">
        <v>12</v>
      </c>
      <c r="F1674" t="s">
        <v>13</v>
      </c>
      <c r="G1674" t="s">
        <v>14</v>
      </c>
      <c r="H1674">
        <v>6664</v>
      </c>
      <c r="I1674" t="s">
        <v>3393</v>
      </c>
      <c r="J1674" t="s">
        <v>3394</v>
      </c>
      <c r="K1674" t="s">
        <v>17</v>
      </c>
      <c r="L1674" t="str">
        <f t="shared" si="26"/>
        <v xml:space="preserve">{ longitude: -63.4904379685578, latitude: 44.672950206094, stopType: 'Bus Stop Accessible', gotime: \'6664\', location: \'FHP FS WOODBURY APT\' }, </v>
      </c>
    </row>
    <row r="1675" spans="1:12" x14ac:dyDescent="0.25">
      <c r="A1675">
        <v>-63.639707597157603</v>
      </c>
      <c r="B1675">
        <v>44.659783726555602</v>
      </c>
      <c r="C1675">
        <v>448</v>
      </c>
      <c r="D1675" t="s">
        <v>29</v>
      </c>
      <c r="E1675" t="s">
        <v>12</v>
      </c>
      <c r="F1675" t="s">
        <v>13</v>
      </c>
      <c r="G1675" t="s">
        <v>14</v>
      </c>
      <c r="H1675">
        <v>6760</v>
      </c>
      <c r="I1675" t="s">
        <v>3395</v>
      </c>
      <c r="J1675" t="s">
        <v>3396</v>
      </c>
      <c r="K1675" t="s">
        <v>17</v>
      </c>
      <c r="L1675" t="str">
        <f t="shared" si="26"/>
        <v xml:space="preserve">{ longitude: -63.6397075971576, latitude: 44.6597837265556, stopType: 'Bus Stop Accessible', gotime: \'6760\', location: \'GLENFOREST DR FS OPP EVANS AVE\' }, </v>
      </c>
    </row>
    <row r="1676" spans="1:12" x14ac:dyDescent="0.25">
      <c r="A1676">
        <v>-63.491762136216401</v>
      </c>
      <c r="B1676">
        <v>44.677075409097398</v>
      </c>
      <c r="C1676">
        <v>1717</v>
      </c>
      <c r="D1676" t="s">
        <v>11</v>
      </c>
      <c r="E1676" t="s">
        <v>12</v>
      </c>
      <c r="F1676" t="s">
        <v>13</v>
      </c>
      <c r="G1676" t="s">
        <v>14</v>
      </c>
      <c r="H1676">
        <v>6665</v>
      </c>
      <c r="I1676" t="s">
        <v>3397</v>
      </c>
      <c r="J1676" t="s">
        <v>3398</v>
      </c>
      <c r="K1676" t="s">
        <v>17</v>
      </c>
      <c r="L1676" t="str">
        <f t="shared" si="26"/>
        <v xml:space="preserve">{ longitude: -63.4917621362164, latitude: 44.6770754090974, stopType: 'Bus Stop Non-Standard', gotime: \'6665\', location: \'FHP FS CIRCASSION DR\' }, </v>
      </c>
    </row>
    <row r="1677" spans="1:12" x14ac:dyDescent="0.25">
      <c r="A1677">
        <v>-63.639845629161996</v>
      </c>
      <c r="B1677">
        <v>44.659624660660398</v>
      </c>
      <c r="C1677">
        <v>449</v>
      </c>
      <c r="D1677" t="s">
        <v>22</v>
      </c>
      <c r="E1677" t="s">
        <v>12</v>
      </c>
      <c r="F1677" t="s">
        <v>13</v>
      </c>
      <c r="G1677" t="s">
        <v>14</v>
      </c>
      <c r="H1677">
        <v>6761</v>
      </c>
      <c r="I1677" t="s">
        <v>3399</v>
      </c>
      <c r="J1677" t="s">
        <v>3400</v>
      </c>
      <c r="K1677" t="s">
        <v>17</v>
      </c>
      <c r="L1677" t="str">
        <f t="shared" si="26"/>
        <v xml:space="preserve">{ longitude: -63.639845629162, latitude: 44.6596246606604, stopType: 'Bus Stop Shelter Accessible', gotime: \'6761\', location: \'GLENFOREST DR NS EVANS AVE\' }, </v>
      </c>
    </row>
    <row r="1678" spans="1:12" x14ac:dyDescent="0.25">
      <c r="A1678">
        <v>-63.646218570971101</v>
      </c>
      <c r="B1678">
        <v>44.657354236018001</v>
      </c>
      <c r="C1678">
        <v>450</v>
      </c>
      <c r="D1678" t="s">
        <v>29</v>
      </c>
      <c r="E1678" t="s">
        <v>12</v>
      </c>
      <c r="F1678" t="s">
        <v>13</v>
      </c>
      <c r="G1678" t="s">
        <v>14</v>
      </c>
      <c r="H1678">
        <v>6762</v>
      </c>
      <c r="I1678" t="s">
        <v>3401</v>
      </c>
      <c r="J1678" t="s">
        <v>3402</v>
      </c>
      <c r="K1678" t="s">
        <v>17</v>
      </c>
      <c r="L1678" t="str">
        <f t="shared" si="26"/>
        <v xml:space="preserve">{ longitude: -63.6462185709711, latitude: 44.657354236018, stopType: 'Bus Stop Accessible', gotime: \'6762\', location: \'GLENFOREST DR NS HILLWOOD CR\' }, </v>
      </c>
    </row>
    <row r="1679" spans="1:12" x14ac:dyDescent="0.25">
      <c r="A1679">
        <v>-63.491348029971498</v>
      </c>
      <c r="B1679">
        <v>44.681074287299801</v>
      </c>
      <c r="C1679">
        <v>1718</v>
      </c>
      <c r="D1679" t="s">
        <v>11</v>
      </c>
      <c r="E1679" t="s">
        <v>12</v>
      </c>
      <c r="F1679" t="s">
        <v>25</v>
      </c>
      <c r="G1679" t="s">
        <v>26</v>
      </c>
      <c r="H1679">
        <v>6666</v>
      </c>
      <c r="I1679" t="s">
        <v>3403</v>
      </c>
      <c r="J1679" t="s">
        <v>3404</v>
      </c>
      <c r="K1679" t="s">
        <v>17</v>
      </c>
      <c r="L1679" t="str">
        <f t="shared" si="26"/>
        <v xml:space="preserve">{ longitude: -63.4913480299715, latitude: 44.6810742872998, stopType: 'Bus Stop Non-Standard', gotime: \'6666\', location: \'FHP NS 2ND CHAMEAU CR\' }, </v>
      </c>
    </row>
    <row r="1680" spans="1:12" x14ac:dyDescent="0.25">
      <c r="A1680">
        <v>-63.643504421563101</v>
      </c>
      <c r="B1680">
        <v>44.6587781035009</v>
      </c>
      <c r="C1680">
        <v>451</v>
      </c>
      <c r="D1680" t="s">
        <v>29</v>
      </c>
      <c r="E1680" t="s">
        <v>12</v>
      </c>
      <c r="F1680" t="s">
        <v>13</v>
      </c>
      <c r="G1680" t="s">
        <v>14</v>
      </c>
      <c r="H1680">
        <v>6763</v>
      </c>
      <c r="I1680" t="s">
        <v>3405</v>
      </c>
      <c r="J1680" t="s">
        <v>3406</v>
      </c>
      <c r="K1680" t="s">
        <v>17</v>
      </c>
      <c r="L1680" t="str">
        <f t="shared" si="26"/>
        <v xml:space="preserve">{ longitude: -63.6435044215631, latitude: 44.6587781035009, stopType: 'Bus Stop Accessible', gotime: \'6763\', location: \'GLENFOREST DR NS SOUTHILL DR\' }, </v>
      </c>
    </row>
    <row r="1681" spans="1:12" x14ac:dyDescent="0.25">
      <c r="A1681">
        <v>-63.490974264857499</v>
      </c>
      <c r="B1681">
        <v>44.6735382183101</v>
      </c>
      <c r="C1681">
        <v>1719</v>
      </c>
      <c r="D1681" t="s">
        <v>29</v>
      </c>
      <c r="E1681" t="s">
        <v>12</v>
      </c>
      <c r="F1681" t="s">
        <v>25</v>
      </c>
      <c r="G1681" t="s">
        <v>26</v>
      </c>
      <c r="H1681">
        <v>6667</v>
      </c>
      <c r="I1681" t="s">
        <v>3407</v>
      </c>
      <c r="J1681" t="s">
        <v>3408</v>
      </c>
      <c r="K1681" t="s">
        <v>17</v>
      </c>
      <c r="L1681" t="str">
        <f t="shared" si="26"/>
        <v xml:space="preserve">{ longitude: -63.4909742648575, latitude: 44.6735382183101, stopType: 'Bus Stop Accessible', gotime: \'6667\', location: \'FHP FS SHOPPING CNTR\' }, </v>
      </c>
    </row>
    <row r="1682" spans="1:12" x14ac:dyDescent="0.25">
      <c r="A1682">
        <v>-63.643572895722897</v>
      </c>
      <c r="B1682">
        <v>44.658597901934797</v>
      </c>
      <c r="C1682">
        <v>452</v>
      </c>
      <c r="D1682" t="s">
        <v>22</v>
      </c>
      <c r="E1682" t="s">
        <v>12</v>
      </c>
      <c r="F1682" t="s">
        <v>13</v>
      </c>
      <c r="G1682" t="s">
        <v>14</v>
      </c>
      <c r="H1682">
        <v>6764</v>
      </c>
      <c r="I1682" t="s">
        <v>3409</v>
      </c>
      <c r="J1682" t="s">
        <v>3410</v>
      </c>
      <c r="K1682" t="s">
        <v>17</v>
      </c>
      <c r="L1682" t="str">
        <f t="shared" si="26"/>
        <v xml:space="preserve">{ longitude: -63.6435728957229, latitude: 44.6585979019348, stopType: 'Bus Stop Shelter Accessible', gotime: \'6764\', location: \'GLENFOREST DR OPP SOUTHILL DR\' }, </v>
      </c>
    </row>
    <row r="1683" spans="1:12" x14ac:dyDescent="0.25">
      <c r="A1683">
        <v>-63.492323001633203</v>
      </c>
      <c r="B1683">
        <v>44.688138667678402</v>
      </c>
      <c r="C1683">
        <v>1720</v>
      </c>
      <c r="D1683" t="s">
        <v>103</v>
      </c>
      <c r="E1683" t="s">
        <v>12</v>
      </c>
      <c r="F1683" t="s">
        <v>25</v>
      </c>
      <c r="G1683" t="s">
        <v>65</v>
      </c>
      <c r="H1683">
        <v>6668</v>
      </c>
      <c r="I1683" t="s">
        <v>3411</v>
      </c>
      <c r="J1683" t="s">
        <v>3412</v>
      </c>
      <c r="K1683" t="s">
        <v>17</v>
      </c>
      <c r="L1683" t="str">
        <f t="shared" si="26"/>
        <v xml:space="preserve">{ longitude: -63.4923230016332, latitude: 44.6881386676784, stopType: 'Bus Stop Inaccessible', gotime: \'6668\', location: \'FHP AT BELL ANNEX\' }, </v>
      </c>
    </row>
    <row r="1684" spans="1:12" x14ac:dyDescent="0.25">
      <c r="A1684">
        <v>-63.583150886599199</v>
      </c>
      <c r="B1684">
        <v>44.718098981091799</v>
      </c>
      <c r="C1684">
        <v>453</v>
      </c>
      <c r="D1684" t="s">
        <v>11</v>
      </c>
      <c r="E1684" t="s">
        <v>12</v>
      </c>
      <c r="F1684" t="s">
        <v>25</v>
      </c>
      <c r="G1684" t="s">
        <v>26</v>
      </c>
      <c r="H1684">
        <v>6765</v>
      </c>
      <c r="I1684" t="s">
        <v>3413</v>
      </c>
      <c r="J1684" t="s">
        <v>3414</v>
      </c>
      <c r="K1684" t="s">
        <v>17</v>
      </c>
      <c r="L1684" t="str">
        <f t="shared" si="26"/>
        <v xml:space="preserve">{ longitude: -63.5831508865992, latitude: 44.7180989810918, stopType: 'Bus Stop Non-Standard', gotime: \'6765\', location: \'GLORIA MCCLUSKEY AVE FS AKERLEY BLVD\' }, </v>
      </c>
    </row>
    <row r="1685" spans="1:12" x14ac:dyDescent="0.25">
      <c r="A1685">
        <v>-63.490884020538097</v>
      </c>
      <c r="B1685">
        <v>44.6838241004263</v>
      </c>
      <c r="C1685">
        <v>1721</v>
      </c>
      <c r="D1685" t="s">
        <v>11</v>
      </c>
      <c r="E1685" t="s">
        <v>12</v>
      </c>
      <c r="F1685" t="s">
        <v>25</v>
      </c>
      <c r="G1685" t="s">
        <v>26</v>
      </c>
      <c r="H1685">
        <v>6669</v>
      </c>
      <c r="I1685" t="s">
        <v>3415</v>
      </c>
      <c r="J1685" t="s">
        <v>3416</v>
      </c>
      <c r="K1685" t="s">
        <v>17</v>
      </c>
      <c r="L1685" t="str">
        <f t="shared" si="26"/>
        <v xml:space="preserve">{ longitude: -63.4908840205381, latitude: 44.6838241004263, stopType: 'Bus Stop Non-Standard', gotime: \'6669\', location: \'FHP AT COLE HARBOUR PLACE\' }, </v>
      </c>
    </row>
    <row r="1686" spans="1:12" x14ac:dyDescent="0.25">
      <c r="A1686">
        <v>-63.586454582567001</v>
      </c>
      <c r="B1686">
        <v>44.719916389632701</v>
      </c>
      <c r="C1686">
        <v>454</v>
      </c>
      <c r="D1686" t="s">
        <v>11</v>
      </c>
      <c r="E1686" t="s">
        <v>12</v>
      </c>
      <c r="F1686" t="s">
        <v>25</v>
      </c>
      <c r="G1686" t="s">
        <v>26</v>
      </c>
      <c r="H1686">
        <v>6766</v>
      </c>
      <c r="I1686" t="s">
        <v>3417</v>
      </c>
      <c r="J1686" t="s">
        <v>3418</v>
      </c>
      <c r="K1686" t="s">
        <v>17</v>
      </c>
      <c r="L1686" t="str">
        <f t="shared" si="26"/>
        <v xml:space="preserve">{ longitude: -63.586454582567, latitude: 44.7199163896327, stopType: 'Bus Stop Non-Standard', gotime: \'6766\', location: \'GLORIA MCCLUSKEY AVE FS CIVIC 80\' }, </v>
      </c>
    </row>
    <row r="1687" spans="1:12" x14ac:dyDescent="0.25">
      <c r="A1687">
        <v>-63.4920585064988</v>
      </c>
      <c r="B1687">
        <v>44.677201681509104</v>
      </c>
      <c r="C1687">
        <v>1722</v>
      </c>
      <c r="D1687" t="s">
        <v>103</v>
      </c>
      <c r="E1687" t="s">
        <v>12</v>
      </c>
      <c r="F1687" t="s">
        <v>25</v>
      </c>
      <c r="G1687" t="s">
        <v>65</v>
      </c>
      <c r="H1687">
        <v>6670</v>
      </c>
      <c r="I1687" t="s">
        <v>3419</v>
      </c>
      <c r="J1687" t="s">
        <v>3420</v>
      </c>
      <c r="K1687" t="s">
        <v>17</v>
      </c>
      <c r="L1687" t="str">
        <f t="shared" si="26"/>
        <v xml:space="preserve">{ longitude: -63.4920585064988, latitude: 44.6772016815091, stopType: 'Bus Stop Inaccessible', gotime: \'6670\', location: \'FHP NS CIRCASSION DR\' }, </v>
      </c>
    </row>
    <row r="1688" spans="1:12" x14ac:dyDescent="0.25">
      <c r="A1688">
        <v>-63.589748701558101</v>
      </c>
      <c r="B1688">
        <v>44.719942693793897</v>
      </c>
      <c r="C1688">
        <v>455</v>
      </c>
      <c r="D1688" t="s">
        <v>18</v>
      </c>
      <c r="E1688" t="s">
        <v>12</v>
      </c>
      <c r="F1688" t="s">
        <v>25</v>
      </c>
      <c r="G1688" t="s">
        <v>19</v>
      </c>
      <c r="H1688">
        <v>6767</v>
      </c>
      <c r="I1688" t="s">
        <v>3421</v>
      </c>
      <c r="J1688" t="s">
        <v>3422</v>
      </c>
      <c r="K1688" t="s">
        <v>17</v>
      </c>
      <c r="L1688" t="str">
        <f t="shared" si="26"/>
        <v xml:space="preserve">{ longitude: -63.5897487015581, latitude: 44.7199426937939, stopType: 'Bus Stop Shelter Non-Standard', gotime: \'6767\', location: \'GLORIA MCCLUSKEY AVE NS COLFORD AVE\' }, </v>
      </c>
    </row>
    <row r="1689" spans="1:12" x14ac:dyDescent="0.25">
      <c r="A1689">
        <v>-63.491115895450001</v>
      </c>
      <c r="B1689">
        <v>44.683547158101597</v>
      </c>
      <c r="C1689">
        <v>1723</v>
      </c>
      <c r="D1689" t="s">
        <v>18</v>
      </c>
      <c r="E1689" t="s">
        <v>12</v>
      </c>
      <c r="F1689" t="s">
        <v>25</v>
      </c>
      <c r="G1689" t="s">
        <v>19</v>
      </c>
      <c r="H1689">
        <v>6671</v>
      </c>
      <c r="I1689" t="s">
        <v>3423</v>
      </c>
      <c r="J1689" t="s">
        <v>3424</v>
      </c>
      <c r="K1689" t="s">
        <v>17</v>
      </c>
      <c r="L1689" t="str">
        <f t="shared" si="26"/>
        <v xml:space="preserve">{ longitude: -63.49111589545, latitude: 44.6835471581016, stopType: 'Bus Stop Shelter Non-Standard', gotime: \'6671\', location: \'FHP OPP COLE HARBOUR PLACE\' }, </v>
      </c>
    </row>
    <row r="1690" spans="1:12" x14ac:dyDescent="0.25">
      <c r="A1690">
        <v>-63.595592996507698</v>
      </c>
      <c r="B1690">
        <v>44.660433791341497</v>
      </c>
      <c r="C1690">
        <v>456</v>
      </c>
      <c r="D1690" t="s">
        <v>29</v>
      </c>
      <c r="E1690" t="s">
        <v>12</v>
      </c>
      <c r="F1690" t="s">
        <v>13</v>
      </c>
      <c r="G1690" t="s">
        <v>19</v>
      </c>
      <c r="H1690">
        <v>6768</v>
      </c>
      <c r="I1690" t="s">
        <v>3425</v>
      </c>
      <c r="J1690" t="s">
        <v>3426</v>
      </c>
      <c r="K1690" t="s">
        <v>17</v>
      </c>
      <c r="L1690" t="str">
        <f t="shared" si="26"/>
        <v xml:space="preserve">{ longitude: -63.5955929965077, latitude: 44.6604337913415, stopType: 'Bus Stop Accessible', gotime: \'6768\', location: \'GOTTINGEN ST &lt;NS&gt; BILBY ST\' }, </v>
      </c>
    </row>
    <row r="1691" spans="1:12" x14ac:dyDescent="0.25">
      <c r="A1691">
        <v>-63.604173378334998</v>
      </c>
      <c r="B1691">
        <v>44.706621331122697</v>
      </c>
      <c r="C1691">
        <v>1724</v>
      </c>
      <c r="D1691" t="s">
        <v>11</v>
      </c>
      <c r="E1691" t="s">
        <v>12</v>
      </c>
      <c r="F1691" t="s">
        <v>13</v>
      </c>
      <c r="G1691" t="s">
        <v>14</v>
      </c>
      <c r="H1691">
        <v>6672</v>
      </c>
      <c r="I1691" t="s">
        <v>3427</v>
      </c>
      <c r="J1691" t="s">
        <v>3428</v>
      </c>
      <c r="K1691" t="s">
        <v>17</v>
      </c>
      <c r="L1691" t="str">
        <f t="shared" si="26"/>
        <v xml:space="preserve">{ longitude: -63.604173378335, latitude: 44.7066213311227, stopType: 'Bus Stop Non-Standard', gotime: \'6672\', location: \'FIELDING DR FS MOORE RD\' }, </v>
      </c>
    </row>
    <row r="1692" spans="1:12" x14ac:dyDescent="0.25">
      <c r="A1692">
        <v>-63.599875230041299</v>
      </c>
      <c r="B1692">
        <v>44.704273535570998</v>
      </c>
      <c r="C1692">
        <v>1725</v>
      </c>
      <c r="D1692" t="s">
        <v>103</v>
      </c>
      <c r="E1692" t="s">
        <v>12</v>
      </c>
      <c r="F1692" t="s">
        <v>13</v>
      </c>
      <c r="G1692" t="s">
        <v>65</v>
      </c>
      <c r="H1692">
        <v>6673</v>
      </c>
      <c r="I1692" t="s">
        <v>3429</v>
      </c>
      <c r="J1692" t="s">
        <v>3430</v>
      </c>
      <c r="K1692" t="s">
        <v>17</v>
      </c>
      <c r="L1692" t="str">
        <f t="shared" si="26"/>
        <v xml:space="preserve">{ longitude: -63.5998752300413, latitude: 44.704273535571, stopType: 'Bus Stop Inaccessible', gotime: \'6673\', location: \'FIELDING DR FS WRIGHT AVE\' }, </v>
      </c>
    </row>
    <row r="1693" spans="1:12" x14ac:dyDescent="0.25">
      <c r="A1693">
        <v>-63.677052311806897</v>
      </c>
      <c r="B1693">
        <v>44.7756738561284</v>
      </c>
      <c r="C1693">
        <v>457</v>
      </c>
      <c r="D1693" t="s">
        <v>18</v>
      </c>
      <c r="E1693" t="s">
        <v>12</v>
      </c>
      <c r="F1693" t="s">
        <v>25</v>
      </c>
      <c r="G1693" t="s">
        <v>26</v>
      </c>
      <c r="H1693">
        <v>6742</v>
      </c>
      <c r="I1693" t="s">
        <v>3431</v>
      </c>
      <c r="J1693" t="s">
        <v>3432</v>
      </c>
      <c r="K1693" t="s">
        <v>17</v>
      </c>
      <c r="L1693" t="str">
        <f t="shared" si="26"/>
        <v xml:space="preserve">{ longitude: -63.6770523118069, latitude: 44.7756738561284, stopType: 'Bus Stop Shelter Non-Standard', gotime: \'6742\', location: \'GLENDALE DR FS METROPOLITAN AVE\' }, </v>
      </c>
    </row>
    <row r="1694" spans="1:12" x14ac:dyDescent="0.25">
      <c r="A1694">
        <v>-63.601916902763897</v>
      </c>
      <c r="B1694">
        <v>44.705261575644101</v>
      </c>
      <c r="C1694">
        <v>1726</v>
      </c>
      <c r="D1694" t="s">
        <v>11</v>
      </c>
      <c r="E1694" t="s">
        <v>12</v>
      </c>
      <c r="F1694" t="s">
        <v>25</v>
      </c>
      <c r="G1694" t="s">
        <v>26</v>
      </c>
      <c r="H1694">
        <v>6674</v>
      </c>
      <c r="I1694" t="s">
        <v>3433</v>
      </c>
      <c r="J1694" t="s">
        <v>3434</v>
      </c>
      <c r="K1694" t="s">
        <v>17</v>
      </c>
      <c r="L1694" t="str">
        <f t="shared" si="26"/>
        <v xml:space="preserve">{ longitude: -63.6019169027639, latitude: 44.7052615756441, stopType: 'Bus Stop Non-Standard', gotime: \'6674\', location: \'FIELDING DR AT CIVIC 15\' }, </v>
      </c>
    </row>
    <row r="1695" spans="1:12" x14ac:dyDescent="0.25">
      <c r="A1695">
        <v>-63.678811071747901</v>
      </c>
      <c r="B1695">
        <v>44.777279441239003</v>
      </c>
      <c r="C1695">
        <v>458</v>
      </c>
      <c r="D1695" t="s">
        <v>29</v>
      </c>
      <c r="E1695" t="s">
        <v>12</v>
      </c>
      <c r="F1695" t="s">
        <v>25</v>
      </c>
      <c r="G1695" t="s">
        <v>26</v>
      </c>
      <c r="H1695">
        <v>6743</v>
      </c>
      <c r="I1695" t="s">
        <v>3431</v>
      </c>
      <c r="J1695" t="s">
        <v>3435</v>
      </c>
      <c r="K1695" t="s">
        <v>17</v>
      </c>
      <c r="L1695" t="str">
        <f t="shared" si="26"/>
        <v xml:space="preserve">{ longitude: -63.6788110717479, latitude: 44.777279441239, stopType: 'Bus Stop Accessible', gotime: \'6743\', location: \'GLENDALE DR FS METROPOLITAN AVE\' }, </v>
      </c>
    </row>
    <row r="1696" spans="1:12" x14ac:dyDescent="0.25">
      <c r="A1696">
        <v>-63.606839016897702</v>
      </c>
      <c r="B1696">
        <v>44.707863646843499</v>
      </c>
      <c r="C1696">
        <v>1727</v>
      </c>
      <c r="D1696" t="s">
        <v>18</v>
      </c>
      <c r="E1696" t="s">
        <v>12</v>
      </c>
      <c r="F1696" t="s">
        <v>13</v>
      </c>
      <c r="G1696" t="s">
        <v>14</v>
      </c>
      <c r="H1696">
        <v>6675</v>
      </c>
      <c r="I1696" t="s">
        <v>3436</v>
      </c>
      <c r="J1696" t="s">
        <v>3437</v>
      </c>
      <c r="K1696" t="s">
        <v>17</v>
      </c>
      <c r="L1696" t="str">
        <f t="shared" si="26"/>
        <v xml:space="preserve">{ longitude: -63.6068390168977, latitude: 44.7078636468435, stopType: 'Bus Stop Shelter Non-Standard', gotime: \'6675\', location: \'FIELDING DR NS AKERLEY BLVD\' }, </v>
      </c>
    </row>
    <row r="1697" spans="1:12" x14ac:dyDescent="0.25">
      <c r="A1697">
        <v>-63.6721186879264</v>
      </c>
      <c r="B1697">
        <v>44.769905464413696</v>
      </c>
      <c r="C1697">
        <v>459</v>
      </c>
      <c r="D1697" t="s">
        <v>18</v>
      </c>
      <c r="E1697" t="s">
        <v>12</v>
      </c>
      <c r="F1697" t="s">
        <v>25</v>
      </c>
      <c r="G1697" t="s">
        <v>19</v>
      </c>
      <c r="H1697">
        <v>6744</v>
      </c>
      <c r="I1697" t="s">
        <v>3438</v>
      </c>
      <c r="J1697" t="s">
        <v>3439</v>
      </c>
      <c r="K1697" t="s">
        <v>17</v>
      </c>
      <c r="L1697" t="str">
        <f t="shared" si="26"/>
        <v xml:space="preserve">{ longitude: -63.6721186879264, latitude: 44.7699054644137, stopType: 'Bus Stop Shelter Non-Standard', gotime: \'6744\', location: \'GLENDALE DR FS PINEHILL DR\' }, </v>
      </c>
    </row>
    <row r="1698" spans="1:12" x14ac:dyDescent="0.25">
      <c r="A1698">
        <v>-63.6040694330378</v>
      </c>
      <c r="B1698">
        <v>44.706430442435803</v>
      </c>
      <c r="C1698">
        <v>1728</v>
      </c>
      <c r="D1698" t="s">
        <v>103</v>
      </c>
      <c r="E1698" t="s">
        <v>12</v>
      </c>
      <c r="F1698" t="s">
        <v>25</v>
      </c>
      <c r="G1698" t="s">
        <v>65</v>
      </c>
      <c r="H1698">
        <v>6676</v>
      </c>
      <c r="I1698" t="s">
        <v>3440</v>
      </c>
      <c r="J1698" t="s">
        <v>3441</v>
      </c>
      <c r="K1698" t="s">
        <v>17</v>
      </c>
      <c r="L1698" t="str">
        <f t="shared" si="26"/>
        <v xml:space="preserve">{ longitude: -63.6040694330378, latitude: 44.7064304424358, stopType: 'Bus Stop Inaccessible', gotime: \'6676\', location: \'FIELDING DR NS MOORE RD\' }, </v>
      </c>
    </row>
    <row r="1699" spans="1:12" x14ac:dyDescent="0.25">
      <c r="A1699">
        <v>-63.684890706176901</v>
      </c>
      <c r="B1699">
        <v>44.779824877782602</v>
      </c>
      <c r="C1699">
        <v>460</v>
      </c>
      <c r="D1699" t="s">
        <v>29</v>
      </c>
      <c r="E1699" t="s">
        <v>12</v>
      </c>
      <c r="F1699" t="s">
        <v>25</v>
      </c>
      <c r="G1699" t="s">
        <v>26</v>
      </c>
      <c r="H1699">
        <v>6745</v>
      </c>
      <c r="I1699" t="s">
        <v>3442</v>
      </c>
      <c r="J1699" t="s">
        <v>3443</v>
      </c>
      <c r="K1699" t="s">
        <v>17</v>
      </c>
      <c r="L1699" t="str">
        <f t="shared" si="26"/>
        <v xml:space="preserve">{ longitude: -63.6848907061769, latitude: 44.7798248777826, stopType: 'Bus Stop Accessible', gotime: \'6745\', location: \'GLENDALE DR FS RANKIN DR\' }, </v>
      </c>
    </row>
    <row r="1700" spans="1:12" x14ac:dyDescent="0.25">
      <c r="A1700">
        <v>-63.599038632350201</v>
      </c>
      <c r="B1700">
        <v>44.7036999583012</v>
      </c>
      <c r="C1700">
        <v>1729</v>
      </c>
      <c r="D1700" t="s">
        <v>11</v>
      </c>
      <c r="E1700" t="s">
        <v>12</v>
      </c>
      <c r="F1700" t="s">
        <v>25</v>
      </c>
      <c r="G1700" t="s">
        <v>26</v>
      </c>
      <c r="H1700">
        <v>6677</v>
      </c>
      <c r="I1700" t="s">
        <v>3444</v>
      </c>
      <c r="J1700" t="s">
        <v>3445</v>
      </c>
      <c r="K1700" t="s">
        <v>17</v>
      </c>
      <c r="L1700" t="str">
        <f t="shared" si="26"/>
        <v xml:space="preserve">{ longitude: -63.5990386323502, latitude: 44.7036999583012, stopType: 'Bus Stop Non-Standard', gotime: \'6677\', location: \'FIELDING DR NS WRIGHT AVE\' }, </v>
      </c>
    </row>
    <row r="1701" spans="1:12" x14ac:dyDescent="0.25">
      <c r="A1701">
        <v>-63.681321710499802</v>
      </c>
      <c r="B1701">
        <v>44.7784404128764</v>
      </c>
      <c r="C1701">
        <v>461</v>
      </c>
      <c r="D1701" t="s">
        <v>11</v>
      </c>
      <c r="E1701" t="s">
        <v>12</v>
      </c>
      <c r="F1701" t="s">
        <v>25</v>
      </c>
      <c r="G1701" t="s">
        <v>26</v>
      </c>
      <c r="H1701">
        <v>6746</v>
      </c>
      <c r="I1701" t="s">
        <v>3446</v>
      </c>
      <c r="J1701" t="s">
        <v>3447</v>
      </c>
      <c r="K1701" t="s">
        <v>17</v>
      </c>
      <c r="L1701" t="str">
        <f t="shared" si="26"/>
        <v xml:space="preserve">{ longitude: -63.6813217104998, latitude: 44.7784404128764, stopType: 'Bus Stop Non-Standard', gotime: \'6746\', location: \'GLENDALE DR FS RIVERSIDE DR\' }, </v>
      </c>
    </row>
    <row r="1702" spans="1:12" x14ac:dyDescent="0.25">
      <c r="A1702">
        <v>-63.602262380096697</v>
      </c>
      <c r="B1702">
        <v>44.705631929023397</v>
      </c>
      <c r="C1702">
        <v>1730</v>
      </c>
      <c r="D1702" t="s">
        <v>103</v>
      </c>
      <c r="E1702" t="s">
        <v>12</v>
      </c>
      <c r="F1702" t="s">
        <v>13</v>
      </c>
      <c r="G1702" t="s">
        <v>65</v>
      </c>
      <c r="H1702">
        <v>6678</v>
      </c>
      <c r="I1702" t="s">
        <v>3448</v>
      </c>
      <c r="J1702" t="s">
        <v>3449</v>
      </c>
      <c r="K1702" t="s">
        <v>17</v>
      </c>
      <c r="L1702" t="str">
        <f t="shared" si="26"/>
        <v xml:space="preserve">{ longitude: -63.6022623800967, latitude: 44.7056319290234, stopType: 'Bus Stop Inaccessible', gotime: \'6678\', location: \'FIELDING DR AT CIVIC 12\' }, </v>
      </c>
    </row>
    <row r="1703" spans="1:12" x14ac:dyDescent="0.25">
      <c r="A1703">
        <v>-63.689453869557703</v>
      </c>
      <c r="B1703">
        <v>44.781513277096401</v>
      </c>
      <c r="C1703">
        <v>462</v>
      </c>
      <c r="D1703" t="s">
        <v>29</v>
      </c>
      <c r="E1703" t="s">
        <v>12</v>
      </c>
      <c r="F1703" t="s">
        <v>25</v>
      </c>
      <c r="G1703" t="s">
        <v>26</v>
      </c>
      <c r="H1703">
        <v>6747</v>
      </c>
      <c r="I1703" t="s">
        <v>3450</v>
      </c>
      <c r="J1703" t="s">
        <v>3451</v>
      </c>
      <c r="K1703" t="s">
        <v>17</v>
      </c>
      <c r="L1703" t="str">
        <f t="shared" si="26"/>
        <v xml:space="preserve">{ longitude: -63.6894538695577, latitude: 44.7815132770964, stopType: 'Bus Stop Accessible', gotime: \'6747\', location: \'GLENDALE DR FS SMOKEY DR\' }, </v>
      </c>
    </row>
    <row r="1704" spans="1:12" x14ac:dyDescent="0.25">
      <c r="A1704">
        <v>-63.659059258066797</v>
      </c>
      <c r="B1704">
        <v>44.773130889559098</v>
      </c>
      <c r="C1704">
        <v>1731</v>
      </c>
      <c r="D1704" t="s">
        <v>29</v>
      </c>
      <c r="E1704" t="s">
        <v>12</v>
      </c>
      <c r="F1704" t="s">
        <v>25</v>
      </c>
      <c r="G1704" t="s">
        <v>26</v>
      </c>
      <c r="H1704">
        <v>6679</v>
      </c>
      <c r="I1704" t="s">
        <v>3452</v>
      </c>
      <c r="J1704" t="s">
        <v>3453</v>
      </c>
      <c r="K1704" t="s">
        <v>17</v>
      </c>
      <c r="L1704" t="str">
        <f t="shared" si="26"/>
        <v xml:space="preserve">{ longitude: -63.6590592580668, latitude: 44.7731308895591, stopType: 'Bus Stop Accessible', gotime: \'6679\', location: \'FIRST LAKE DR FS CABOT CR\' }, </v>
      </c>
    </row>
    <row r="1705" spans="1:12" x14ac:dyDescent="0.25">
      <c r="A1705">
        <v>-63.691160906802097</v>
      </c>
      <c r="B1705">
        <v>44.782335341194198</v>
      </c>
      <c r="C1705">
        <v>463</v>
      </c>
      <c r="D1705" t="s">
        <v>29</v>
      </c>
      <c r="E1705" t="s">
        <v>12</v>
      </c>
      <c r="F1705" t="s">
        <v>25</v>
      </c>
      <c r="G1705" t="s">
        <v>26</v>
      </c>
      <c r="H1705">
        <v>6748</v>
      </c>
      <c r="I1705" t="s">
        <v>3454</v>
      </c>
      <c r="J1705" t="s">
        <v>3455</v>
      </c>
      <c r="K1705" t="s">
        <v>17</v>
      </c>
      <c r="L1705" t="str">
        <f t="shared" si="26"/>
        <v xml:space="preserve">{ longitude: -63.6911609068021, latitude: 44.7823353411942, stopType: 'Bus Stop Accessible', gotime: \'6748\', location: \'GLENDALE DR NS BEAVERBANK RD\' }, </v>
      </c>
    </row>
    <row r="1706" spans="1:12" x14ac:dyDescent="0.25">
      <c r="A1706">
        <v>-63.657910416552298</v>
      </c>
      <c r="B1706">
        <v>44.771331507459003</v>
      </c>
      <c r="C1706">
        <v>1732</v>
      </c>
      <c r="D1706" t="s">
        <v>103</v>
      </c>
      <c r="E1706" t="s">
        <v>12</v>
      </c>
      <c r="F1706" t="s">
        <v>25</v>
      </c>
      <c r="G1706" t="s">
        <v>65</v>
      </c>
      <c r="H1706">
        <v>6680</v>
      </c>
      <c r="I1706" t="s">
        <v>3456</v>
      </c>
      <c r="J1706" t="s">
        <v>3457</v>
      </c>
      <c r="K1706" t="s">
        <v>17</v>
      </c>
      <c r="L1706" t="str">
        <f t="shared" si="26"/>
        <v xml:space="preserve">{ longitude: -63.6579104165523, latitude: 44.771331507459, stopType: 'Bus Stop Inaccessible', gotime: \'6680\', location: \'FIRST LAKE DR FS CIVIC 373\' }, </v>
      </c>
    </row>
    <row r="1707" spans="1:12" x14ac:dyDescent="0.25">
      <c r="A1707">
        <v>-63.6672941353007</v>
      </c>
      <c r="B1707">
        <v>44.768043471325399</v>
      </c>
      <c r="C1707">
        <v>464</v>
      </c>
      <c r="D1707" t="s">
        <v>18</v>
      </c>
      <c r="E1707" t="s">
        <v>12</v>
      </c>
      <c r="F1707" t="s">
        <v>25</v>
      </c>
      <c r="G1707" t="s">
        <v>19</v>
      </c>
      <c r="H1707">
        <v>6749</v>
      </c>
      <c r="I1707" t="s">
        <v>3458</v>
      </c>
      <c r="J1707" t="s">
        <v>3459</v>
      </c>
      <c r="K1707" t="s">
        <v>17</v>
      </c>
      <c r="L1707" t="str">
        <f t="shared" si="26"/>
        <v xml:space="preserve">{ longitude: -63.6672941353007, latitude: 44.7680434713254, stopType: 'Bus Stop Shelter Non-Standard', gotime: \'6749\', location: \'GLENDALE DR NS CHANDLER DR\' }, </v>
      </c>
    </row>
    <row r="1708" spans="1:12" x14ac:dyDescent="0.25">
      <c r="A1708">
        <v>-63.644554729529503</v>
      </c>
      <c r="B1708">
        <v>44.7688743523493</v>
      </c>
      <c r="C1708">
        <v>1733</v>
      </c>
      <c r="D1708" t="s">
        <v>11</v>
      </c>
      <c r="E1708" t="s">
        <v>12</v>
      </c>
      <c r="F1708" t="s">
        <v>25</v>
      </c>
      <c r="G1708" t="s">
        <v>26</v>
      </c>
      <c r="H1708">
        <v>6681</v>
      </c>
      <c r="I1708" t="s">
        <v>3460</v>
      </c>
      <c r="J1708" t="s">
        <v>3461</v>
      </c>
      <c r="K1708" t="s">
        <v>17</v>
      </c>
      <c r="L1708" t="str">
        <f t="shared" si="26"/>
        <v xml:space="preserve">{ longitude: -63.6445547295295, latitude: 44.7688743523493, stopType: 'Bus Stop Non-Standard', gotime: \'6681\', location: \'FIRST LAKE DR FS COBEQUID RD\' }, </v>
      </c>
    </row>
    <row r="1709" spans="1:12" x14ac:dyDescent="0.25">
      <c r="A1709">
        <v>-63.660110930193802</v>
      </c>
      <c r="B1709">
        <v>44.7598462358878</v>
      </c>
      <c r="C1709">
        <v>465</v>
      </c>
      <c r="D1709" t="s">
        <v>11</v>
      </c>
      <c r="E1709" t="s">
        <v>12</v>
      </c>
      <c r="F1709" t="s">
        <v>25</v>
      </c>
      <c r="G1709" t="s">
        <v>26</v>
      </c>
      <c r="H1709">
        <v>6750</v>
      </c>
      <c r="I1709" t="s">
        <v>3462</v>
      </c>
      <c r="J1709" t="s">
        <v>3463</v>
      </c>
      <c r="K1709" t="s">
        <v>17</v>
      </c>
      <c r="L1709" t="str">
        <f t="shared" si="26"/>
        <v xml:space="preserve">{ longitude: -63.6601109301938, latitude: 44.7598462358878, stopType: 'Bus Stop Non-Standard', gotime: \'6750\', location: \'GLENDALE DR NS COBEQUID RD\' }, </v>
      </c>
    </row>
    <row r="1710" spans="1:12" x14ac:dyDescent="0.25">
      <c r="A1710">
        <v>-63.675564366956898</v>
      </c>
      <c r="B1710">
        <v>44.772801258306202</v>
      </c>
      <c r="C1710">
        <v>466</v>
      </c>
      <c r="D1710" t="s">
        <v>18</v>
      </c>
      <c r="E1710" t="s">
        <v>12</v>
      </c>
      <c r="F1710" t="s">
        <v>25</v>
      </c>
      <c r="G1710" t="s">
        <v>26</v>
      </c>
      <c r="H1710">
        <v>6751</v>
      </c>
      <c r="I1710" t="s">
        <v>3464</v>
      </c>
      <c r="J1710" t="s">
        <v>3465</v>
      </c>
      <c r="K1710" t="s">
        <v>17</v>
      </c>
      <c r="L1710" t="str">
        <f t="shared" si="26"/>
        <v xml:space="preserve">{ longitude: -63.6755643669569, latitude: 44.7728012583062, stopType: 'Bus Stop Shelter Non-Standard', gotime: \'6751\', location: \'GLENDALE DR NS MACDOUGALL AVE\' }, </v>
      </c>
    </row>
    <row r="1711" spans="1:12" x14ac:dyDescent="0.25">
      <c r="A1711">
        <v>-63.672869660135902</v>
      </c>
      <c r="B1711">
        <v>44.777479551386897</v>
      </c>
      <c r="C1711">
        <v>1734</v>
      </c>
      <c r="D1711" t="s">
        <v>11</v>
      </c>
      <c r="E1711" t="s">
        <v>12</v>
      </c>
      <c r="F1711" t="s">
        <v>25</v>
      </c>
      <c r="G1711" t="s">
        <v>26</v>
      </c>
      <c r="H1711">
        <v>6682</v>
      </c>
      <c r="I1711" t="s">
        <v>3466</v>
      </c>
      <c r="J1711" t="s">
        <v>3467</v>
      </c>
      <c r="K1711" t="s">
        <v>17</v>
      </c>
      <c r="L1711" t="str">
        <f t="shared" si="26"/>
        <v xml:space="preserve">{ longitude: -63.6728696601359, latitude: 44.7774795513869, stopType: 'Bus Stop Non-Standard', gotime: \'6682\', location: \'FIRST LAKE DR FS LAKEHEAD CT\' }, </v>
      </c>
    </row>
    <row r="1712" spans="1:12" x14ac:dyDescent="0.25">
      <c r="A1712">
        <v>-63.664082786854699</v>
      </c>
      <c r="B1712">
        <v>44.7655901210438</v>
      </c>
      <c r="C1712">
        <v>467</v>
      </c>
      <c r="D1712" t="s">
        <v>18</v>
      </c>
      <c r="E1712" t="s">
        <v>12</v>
      </c>
      <c r="F1712" t="s">
        <v>25</v>
      </c>
      <c r="G1712" t="s">
        <v>26</v>
      </c>
      <c r="H1712">
        <v>6752</v>
      </c>
      <c r="I1712" t="s">
        <v>3468</v>
      </c>
      <c r="J1712" t="s">
        <v>3469</v>
      </c>
      <c r="K1712" t="s">
        <v>17</v>
      </c>
      <c r="L1712" t="str">
        <f t="shared" si="26"/>
        <v xml:space="preserve">{ longitude: -63.6640827868547, latitude: 44.7655901210438, stopType: 'Bus Stop Shelter Non-Standard', gotime: \'6752\', location: \'GLENDALE DR NS MAGEE DR\' }, </v>
      </c>
    </row>
    <row r="1713" spans="1:12" x14ac:dyDescent="0.25">
      <c r="A1713">
        <v>-63.664202217105398</v>
      </c>
      <c r="B1713">
        <v>44.776579484946502</v>
      </c>
      <c r="C1713">
        <v>1735</v>
      </c>
      <c r="D1713" t="s">
        <v>11</v>
      </c>
      <c r="E1713" t="s">
        <v>12</v>
      </c>
      <c r="F1713" t="s">
        <v>25</v>
      </c>
      <c r="G1713" t="s">
        <v>26</v>
      </c>
      <c r="H1713">
        <v>6683</v>
      </c>
      <c r="I1713" t="s">
        <v>3470</v>
      </c>
      <c r="J1713" t="s">
        <v>3471</v>
      </c>
      <c r="K1713" t="s">
        <v>17</v>
      </c>
      <c r="L1713" t="str">
        <f t="shared" si="26"/>
        <v xml:space="preserve">{ longitude: -63.6642022171054, latitude: 44.7765794849465, stopType: 'Bus Stop Non-Standard', gotime: \'6683\', location: \'FIRST LAKE DR FS ST.FRANCIS\' }, </v>
      </c>
    </row>
    <row r="1714" spans="1:12" x14ac:dyDescent="0.25">
      <c r="A1714">
        <v>-63.501646802537898</v>
      </c>
      <c r="B1714">
        <v>44.669712906785598</v>
      </c>
      <c r="C1714">
        <v>468</v>
      </c>
      <c r="D1714" t="s">
        <v>103</v>
      </c>
      <c r="E1714" t="s">
        <v>12</v>
      </c>
      <c r="F1714" t="s">
        <v>13</v>
      </c>
      <c r="G1714" t="s">
        <v>65</v>
      </c>
      <c r="H1714">
        <v>6351</v>
      </c>
      <c r="I1714" t="s">
        <v>3472</v>
      </c>
      <c r="J1714" t="s">
        <v>3473</v>
      </c>
      <c r="K1714" t="s">
        <v>17</v>
      </c>
      <c r="L1714" t="str">
        <f t="shared" si="26"/>
        <v xml:space="preserve">{ longitude: -63.5016468025379, latitude: 44.6697129067856, stopType: 'Bus Stop Inaccessible', gotime: \'6351\', location: \'CALDWELL RD NS COLE HARBOUR RD\' }, </v>
      </c>
    </row>
    <row r="1715" spans="1:12" x14ac:dyDescent="0.25">
      <c r="A1715">
        <v>-63.666386041632997</v>
      </c>
      <c r="B1715">
        <v>44.776721441024698</v>
      </c>
      <c r="C1715">
        <v>1736</v>
      </c>
      <c r="D1715" t="s">
        <v>29</v>
      </c>
      <c r="E1715" t="s">
        <v>12</v>
      </c>
      <c r="F1715" t="s">
        <v>25</v>
      </c>
      <c r="G1715" t="s">
        <v>26</v>
      </c>
      <c r="H1715">
        <v>6684</v>
      </c>
      <c r="I1715" t="s">
        <v>3474</v>
      </c>
      <c r="J1715" t="s">
        <v>3475</v>
      </c>
      <c r="K1715" t="s">
        <v>17</v>
      </c>
      <c r="L1715" t="str">
        <f t="shared" si="26"/>
        <v xml:space="preserve">{ longitude: -63.666386041633, latitude: 44.7767214410247, stopType: 'Bus Stop Accessible', gotime: \'6684\', location: \'FIRST LAKE DR FS OPP QUAKER CR\' }, </v>
      </c>
    </row>
    <row r="1716" spans="1:12" x14ac:dyDescent="0.25">
      <c r="A1716">
        <v>-63.492531456649701</v>
      </c>
      <c r="B1716">
        <v>44.660097358564201</v>
      </c>
      <c r="C1716">
        <v>469</v>
      </c>
      <c r="D1716" t="s">
        <v>29</v>
      </c>
      <c r="E1716" t="s">
        <v>12</v>
      </c>
      <c r="F1716" t="s">
        <v>25</v>
      </c>
      <c r="G1716" t="s">
        <v>26</v>
      </c>
      <c r="H1716">
        <v>6352</v>
      </c>
      <c r="I1716" t="s">
        <v>3476</v>
      </c>
      <c r="J1716" t="s">
        <v>3477</v>
      </c>
      <c r="K1716" t="s">
        <v>17</v>
      </c>
      <c r="L1716" t="str">
        <f t="shared" si="26"/>
        <v xml:space="preserve">{ longitude: -63.4925314566497, latitude: 44.6600973585642, stopType: 'Bus Stop Accessible', gotime: \'6352\', location: \'CALDWELL RD AT CIVIC 307\' }, </v>
      </c>
    </row>
    <row r="1717" spans="1:12" x14ac:dyDescent="0.25">
      <c r="A1717">
        <v>-63.6590756783065</v>
      </c>
      <c r="B1717">
        <v>44.772870022681701</v>
      </c>
      <c r="C1717">
        <v>1737</v>
      </c>
      <c r="D1717" t="s">
        <v>11</v>
      </c>
      <c r="E1717" t="s">
        <v>12</v>
      </c>
      <c r="F1717" t="s">
        <v>25</v>
      </c>
      <c r="G1717" t="s">
        <v>26</v>
      </c>
      <c r="H1717">
        <v>6685</v>
      </c>
      <c r="I1717" t="s">
        <v>3478</v>
      </c>
      <c r="J1717" t="s">
        <v>3479</v>
      </c>
      <c r="K1717" t="s">
        <v>17</v>
      </c>
      <c r="L1717" t="str">
        <f t="shared" si="26"/>
        <v xml:space="preserve">{ longitude: -63.6590756783065, latitude: 44.7728700226817, stopType: 'Bus Stop Non-Standard', gotime: \'6685\', location: \'FIRST LAKE DR NS CABOT CR\' }, </v>
      </c>
    </row>
    <row r="1718" spans="1:12" x14ac:dyDescent="0.25">
      <c r="A1718">
        <v>-63.500749003971897</v>
      </c>
      <c r="B1718">
        <v>44.668404322786898</v>
      </c>
      <c r="C1718">
        <v>470</v>
      </c>
      <c r="D1718" t="s">
        <v>11</v>
      </c>
      <c r="E1718" t="s">
        <v>12</v>
      </c>
      <c r="F1718" t="s">
        <v>25</v>
      </c>
      <c r="G1718" t="s">
        <v>26</v>
      </c>
      <c r="H1718">
        <v>6353</v>
      </c>
      <c r="I1718" t="s">
        <v>3480</v>
      </c>
      <c r="J1718" t="s">
        <v>3481</v>
      </c>
      <c r="K1718" t="s">
        <v>17</v>
      </c>
      <c r="L1718" t="str">
        <f t="shared" si="26"/>
        <v xml:space="preserve">{ longitude: -63.5007490039719, latitude: 44.6684043227869, stopType: 'Bus Stop Non-Standard', gotime: \'6353\', location: \'CALDWELL RD NS CIVIC 61\' }, </v>
      </c>
    </row>
    <row r="1719" spans="1:12" x14ac:dyDescent="0.25">
      <c r="A1719">
        <v>-63.660509819997003</v>
      </c>
      <c r="B1719">
        <v>44.774167513917199</v>
      </c>
      <c r="C1719">
        <v>1738</v>
      </c>
      <c r="D1719" t="s">
        <v>29</v>
      </c>
      <c r="E1719" t="s">
        <v>12</v>
      </c>
      <c r="F1719" t="s">
        <v>25</v>
      </c>
      <c r="G1719" t="s">
        <v>26</v>
      </c>
      <c r="H1719">
        <v>6686</v>
      </c>
      <c r="I1719" t="s">
        <v>3482</v>
      </c>
      <c r="J1719" t="s">
        <v>3483</v>
      </c>
      <c r="K1719" t="s">
        <v>17</v>
      </c>
      <c r="L1719" t="str">
        <f t="shared" si="26"/>
        <v xml:space="preserve">{ longitude: -63.660509819997, latitude: 44.7741675139172, stopType: 'Bus Stop Accessible', gotime: \'6686\', location: \'FIRST LAKE DR NS CAVENDISH DR\' }, </v>
      </c>
    </row>
    <row r="1720" spans="1:12" x14ac:dyDescent="0.25">
      <c r="A1720">
        <v>-63.48149467084</v>
      </c>
      <c r="B1720">
        <v>44.646598817636303</v>
      </c>
      <c r="C1720">
        <v>471</v>
      </c>
      <c r="D1720" t="s">
        <v>29</v>
      </c>
      <c r="E1720" t="s">
        <v>12</v>
      </c>
      <c r="F1720" t="s">
        <v>25</v>
      </c>
      <c r="G1720" t="s">
        <v>26</v>
      </c>
      <c r="H1720">
        <v>6354</v>
      </c>
      <c r="I1720" t="s">
        <v>3484</v>
      </c>
      <c r="J1720" t="s">
        <v>3485</v>
      </c>
      <c r="K1720" t="s">
        <v>17</v>
      </c>
      <c r="L1720" t="str">
        <f t="shared" si="26"/>
        <v xml:space="preserve">{ longitude: -63.48149467084, latitude: 44.6465988176363, stopType: 'Bus Stop Accessible', gotime: \'6354\', location: \'CALDWELL RD AT CIVIC 692\' }, </v>
      </c>
    </row>
    <row r="1721" spans="1:12" x14ac:dyDescent="0.25">
      <c r="A1721">
        <v>-63.661114519875198</v>
      </c>
      <c r="B1721">
        <v>44.7742889520378</v>
      </c>
      <c r="C1721">
        <v>1739</v>
      </c>
      <c r="D1721" t="s">
        <v>29</v>
      </c>
      <c r="E1721" t="s">
        <v>12</v>
      </c>
      <c r="F1721" t="s">
        <v>25</v>
      </c>
      <c r="G1721" t="s">
        <v>26</v>
      </c>
      <c r="H1721">
        <v>6687</v>
      </c>
      <c r="I1721" t="s">
        <v>3482</v>
      </c>
      <c r="J1721" t="s">
        <v>3486</v>
      </c>
      <c r="K1721" t="s">
        <v>17</v>
      </c>
      <c r="L1721" t="str">
        <f t="shared" si="26"/>
        <v xml:space="preserve">{ longitude: -63.6611145198752, latitude: 44.7742889520378, stopType: 'Bus Stop Accessible', gotime: \'6687\', location: \'FIRST LAKE DR NS CAVENDISH DR\' }, </v>
      </c>
    </row>
    <row r="1722" spans="1:12" x14ac:dyDescent="0.25">
      <c r="A1722">
        <v>-63.530570466115499</v>
      </c>
      <c r="B1722">
        <v>44.687293674870702</v>
      </c>
      <c r="C1722">
        <v>472</v>
      </c>
      <c r="D1722" t="s">
        <v>29</v>
      </c>
      <c r="E1722" t="s">
        <v>12</v>
      </c>
      <c r="F1722" t="s">
        <v>13</v>
      </c>
      <c r="G1722" t="s">
        <v>14</v>
      </c>
      <c r="H1722">
        <v>6355</v>
      </c>
      <c r="I1722" t="s">
        <v>3487</v>
      </c>
      <c r="J1722" t="s">
        <v>3488</v>
      </c>
      <c r="K1722" t="s">
        <v>17</v>
      </c>
      <c r="L1722" t="str">
        <f t="shared" si="26"/>
        <v xml:space="preserve">{ longitude: -63.5305704661155, latitude: 44.6872936748707, stopType: 'Bus Stop Accessible', gotime: \'6355\', location: \'CALEDONIA RD FS CHURCHILL DR\' }, </v>
      </c>
    </row>
    <row r="1723" spans="1:12" x14ac:dyDescent="0.25">
      <c r="A1723">
        <v>-63.644431066615297</v>
      </c>
      <c r="B1723">
        <v>44.768693434238202</v>
      </c>
      <c r="C1723">
        <v>1740</v>
      </c>
      <c r="D1723" t="s">
        <v>103</v>
      </c>
      <c r="E1723" t="s">
        <v>12</v>
      </c>
      <c r="F1723" t="s">
        <v>25</v>
      </c>
      <c r="G1723" t="s">
        <v>65</v>
      </c>
      <c r="H1723">
        <v>6688</v>
      </c>
      <c r="I1723" t="s">
        <v>3489</v>
      </c>
      <c r="J1723" t="s">
        <v>3490</v>
      </c>
      <c r="K1723" t="s">
        <v>17</v>
      </c>
      <c r="L1723" t="str">
        <f t="shared" si="26"/>
        <v xml:space="preserve">{ longitude: -63.6444310666153, latitude: 44.7686934342382, stopType: 'Bus Stop Inaccessible', gotime: \'6688\', location: \'FIRST LAKE DR NS COBEQUID RD\' }, </v>
      </c>
    </row>
    <row r="1724" spans="1:12" x14ac:dyDescent="0.25">
      <c r="A1724">
        <v>-63.657683161083298</v>
      </c>
      <c r="B1724">
        <v>44.771320831897299</v>
      </c>
      <c r="C1724">
        <v>1741</v>
      </c>
      <c r="D1724" t="s">
        <v>29</v>
      </c>
      <c r="E1724" t="s">
        <v>12</v>
      </c>
      <c r="F1724" t="s">
        <v>25</v>
      </c>
      <c r="G1724" t="s">
        <v>26</v>
      </c>
      <c r="H1724">
        <v>6689</v>
      </c>
      <c r="I1724" t="s">
        <v>3491</v>
      </c>
      <c r="J1724" t="s">
        <v>3492</v>
      </c>
      <c r="K1724" t="s">
        <v>17</v>
      </c>
      <c r="L1724" t="str">
        <f t="shared" si="26"/>
        <v xml:space="preserve">{ longitude: -63.6576831610833, latitude: 44.7713208318973, stopType: 'Bus Stop Accessible', gotime: \'6689\', location: \'FIRST LAKE DR NS CRIMSON DR\' }, </v>
      </c>
    </row>
    <row r="1725" spans="1:12" x14ac:dyDescent="0.25">
      <c r="A1725">
        <v>-63.536535245719001</v>
      </c>
      <c r="B1725">
        <v>44.697909441580599</v>
      </c>
      <c r="C1725">
        <v>473</v>
      </c>
      <c r="D1725" t="s">
        <v>29</v>
      </c>
      <c r="E1725" t="s">
        <v>12</v>
      </c>
      <c r="F1725" t="s">
        <v>13</v>
      </c>
      <c r="G1725" t="s">
        <v>14</v>
      </c>
      <c r="H1725">
        <v>6356</v>
      </c>
      <c r="I1725" t="s">
        <v>3493</v>
      </c>
      <c r="J1725" t="s">
        <v>3494</v>
      </c>
      <c r="K1725" t="s">
        <v>17</v>
      </c>
      <c r="L1725" t="str">
        <f t="shared" si="26"/>
        <v xml:space="preserve">{ longitude: -63.536535245719, latitude: 44.6979094415806, stopType: 'Bus Stop Accessible', gotime: \'6356\', location: \'CALEDONIA RD FS CIVIC 207\' }, </v>
      </c>
    </row>
    <row r="1726" spans="1:12" x14ac:dyDescent="0.25">
      <c r="A1726">
        <v>-63.673552792623703</v>
      </c>
      <c r="B1726">
        <v>44.7774215001782</v>
      </c>
      <c r="C1726">
        <v>1742</v>
      </c>
      <c r="D1726" t="s">
        <v>11</v>
      </c>
      <c r="E1726" t="s">
        <v>12</v>
      </c>
      <c r="F1726" t="s">
        <v>25</v>
      </c>
      <c r="G1726" t="s">
        <v>26</v>
      </c>
      <c r="H1726">
        <v>6690</v>
      </c>
      <c r="I1726" t="s">
        <v>3495</v>
      </c>
      <c r="J1726" t="s">
        <v>3496</v>
      </c>
      <c r="K1726" t="s">
        <v>17</v>
      </c>
      <c r="L1726" t="str">
        <f t="shared" si="26"/>
        <v xml:space="preserve">{ longitude: -63.6735527926237, latitude: 44.7774215001782, stopType: 'Bus Stop Non-Standard', gotime: \'6690\', location: \'FIRST LAKE DR NS OPP LAKE HEAD CT\' }, </v>
      </c>
    </row>
    <row r="1727" spans="1:12" x14ac:dyDescent="0.25">
      <c r="A1727">
        <v>-63.533711399939598</v>
      </c>
      <c r="B1727">
        <v>44.693521540432698</v>
      </c>
      <c r="C1727">
        <v>474</v>
      </c>
      <c r="D1727" t="s">
        <v>29</v>
      </c>
      <c r="E1727" t="s">
        <v>12</v>
      </c>
      <c r="F1727" t="s">
        <v>13</v>
      </c>
      <c r="G1727" t="s">
        <v>14</v>
      </c>
      <c r="H1727">
        <v>6357</v>
      </c>
      <c r="I1727" t="s">
        <v>3497</v>
      </c>
      <c r="J1727" t="s">
        <v>3498</v>
      </c>
      <c r="K1727" t="s">
        <v>17</v>
      </c>
      <c r="L1727" t="str">
        <f t="shared" si="26"/>
        <v xml:space="preserve">{ longitude: -63.5337113999396, latitude: 44.6935215404327, stopType: 'Bus Stop Accessible', gotime: \'6357\', location: \'CALEDONIA RD FS DUNBARTON AVE\' }, </v>
      </c>
    </row>
    <row r="1728" spans="1:12" x14ac:dyDescent="0.25">
      <c r="A1728">
        <v>-63.665673626058599</v>
      </c>
      <c r="B1728">
        <v>44.777058222194199</v>
      </c>
      <c r="C1728">
        <v>1743</v>
      </c>
      <c r="D1728" t="s">
        <v>11</v>
      </c>
      <c r="E1728" t="s">
        <v>12</v>
      </c>
      <c r="F1728" t="s">
        <v>25</v>
      </c>
      <c r="G1728" t="s">
        <v>26</v>
      </c>
      <c r="H1728">
        <v>6691</v>
      </c>
      <c r="I1728" t="s">
        <v>3499</v>
      </c>
      <c r="J1728" t="s">
        <v>3500</v>
      </c>
      <c r="K1728" t="s">
        <v>17</v>
      </c>
      <c r="L1728" t="str">
        <f t="shared" si="26"/>
        <v xml:space="preserve">{ longitude: -63.6656736260586, latitude: 44.7770582221942, stopType: 'Bus Stop Non-Standard', gotime: \'6691\', location: \'FIRST LAKE DR NS QUAKER CR\' }, </v>
      </c>
    </row>
    <row r="1729" spans="1:12" x14ac:dyDescent="0.25">
      <c r="A1729">
        <v>-63.535628621989801</v>
      </c>
      <c r="B1729">
        <v>44.696337462393103</v>
      </c>
      <c r="C1729">
        <v>475</v>
      </c>
      <c r="D1729" t="s">
        <v>29</v>
      </c>
      <c r="E1729" t="s">
        <v>12</v>
      </c>
      <c r="F1729" t="s">
        <v>13</v>
      </c>
      <c r="G1729" t="s">
        <v>14</v>
      </c>
      <c r="H1729">
        <v>6358</v>
      </c>
      <c r="I1729" t="s">
        <v>3501</v>
      </c>
      <c r="J1729" t="s">
        <v>3502</v>
      </c>
      <c r="K1729" t="s">
        <v>17</v>
      </c>
      <c r="L1729" t="str">
        <f t="shared" si="26"/>
        <v xml:space="preserve">{ longitude: -63.5356286219898, latitude: 44.6963374623931, stopType: 'Bus Stop Accessible', gotime: \'6358\', location: \'CALEDONIA RD FS GOUROK AVE\' }, </v>
      </c>
    </row>
    <row r="1730" spans="1:12" x14ac:dyDescent="0.25">
      <c r="A1730">
        <v>-63.675522556884097</v>
      </c>
      <c r="B1730">
        <v>44.6503724435062</v>
      </c>
      <c r="C1730">
        <v>1744</v>
      </c>
      <c r="D1730" t="s">
        <v>11</v>
      </c>
      <c r="E1730" t="s">
        <v>12</v>
      </c>
      <c r="F1730" t="s">
        <v>13</v>
      </c>
      <c r="G1730" t="s">
        <v>14</v>
      </c>
      <c r="H1730">
        <v>6391</v>
      </c>
      <c r="I1730" t="s">
        <v>3503</v>
      </c>
      <c r="J1730" t="s">
        <v>3504</v>
      </c>
      <c r="K1730" t="s">
        <v>17</v>
      </c>
      <c r="L1730" t="str">
        <f t="shared" si="26"/>
        <v xml:space="preserve">{ longitude: -63.6755225568841, latitude: 44.6503724435062, stopType: 'Bus Stop Non-Standard', gotime: \'6391\', location: \'CHAIN LAKE DR AT DAIRY QUEEN [IB]\' }, </v>
      </c>
    </row>
    <row r="1731" spans="1:12" x14ac:dyDescent="0.25">
      <c r="A1731">
        <v>-63.529752552429898</v>
      </c>
      <c r="B1731">
        <v>44.6855657143104</v>
      </c>
      <c r="C1731">
        <v>476</v>
      </c>
      <c r="D1731" t="s">
        <v>29</v>
      </c>
      <c r="E1731" t="s">
        <v>12</v>
      </c>
      <c r="F1731" t="s">
        <v>13</v>
      </c>
      <c r="G1731" t="s">
        <v>14</v>
      </c>
      <c r="H1731">
        <v>6359</v>
      </c>
      <c r="I1731" t="s">
        <v>3505</v>
      </c>
      <c r="J1731" t="s">
        <v>3506</v>
      </c>
      <c r="K1731" t="s">
        <v>17</v>
      </c>
      <c r="L1731" t="str">
        <f t="shared" ref="L1731:L1794" si="27">CONCATENATE( "{ longitude: ", A1731, ", latitude: ", B1731, ", stopType: '", D1731, "', gotime: \'", H1731, "\', location: \'", I1731, "\' }, ")</f>
        <v xml:space="preserve">{ longitude: -63.5297525524299, latitude: 44.6855657143104, stopType: 'Bus Stop Accessible', gotime: \'6359\', location: \'CALEDONIA RD FS MAIN ST\' }, </v>
      </c>
    </row>
    <row r="1732" spans="1:12" x14ac:dyDescent="0.25">
      <c r="A1732">
        <v>-63.677767747403898</v>
      </c>
      <c r="B1732">
        <v>44.656099071350098</v>
      </c>
      <c r="C1732">
        <v>1745</v>
      </c>
      <c r="D1732" t="s">
        <v>22</v>
      </c>
      <c r="E1732" t="s">
        <v>12</v>
      </c>
      <c r="F1732" t="s">
        <v>13</v>
      </c>
      <c r="G1732" t="s">
        <v>14</v>
      </c>
      <c r="H1732">
        <v>6392</v>
      </c>
      <c r="I1732" t="s">
        <v>3507</v>
      </c>
      <c r="J1732" t="s">
        <v>3508</v>
      </c>
      <c r="K1732" t="s">
        <v>17</v>
      </c>
      <c r="L1732" t="str">
        <f t="shared" si="27"/>
        <v xml:space="preserve">{ longitude: -63.6777677474039, latitude: 44.6560990713501, stopType: 'Bus Stop Shelter Accessible', gotime: \'6392\', location: \'CHAIN LAKE DR AT COSTCO [IB]\' }, </v>
      </c>
    </row>
    <row r="1733" spans="1:12" x14ac:dyDescent="0.25">
      <c r="A1733">
        <v>-63.5314788636909</v>
      </c>
      <c r="B1733">
        <v>44.689204550534697</v>
      </c>
      <c r="C1733">
        <v>477</v>
      </c>
      <c r="D1733" t="s">
        <v>29</v>
      </c>
      <c r="E1733" t="s">
        <v>12</v>
      </c>
      <c r="F1733" t="s">
        <v>13</v>
      </c>
      <c r="G1733" t="s">
        <v>14</v>
      </c>
      <c r="H1733">
        <v>6360</v>
      </c>
      <c r="I1733" t="s">
        <v>3509</v>
      </c>
      <c r="J1733" t="s">
        <v>3510</v>
      </c>
      <c r="K1733" t="s">
        <v>17</v>
      </c>
      <c r="L1733" t="str">
        <f t="shared" si="27"/>
        <v xml:space="preserve">{ longitude: -63.5314788636909, latitude: 44.6892045505347, stopType: 'Bus Stop Accessible', gotime: \'6360\', location: \'CALEDONIA RD FS OPP WESTWOOD DR\' }, </v>
      </c>
    </row>
    <row r="1734" spans="1:12" x14ac:dyDescent="0.25">
      <c r="A1734">
        <v>-63.675026626831503</v>
      </c>
      <c r="B1734">
        <v>44.6479673631274</v>
      </c>
      <c r="C1734">
        <v>1746</v>
      </c>
      <c r="D1734" t="s">
        <v>29</v>
      </c>
      <c r="E1734" t="s">
        <v>12</v>
      </c>
      <c r="F1734" t="s">
        <v>13</v>
      </c>
      <c r="G1734" t="s">
        <v>14</v>
      </c>
      <c r="H1734">
        <v>6393</v>
      </c>
      <c r="I1734" t="s">
        <v>3511</v>
      </c>
      <c r="J1734" t="s">
        <v>3512</v>
      </c>
      <c r="K1734" t="s">
        <v>17</v>
      </c>
      <c r="L1734" t="str">
        <f t="shared" si="27"/>
        <v xml:space="preserve">{ longitude: -63.6750266268315, latitude: 44.6479673631274, stopType: 'Bus Stop Accessible', gotime: \'6393\', location: \'CHAIN LAKE DR [OB] NS OLAND CT\' }, </v>
      </c>
    </row>
    <row r="1735" spans="1:12" x14ac:dyDescent="0.25">
      <c r="A1735">
        <v>-63.537922523219699</v>
      </c>
      <c r="B1735">
        <v>44.699970546729503</v>
      </c>
      <c r="C1735">
        <v>478</v>
      </c>
      <c r="D1735" t="s">
        <v>22</v>
      </c>
      <c r="E1735" t="s">
        <v>12</v>
      </c>
      <c r="F1735" t="s">
        <v>25</v>
      </c>
      <c r="G1735" t="s">
        <v>19</v>
      </c>
      <c r="H1735">
        <v>6361</v>
      </c>
      <c r="I1735" t="s">
        <v>3513</v>
      </c>
      <c r="J1735" t="s">
        <v>3514</v>
      </c>
      <c r="K1735" t="s">
        <v>17</v>
      </c>
      <c r="L1735" t="str">
        <f t="shared" si="27"/>
        <v xml:space="preserve">{ longitude: -63.5379225232197, latitude: 44.6999705467295, stopType: 'Bus Stop Shelter Accessible', gotime: \'6361\', location: \'CALEDONIA RD FS MONTEBELLO DR\' }, </v>
      </c>
    </row>
    <row r="1736" spans="1:12" x14ac:dyDescent="0.25">
      <c r="A1736">
        <v>-63.566192388261101</v>
      </c>
      <c r="B1736">
        <v>44.627415271821</v>
      </c>
      <c r="C1736">
        <v>1747</v>
      </c>
      <c r="D1736" t="s">
        <v>29</v>
      </c>
      <c r="E1736" t="s">
        <v>12</v>
      </c>
      <c r="F1736" t="s">
        <v>25</v>
      </c>
      <c r="G1736" t="s">
        <v>19</v>
      </c>
      <c r="H1736">
        <v>8648</v>
      </c>
      <c r="I1736" t="s">
        <v>3515</v>
      </c>
      <c r="J1736" t="s">
        <v>3516</v>
      </c>
      <c r="K1736" t="s">
        <v>17</v>
      </c>
      <c r="L1736" t="str">
        <f t="shared" si="27"/>
        <v xml:space="preserve">{ longitude: -63.5661923882611, latitude: 44.627415271821, stopType: 'Bus Stop Accessible', gotime: \'8648\', location: \'POINT PLEASANT PARK 1ST CANTEEN\' }, </v>
      </c>
    </row>
    <row r="1737" spans="1:12" x14ac:dyDescent="0.25">
      <c r="A1737">
        <v>-63.535355130295898</v>
      </c>
      <c r="B1737">
        <v>44.695764031896204</v>
      </c>
      <c r="C1737">
        <v>479</v>
      </c>
      <c r="D1737" t="s">
        <v>29</v>
      </c>
      <c r="E1737" t="s">
        <v>12</v>
      </c>
      <c r="F1737" t="s">
        <v>25</v>
      </c>
      <c r="G1737" t="s">
        <v>19</v>
      </c>
      <c r="H1737">
        <v>6362</v>
      </c>
      <c r="I1737" t="s">
        <v>3517</v>
      </c>
      <c r="J1737" t="s">
        <v>3518</v>
      </c>
      <c r="K1737" t="s">
        <v>17</v>
      </c>
      <c r="L1737" t="str">
        <f t="shared" si="27"/>
        <v xml:space="preserve">{ longitude: -63.5353551302959, latitude: 44.6957640318962, stopType: 'Bus Stop Accessible', gotime: \'6362\', location: \'CALEDONIA RD NS GOUROK AVE\' }, </v>
      </c>
    </row>
    <row r="1738" spans="1:12" x14ac:dyDescent="0.25">
      <c r="A1738">
        <v>-63.564653710210798</v>
      </c>
      <c r="B1738">
        <v>44.625917712520398</v>
      </c>
      <c r="C1738">
        <v>1748</v>
      </c>
      <c r="D1738" t="s">
        <v>103</v>
      </c>
      <c r="E1738" t="s">
        <v>12</v>
      </c>
      <c r="F1738" t="s">
        <v>25</v>
      </c>
      <c r="G1738" t="s">
        <v>19</v>
      </c>
      <c r="H1738">
        <v>8649</v>
      </c>
      <c r="I1738" t="s">
        <v>3519</v>
      </c>
      <c r="J1738" t="s">
        <v>3520</v>
      </c>
      <c r="K1738" t="s">
        <v>17</v>
      </c>
      <c r="L1738" t="str">
        <f t="shared" si="27"/>
        <v xml:space="preserve">{ longitude: -63.5646537102108, latitude: 44.6259177125204, stopType: 'Bus Stop Inaccessible', gotime: \'8649\', location: \'POINT PLEASANT PARK LOWER LOT\' }, </v>
      </c>
    </row>
    <row r="1739" spans="1:12" x14ac:dyDescent="0.25">
      <c r="A1739">
        <v>-63.532333362078802</v>
      </c>
      <c r="B1739">
        <v>44.690408395012803</v>
      </c>
      <c r="C1739">
        <v>480</v>
      </c>
      <c r="D1739" t="s">
        <v>29</v>
      </c>
      <c r="E1739" t="s">
        <v>12</v>
      </c>
      <c r="F1739" t="s">
        <v>13</v>
      </c>
      <c r="G1739" t="s">
        <v>14</v>
      </c>
      <c r="H1739">
        <v>6363</v>
      </c>
      <c r="I1739" t="s">
        <v>3521</v>
      </c>
      <c r="J1739" t="s">
        <v>3522</v>
      </c>
      <c r="K1739" t="s">
        <v>17</v>
      </c>
      <c r="L1739" t="str">
        <f t="shared" si="27"/>
        <v xml:space="preserve">{ longitude: -63.5323333620788, latitude: 44.6904083950128, stopType: 'Bus Stop Accessible', gotime: \'6363\', location: \'CALEDONIA RD NS STRATH LANE\' }, </v>
      </c>
    </row>
    <row r="1740" spans="1:12" x14ac:dyDescent="0.25">
      <c r="A1740">
        <v>-63.633781132944101</v>
      </c>
      <c r="B1740">
        <v>44.636476858429504</v>
      </c>
      <c r="C1740">
        <v>1749</v>
      </c>
      <c r="D1740" t="s">
        <v>11</v>
      </c>
      <c r="E1740" t="s">
        <v>12</v>
      </c>
      <c r="F1740" t="s">
        <v>13</v>
      </c>
      <c r="G1740" t="s">
        <v>19</v>
      </c>
      <c r="H1740">
        <v>8650</v>
      </c>
      <c r="I1740" t="s">
        <v>3523</v>
      </c>
      <c r="J1740" t="s">
        <v>3524</v>
      </c>
      <c r="K1740" t="s">
        <v>17</v>
      </c>
      <c r="L1740" t="str">
        <f t="shared" si="27"/>
        <v xml:space="preserve">{ longitude: -63.6337811329441, latitude: 44.6364768584295, stopType: 'Bus Stop Non-Standard', gotime: \'8650\', location: \'ST MARGARETS BAY RD AT CIVIC 120\' }, </v>
      </c>
    </row>
    <row r="1741" spans="1:12" x14ac:dyDescent="0.25">
      <c r="A1741">
        <v>-63.536681659600497</v>
      </c>
      <c r="B1741">
        <v>44.6980360424512</v>
      </c>
      <c r="C1741">
        <v>481</v>
      </c>
      <c r="D1741" t="s">
        <v>29</v>
      </c>
      <c r="E1741" t="s">
        <v>12</v>
      </c>
      <c r="F1741" t="s">
        <v>13</v>
      </c>
      <c r="G1741" t="s">
        <v>14</v>
      </c>
      <c r="H1741">
        <v>6364</v>
      </c>
      <c r="I1741" t="s">
        <v>3525</v>
      </c>
      <c r="J1741" t="s">
        <v>3526</v>
      </c>
      <c r="K1741" t="s">
        <v>17</v>
      </c>
      <c r="L1741" t="str">
        <f t="shared" si="27"/>
        <v xml:space="preserve">{ longitude: -63.5366816596005, latitude: 44.6980360424512, stopType: 'Bus Stop Accessible', gotime: \'6364\', location: \'CALEDONIA RD AT CIVIC 212\' }, </v>
      </c>
    </row>
    <row r="1742" spans="1:12" x14ac:dyDescent="0.25">
      <c r="A1742">
        <v>-63.6582011908068</v>
      </c>
      <c r="B1742">
        <v>44.632253928338798</v>
      </c>
      <c r="C1742">
        <v>1750</v>
      </c>
      <c r="D1742" t="s">
        <v>11</v>
      </c>
      <c r="E1742" t="s">
        <v>12</v>
      </c>
      <c r="F1742" t="s">
        <v>13</v>
      </c>
      <c r="G1742" t="s">
        <v>3527</v>
      </c>
      <c r="H1742">
        <v>8651</v>
      </c>
      <c r="I1742" t="s">
        <v>3528</v>
      </c>
      <c r="J1742" s="1" t="s">
        <v>3529</v>
      </c>
      <c r="K1742" t="s">
        <v>17</v>
      </c>
      <c r="L1742" t="str">
        <f t="shared" si="27"/>
        <v xml:space="preserve">{ longitude: -63.6582011908068, latitude: 44.6322539283388, stopType: 'Bus Stop Non-Standard', gotime: \'8651\', location: \'ST MARGARETS BAY RD AT LONG LAKE PARK\' }, </v>
      </c>
    </row>
    <row r="1743" spans="1:12" x14ac:dyDescent="0.25">
      <c r="A1743">
        <v>-63.589328673370098</v>
      </c>
      <c r="B1743">
        <v>44.644687578603197</v>
      </c>
      <c r="C1743">
        <v>482</v>
      </c>
      <c r="D1743" t="s">
        <v>29</v>
      </c>
      <c r="E1743" t="s">
        <v>12</v>
      </c>
      <c r="F1743" t="s">
        <v>13</v>
      </c>
      <c r="G1743" t="s">
        <v>19</v>
      </c>
      <c r="H1743">
        <v>8196</v>
      </c>
      <c r="I1743" t="s">
        <v>3530</v>
      </c>
      <c r="J1743" t="s">
        <v>3531</v>
      </c>
      <c r="K1743" t="s">
        <v>17</v>
      </c>
      <c r="L1743" t="str">
        <f t="shared" si="27"/>
        <v xml:space="preserve">{ longitude: -63.5893286733701, latitude: 44.6446875786032, stopType: 'Bus Stop Accessible', gotime: \'8196\', location: \'ROBIE ST AT CIVIC 1762 &lt;SB&gt;\' }, </v>
      </c>
    </row>
    <row r="1744" spans="1:12" x14ac:dyDescent="0.25">
      <c r="A1744">
        <v>-63.633669545394703</v>
      </c>
      <c r="B1744">
        <v>44.636564029930298</v>
      </c>
      <c r="C1744">
        <v>1751</v>
      </c>
      <c r="D1744" t="s">
        <v>11</v>
      </c>
      <c r="E1744" t="s">
        <v>12</v>
      </c>
      <c r="F1744" t="s">
        <v>13</v>
      </c>
      <c r="G1744" t="s">
        <v>19</v>
      </c>
      <c r="H1744">
        <v>8652</v>
      </c>
      <c r="I1744" t="s">
        <v>3532</v>
      </c>
      <c r="J1744" t="s">
        <v>3533</v>
      </c>
      <c r="K1744" t="s">
        <v>17</v>
      </c>
      <c r="L1744" t="str">
        <f t="shared" si="27"/>
        <v xml:space="preserve">{ longitude: -63.6336695453947, latitude: 44.6365640299303, stopType: 'Bus Stop Non-Standard', gotime: \'8652\', location: \'ST MARGARETS BAY RD AT CIVICIC 121\' }, </v>
      </c>
    </row>
    <row r="1745" spans="1:12" x14ac:dyDescent="0.25">
      <c r="A1745">
        <v>-63.539465528701903</v>
      </c>
      <c r="B1745">
        <v>44.702044463867303</v>
      </c>
      <c r="C1745">
        <v>483</v>
      </c>
      <c r="D1745" t="s">
        <v>11</v>
      </c>
      <c r="E1745" t="s">
        <v>12</v>
      </c>
      <c r="F1745" t="s">
        <v>25</v>
      </c>
      <c r="G1745" t="s">
        <v>19</v>
      </c>
      <c r="H1745">
        <v>6365</v>
      </c>
      <c r="I1745" t="s">
        <v>3534</v>
      </c>
      <c r="J1745" t="s">
        <v>3535</v>
      </c>
      <c r="K1745" t="s">
        <v>17</v>
      </c>
      <c r="L1745" t="str">
        <f t="shared" si="27"/>
        <v xml:space="preserve">{ longitude: -63.5394655287019, latitude: 44.7020444638673, stopType: 'Bus Stop Non-Standard', gotime: \'6365\', location: \'BREEZE DR NS APPIAN WAY\' }, </v>
      </c>
    </row>
    <row r="1746" spans="1:12" x14ac:dyDescent="0.25">
      <c r="A1746">
        <v>-63.658698213291402</v>
      </c>
      <c r="B1746">
        <v>44.632316275149599</v>
      </c>
      <c r="C1746">
        <v>1752</v>
      </c>
      <c r="D1746" t="s">
        <v>11</v>
      </c>
      <c r="E1746" t="s">
        <v>12</v>
      </c>
      <c r="F1746" t="s">
        <v>13</v>
      </c>
      <c r="G1746" t="s">
        <v>3527</v>
      </c>
      <c r="H1746">
        <v>8653</v>
      </c>
      <c r="I1746" t="s">
        <v>3536</v>
      </c>
      <c r="J1746" t="s">
        <v>3537</v>
      </c>
      <c r="K1746" t="s">
        <v>17</v>
      </c>
      <c r="L1746" t="str">
        <f t="shared" si="27"/>
        <v xml:space="preserve">{ longitude: -63.6586982132914, latitude: 44.6323162751496, stopType: 'Bus Stop Non-Standard', gotime: \'8653\', location: \'ST MARGARETS BAY RD OPP LONG LAKE PARK\' }, </v>
      </c>
    </row>
    <row r="1747" spans="1:12" x14ac:dyDescent="0.25">
      <c r="A1747">
        <v>-63.5307634726177</v>
      </c>
      <c r="B1747">
        <v>44.687256614395402</v>
      </c>
      <c r="C1747">
        <v>484</v>
      </c>
      <c r="D1747" t="s">
        <v>22</v>
      </c>
      <c r="E1747" t="s">
        <v>12</v>
      </c>
      <c r="F1747" t="s">
        <v>13</v>
      </c>
      <c r="G1747" t="s">
        <v>14</v>
      </c>
      <c r="H1747">
        <v>6366</v>
      </c>
      <c r="I1747" t="s">
        <v>3538</v>
      </c>
      <c r="J1747" t="s">
        <v>3539</v>
      </c>
      <c r="K1747" t="s">
        <v>17</v>
      </c>
      <c r="L1747" t="str">
        <f t="shared" si="27"/>
        <v xml:space="preserve">{ longitude: -63.5307634726177, latitude: 44.6872566143954, stopType: 'Bus Stop Shelter Accessible', gotime: \'6366\', location: \'CALEDONIA RD NS CHURCHILL DR\' }, </v>
      </c>
    </row>
    <row r="1748" spans="1:12" x14ac:dyDescent="0.25">
      <c r="A1748">
        <v>-63.563962095255903</v>
      </c>
      <c r="B1748">
        <v>44.705748756351099</v>
      </c>
      <c r="C1748">
        <v>1753</v>
      </c>
      <c r="D1748" t="s">
        <v>29</v>
      </c>
      <c r="E1748" t="s">
        <v>12</v>
      </c>
      <c r="F1748" t="s">
        <v>25</v>
      </c>
      <c r="G1748" t="s">
        <v>19</v>
      </c>
      <c r="H1748">
        <v>8654</v>
      </c>
      <c r="I1748" t="s">
        <v>3540</v>
      </c>
      <c r="J1748" t="s">
        <v>3541</v>
      </c>
      <c r="K1748" t="s">
        <v>17</v>
      </c>
      <c r="L1748" t="str">
        <f t="shared" si="27"/>
        <v xml:space="preserve">{ longitude: -63.5639620952559, latitude: 44.7057487563511, stopType: 'Bus Stop Accessible', gotime: \'8654\', location: \'COUNTRY VIEW DR FS SHUBIE DR\' }, </v>
      </c>
    </row>
    <row r="1749" spans="1:12" x14ac:dyDescent="0.25">
      <c r="A1749">
        <v>-63.533904482688101</v>
      </c>
      <c r="B1749">
        <v>44.693465845960802</v>
      </c>
      <c r="C1749">
        <v>485</v>
      </c>
      <c r="D1749" t="s">
        <v>29</v>
      </c>
      <c r="E1749" t="s">
        <v>12</v>
      </c>
      <c r="F1749" t="s">
        <v>25</v>
      </c>
      <c r="G1749" t="s">
        <v>26</v>
      </c>
      <c r="H1749">
        <v>6367</v>
      </c>
      <c r="I1749" t="s">
        <v>3542</v>
      </c>
      <c r="J1749" t="s">
        <v>3543</v>
      </c>
      <c r="K1749" t="s">
        <v>17</v>
      </c>
      <c r="L1749" t="str">
        <f t="shared" si="27"/>
        <v xml:space="preserve">{ longitude: -63.5339044826881, latitude: 44.6934658459608, stopType: 'Bus Stop Accessible', gotime: \'6367\', location: \'CALEDONIA RD NS DUNBARTON AVE\' }, </v>
      </c>
    </row>
    <row r="1750" spans="1:12" x14ac:dyDescent="0.25">
      <c r="A1750">
        <v>-63.565486924021599</v>
      </c>
      <c r="B1750">
        <v>44.703529323373701</v>
      </c>
      <c r="C1750">
        <v>1754</v>
      </c>
      <c r="D1750" t="s">
        <v>29</v>
      </c>
      <c r="E1750" t="s">
        <v>12</v>
      </c>
      <c r="F1750" t="s">
        <v>25</v>
      </c>
      <c r="G1750" t="s">
        <v>19</v>
      </c>
      <c r="H1750">
        <v>8655</v>
      </c>
      <c r="I1750" t="s">
        <v>3544</v>
      </c>
      <c r="J1750" t="s">
        <v>3545</v>
      </c>
      <c r="K1750" t="s">
        <v>17</v>
      </c>
      <c r="L1750" t="str">
        <f t="shared" si="27"/>
        <v xml:space="preserve">{ longitude: -63.5654869240216, latitude: 44.7035293233737, stopType: 'Bus Stop Accessible', gotime: \'8655\', location: \'COUNTRY VIEW DR FS MCCLURE CL\' }, </v>
      </c>
    </row>
    <row r="1751" spans="1:12" x14ac:dyDescent="0.25">
      <c r="A1751">
        <v>-63.585711225447</v>
      </c>
      <c r="B1751">
        <v>44.638462326177397</v>
      </c>
      <c r="C1751">
        <v>486</v>
      </c>
      <c r="D1751" t="s">
        <v>29</v>
      </c>
      <c r="E1751" t="s">
        <v>12</v>
      </c>
      <c r="F1751" t="s">
        <v>13</v>
      </c>
      <c r="G1751" t="s">
        <v>19</v>
      </c>
      <c r="H1751">
        <v>8187</v>
      </c>
      <c r="I1751" t="s">
        <v>3546</v>
      </c>
      <c r="J1751" t="s">
        <v>3547</v>
      </c>
      <c r="K1751" t="s">
        <v>17</v>
      </c>
      <c r="L1751" t="str">
        <f t="shared" si="27"/>
        <v xml:space="preserve">{ longitude: -63.585711225447, latitude: 44.6384623261774, stopType: 'Bus Stop Accessible', gotime: \'8187\', location: \'ROBIE ST FS UNIVERSITY AVE &lt;NB&gt;\' }, </v>
      </c>
    </row>
    <row r="1752" spans="1:12" x14ac:dyDescent="0.25">
      <c r="A1752">
        <v>-63.564693569318699</v>
      </c>
      <c r="B1752">
        <v>44.700291941016403</v>
      </c>
      <c r="C1752">
        <v>1755</v>
      </c>
      <c r="D1752" t="s">
        <v>29</v>
      </c>
      <c r="E1752" t="s">
        <v>12</v>
      </c>
      <c r="F1752" t="s">
        <v>25</v>
      </c>
      <c r="G1752" t="s">
        <v>19</v>
      </c>
      <c r="H1752">
        <v>8656</v>
      </c>
      <c r="I1752" t="s">
        <v>3548</v>
      </c>
      <c r="J1752" t="s">
        <v>3549</v>
      </c>
      <c r="K1752" t="s">
        <v>17</v>
      </c>
      <c r="L1752" t="str">
        <f t="shared" si="27"/>
        <v xml:space="preserve">{ longitude: -63.5646935693187, latitude: 44.7002919410164, stopType: 'Bus Stop Accessible', gotime: \'8656\', location: \'GALE TERRACE FS COMMODORE DR\' }, </v>
      </c>
    </row>
    <row r="1753" spans="1:12" x14ac:dyDescent="0.25">
      <c r="A1753">
        <v>-63.5856396806033</v>
      </c>
      <c r="B1753">
        <v>44.637648442757403</v>
      </c>
      <c r="C1753">
        <v>487</v>
      </c>
      <c r="D1753" t="s">
        <v>22</v>
      </c>
      <c r="E1753" t="s">
        <v>12</v>
      </c>
      <c r="F1753" t="s">
        <v>13</v>
      </c>
      <c r="G1753" t="s">
        <v>19</v>
      </c>
      <c r="H1753">
        <v>8188</v>
      </c>
      <c r="I1753" t="s">
        <v>3550</v>
      </c>
      <c r="J1753" t="s">
        <v>3551</v>
      </c>
      <c r="K1753" t="s">
        <v>17</v>
      </c>
      <c r="L1753" t="str">
        <f t="shared" si="27"/>
        <v xml:space="preserve">{ longitude: -63.5856396806033, latitude: 44.6376484427574, stopType: 'Bus Stop Shelter Accessible', gotime: \'8188\', location: \'ROBIE ST FS UNIVERSITY AVE &lt;SB&gt;\' }, </v>
      </c>
    </row>
    <row r="1754" spans="1:12" x14ac:dyDescent="0.25">
      <c r="A1754">
        <v>-63.591359169726502</v>
      </c>
      <c r="B1754">
        <v>44.648499946331398</v>
      </c>
      <c r="C1754">
        <v>488</v>
      </c>
      <c r="D1754" t="s">
        <v>22</v>
      </c>
      <c r="E1754" t="s">
        <v>12</v>
      </c>
      <c r="F1754" t="s">
        <v>13</v>
      </c>
      <c r="G1754" t="s">
        <v>19</v>
      </c>
      <c r="H1754">
        <v>8190</v>
      </c>
      <c r="I1754" t="s">
        <v>3552</v>
      </c>
      <c r="J1754" t="s">
        <v>3553</v>
      </c>
      <c r="K1754" t="s">
        <v>17</v>
      </c>
      <c r="L1754" t="str">
        <f t="shared" si="27"/>
        <v xml:space="preserve">{ longitude: -63.5913591697265, latitude: 44.6484999463314, stopType: 'Bus Stop Shelter Accessible', gotime: \'8190\', location: \'ROBIE ST FS WELSFORD &lt;SB&gt;\' }, </v>
      </c>
    </row>
    <row r="1755" spans="1:12" x14ac:dyDescent="0.25">
      <c r="A1755">
        <v>-63.636796696953198</v>
      </c>
      <c r="B1755">
        <v>44.659253995213</v>
      </c>
      <c r="C1755">
        <v>1756</v>
      </c>
      <c r="D1755" t="s">
        <v>11</v>
      </c>
      <c r="E1755" t="s">
        <v>12</v>
      </c>
      <c r="F1755" t="s">
        <v>13</v>
      </c>
      <c r="G1755" t="s">
        <v>19</v>
      </c>
      <c r="H1755">
        <v>6296</v>
      </c>
      <c r="I1755" t="s">
        <v>3554</v>
      </c>
      <c r="J1755" t="s">
        <v>3555</v>
      </c>
      <c r="K1755" t="s">
        <v>17</v>
      </c>
      <c r="L1755" t="str">
        <f t="shared" si="27"/>
        <v xml:space="preserve">{ longitude: -63.6367966969532, latitude: 44.659253995213, stopType: 'Bus Stop Non-Standard', gotime: \'6296\', location: \'BERTS DR AT MAIN AVE\' }, </v>
      </c>
    </row>
    <row r="1756" spans="1:12" x14ac:dyDescent="0.25">
      <c r="A1756">
        <v>-63.602481341946799</v>
      </c>
      <c r="B1756">
        <v>44.659823740070003</v>
      </c>
      <c r="C1756">
        <v>489</v>
      </c>
      <c r="D1756" t="s">
        <v>22</v>
      </c>
      <c r="E1756" t="s">
        <v>12</v>
      </c>
      <c r="F1756" t="s">
        <v>13</v>
      </c>
      <c r="G1756" t="s">
        <v>19</v>
      </c>
      <c r="H1756">
        <v>8192</v>
      </c>
      <c r="I1756" t="s">
        <v>3556</v>
      </c>
      <c r="J1756" t="s">
        <v>3557</v>
      </c>
      <c r="K1756" t="s">
        <v>17</v>
      </c>
      <c r="L1756" t="str">
        <f t="shared" si="27"/>
        <v xml:space="preserve">{ longitude: -63.6024813419468, latitude: 44.65982374007, stopType: 'Bus Stop Shelter Accessible', gotime: \'8192\', location: \'ROBIE ST FS YOUNG ST &lt;NB&gt;\' }, </v>
      </c>
    </row>
    <row r="1757" spans="1:12" x14ac:dyDescent="0.25">
      <c r="A1757">
        <v>-63.580532609927197</v>
      </c>
      <c r="B1757">
        <v>44.672998449527697</v>
      </c>
      <c r="C1757">
        <v>1757</v>
      </c>
      <c r="D1757" t="s">
        <v>29</v>
      </c>
      <c r="E1757" t="s">
        <v>12</v>
      </c>
      <c r="F1757" t="s">
        <v>25</v>
      </c>
      <c r="G1757" t="s">
        <v>19</v>
      </c>
      <c r="H1757">
        <v>6302</v>
      </c>
      <c r="I1757" t="s">
        <v>3558</v>
      </c>
      <c r="J1757" t="s">
        <v>3559</v>
      </c>
      <c r="K1757" t="s">
        <v>17</v>
      </c>
      <c r="L1757" t="str">
        <f t="shared" si="27"/>
        <v xml:space="preserve">{ longitude: -63.5805326099272, latitude: 44.6729984495277, stopType: 'Bus Stop Accessible', gotime: \'6302\', location: \'BOLAND RD FS CAIRN ST\' }, </v>
      </c>
    </row>
    <row r="1758" spans="1:12" x14ac:dyDescent="0.25">
      <c r="A1758">
        <v>-63.601981472515398</v>
      </c>
      <c r="B1758">
        <v>44.659318704200501</v>
      </c>
      <c r="C1758">
        <v>490</v>
      </c>
      <c r="D1758" t="s">
        <v>29</v>
      </c>
      <c r="E1758" t="s">
        <v>12</v>
      </c>
      <c r="F1758" t="s">
        <v>13</v>
      </c>
      <c r="G1758" t="s">
        <v>19</v>
      </c>
      <c r="H1758">
        <v>8193</v>
      </c>
      <c r="I1758" t="s">
        <v>3560</v>
      </c>
      <c r="J1758" t="s">
        <v>3561</v>
      </c>
      <c r="K1758" t="s">
        <v>17</v>
      </c>
      <c r="L1758" t="str">
        <f t="shared" si="27"/>
        <v xml:space="preserve">{ longitude: -63.6019814725154, latitude: 44.6593187042005, stopType: 'Bus Stop Accessible', gotime: \'8193\', location: \'ROBIE ST FS YOUNG ST &lt;SB&gt;\' }, </v>
      </c>
    </row>
    <row r="1759" spans="1:12" x14ac:dyDescent="0.25">
      <c r="A1759">
        <v>-63.587484956928101</v>
      </c>
      <c r="B1759">
        <v>44.641465070602202</v>
      </c>
      <c r="C1759">
        <v>491</v>
      </c>
      <c r="D1759" t="s">
        <v>29</v>
      </c>
      <c r="E1759" t="s">
        <v>12</v>
      </c>
      <c r="F1759" t="s">
        <v>25</v>
      </c>
      <c r="G1759" t="s">
        <v>19</v>
      </c>
      <c r="H1759">
        <v>8194</v>
      </c>
      <c r="I1759" t="s">
        <v>3562</v>
      </c>
      <c r="J1759" t="s">
        <v>3563</v>
      </c>
      <c r="K1759" t="s">
        <v>17</v>
      </c>
      <c r="L1759" t="str">
        <f t="shared" si="27"/>
        <v xml:space="preserve">{ longitude: -63.5874849569281, latitude: 44.6414650706022, stopType: 'Bus Stop Accessible', gotime: \'8194\', location: \'ROBIE ST AT CIVIC 1560 &lt;SB&gt;\' }, </v>
      </c>
    </row>
    <row r="1760" spans="1:12" x14ac:dyDescent="0.25">
      <c r="A1760">
        <v>-63.578086315799801</v>
      </c>
      <c r="B1760">
        <v>44.674921408958298</v>
      </c>
      <c r="C1760">
        <v>1758</v>
      </c>
      <c r="D1760" t="s">
        <v>29</v>
      </c>
      <c r="E1760" t="s">
        <v>12</v>
      </c>
      <c r="F1760" t="s">
        <v>13</v>
      </c>
      <c r="G1760" t="s">
        <v>19</v>
      </c>
      <c r="H1760">
        <v>6303</v>
      </c>
      <c r="I1760" t="s">
        <v>3564</v>
      </c>
      <c r="J1760" t="s">
        <v>3565</v>
      </c>
      <c r="K1760" t="s">
        <v>17</v>
      </c>
      <c r="L1760" t="str">
        <f t="shared" si="27"/>
        <v xml:space="preserve">{ longitude: -63.5780863157998, latitude: 44.6749214089583, stopType: 'Bus Stop Accessible', gotime: \'6303\', location: \'BOLAND RD NS VICTORIA RD\' }, </v>
      </c>
    </row>
    <row r="1761" spans="1:12" x14ac:dyDescent="0.25">
      <c r="A1761">
        <v>-63.588493813482899</v>
      </c>
      <c r="B1761">
        <v>44.643089757644297</v>
      </c>
      <c r="C1761">
        <v>492</v>
      </c>
      <c r="D1761" t="s">
        <v>29</v>
      </c>
      <c r="E1761" t="s">
        <v>12</v>
      </c>
      <c r="F1761" t="s">
        <v>13</v>
      </c>
      <c r="G1761" t="s">
        <v>19</v>
      </c>
      <c r="H1761">
        <v>8195</v>
      </c>
      <c r="I1761" t="s">
        <v>3566</v>
      </c>
      <c r="J1761" t="s">
        <v>3567</v>
      </c>
      <c r="K1761" t="s">
        <v>17</v>
      </c>
      <c r="L1761" t="str">
        <f t="shared" si="27"/>
        <v xml:space="preserve">{ longitude: -63.5884938134829, latitude: 44.6430897576443, stopType: 'Bus Stop Accessible', gotime: \'8195\', location: \'ROBIE ST AT CIVIC 1682 &lt;SB&gt;\' }, </v>
      </c>
    </row>
    <row r="1762" spans="1:12" x14ac:dyDescent="0.25">
      <c r="A1762">
        <v>-63.579760882774202</v>
      </c>
      <c r="B1762">
        <v>44.673498378320097</v>
      </c>
      <c r="C1762">
        <v>1759</v>
      </c>
      <c r="D1762" t="s">
        <v>29</v>
      </c>
      <c r="E1762" t="s">
        <v>12</v>
      </c>
      <c r="F1762" t="s">
        <v>13</v>
      </c>
      <c r="G1762" t="s">
        <v>19</v>
      </c>
      <c r="H1762">
        <v>6304</v>
      </c>
      <c r="I1762" t="s">
        <v>3568</v>
      </c>
      <c r="J1762" t="s">
        <v>3569</v>
      </c>
      <c r="K1762" t="s">
        <v>17</v>
      </c>
      <c r="L1762" t="str">
        <f t="shared" si="27"/>
        <v xml:space="preserve">{ longitude: -63.5797608827742, latitude: 44.6734983783201, stopType: 'Bus Stop Accessible', gotime: \'6304\', location: \'BOLAND RD OPP FS CAIRN ST\' }, </v>
      </c>
    </row>
    <row r="1763" spans="1:12" x14ac:dyDescent="0.25">
      <c r="A1763">
        <v>-63.605456265721898</v>
      </c>
      <c r="B1763">
        <v>44.6616410020128</v>
      </c>
      <c r="C1763">
        <v>493</v>
      </c>
      <c r="D1763" t="s">
        <v>29</v>
      </c>
      <c r="E1763" t="s">
        <v>12</v>
      </c>
      <c r="F1763" t="s">
        <v>13</v>
      </c>
      <c r="G1763" t="s">
        <v>19</v>
      </c>
      <c r="H1763">
        <v>8197</v>
      </c>
      <c r="I1763" t="s">
        <v>3570</v>
      </c>
      <c r="J1763" t="s">
        <v>3571</v>
      </c>
      <c r="K1763" t="s">
        <v>17</v>
      </c>
      <c r="L1763" t="str">
        <f t="shared" si="27"/>
        <v xml:space="preserve">{ longitude: -63.6054562657219, latitude: 44.6616410020128, stopType: 'Bus Stop Accessible', gotime: \'8197\', location: \'ROBIE ST AT CIVIC 3244 &lt;SB&gt;\' }, </v>
      </c>
    </row>
    <row r="1764" spans="1:12" x14ac:dyDescent="0.25">
      <c r="A1764">
        <v>-63.525438256648798</v>
      </c>
      <c r="B1764">
        <v>44.687740116277602</v>
      </c>
      <c r="C1764">
        <v>1760</v>
      </c>
      <c r="D1764" t="s">
        <v>11</v>
      </c>
      <c r="E1764" t="s">
        <v>12</v>
      </c>
      <c r="F1764" t="s">
        <v>13</v>
      </c>
      <c r="G1764" t="s">
        <v>14</v>
      </c>
      <c r="H1764">
        <v>6305</v>
      </c>
      <c r="I1764" t="s">
        <v>3572</v>
      </c>
      <c r="J1764" t="s">
        <v>3573</v>
      </c>
      <c r="K1764" t="s">
        <v>17</v>
      </c>
      <c r="L1764" t="str">
        <f t="shared" si="27"/>
        <v xml:space="preserve">{ longitude: -63.5254382566488, latitude: 44.6877401162776, stopType: 'Bus Stop Non-Standard', gotime: \'6305\', location: \'BOOTH ST  NS CIVIC 21\' }, </v>
      </c>
    </row>
    <row r="1765" spans="1:12" x14ac:dyDescent="0.25">
      <c r="A1765">
        <v>-63.598643405943101</v>
      </c>
      <c r="B1765">
        <v>44.657288071140002</v>
      </c>
      <c r="C1765">
        <v>494</v>
      </c>
      <c r="D1765" t="s">
        <v>22</v>
      </c>
      <c r="E1765" t="s">
        <v>12</v>
      </c>
      <c r="F1765" t="s">
        <v>13</v>
      </c>
      <c r="G1765" t="s">
        <v>19</v>
      </c>
      <c r="H1765">
        <v>8201</v>
      </c>
      <c r="I1765" t="s">
        <v>3574</v>
      </c>
      <c r="J1765" t="s">
        <v>3575</v>
      </c>
      <c r="K1765" t="s">
        <v>17</v>
      </c>
      <c r="L1765" t="str">
        <f t="shared" si="27"/>
        <v xml:space="preserve">{ longitude: -63.5986434059431, latitude: 44.65728807114, stopType: 'Bus Stop Shelter Accessible', gotime: \'8201\', location: \'ROBIE ST NS ALMON ST &lt;NB&gt;\' }, </v>
      </c>
    </row>
    <row r="1766" spans="1:12" x14ac:dyDescent="0.25">
      <c r="A1766">
        <v>-63.524140680284702</v>
      </c>
      <c r="B1766">
        <v>44.685887245154802</v>
      </c>
      <c r="C1766">
        <v>1761</v>
      </c>
      <c r="D1766" t="s">
        <v>103</v>
      </c>
      <c r="E1766" t="s">
        <v>12</v>
      </c>
      <c r="F1766" t="s">
        <v>13</v>
      </c>
      <c r="G1766" t="s">
        <v>65</v>
      </c>
      <c r="H1766">
        <v>6306</v>
      </c>
      <c r="I1766" t="s">
        <v>3576</v>
      </c>
      <c r="J1766" t="s">
        <v>3577</v>
      </c>
      <c r="K1766" t="s">
        <v>17</v>
      </c>
      <c r="L1766" t="str">
        <f t="shared" si="27"/>
        <v xml:space="preserve">{ longitude: -63.5241406802847, latitude: 44.6858872451548, stopType: 'Bus Stop Inaccessible', gotime: \'6306\', location: \'BOOTH ST  NS CIVIC 5\' }, </v>
      </c>
    </row>
    <row r="1767" spans="1:12" x14ac:dyDescent="0.25">
      <c r="A1767">
        <v>-63.599027587405701</v>
      </c>
      <c r="B1767">
        <v>44.657346271241003</v>
      </c>
      <c r="C1767">
        <v>495</v>
      </c>
      <c r="D1767" t="s">
        <v>29</v>
      </c>
      <c r="E1767" t="s">
        <v>12</v>
      </c>
      <c r="F1767" t="s">
        <v>13</v>
      </c>
      <c r="G1767" t="s">
        <v>19</v>
      </c>
      <c r="H1767">
        <v>8202</v>
      </c>
      <c r="I1767" t="s">
        <v>3578</v>
      </c>
      <c r="J1767" t="s">
        <v>3579</v>
      </c>
      <c r="K1767" t="s">
        <v>17</v>
      </c>
      <c r="L1767" t="str">
        <f t="shared" si="27"/>
        <v xml:space="preserve">{ longitude: -63.5990275874057, latitude: 44.657346271241, stopType: 'Bus Stop Accessible', gotime: \'8202\', location: \'ROBIE ST NS ALMON ST &lt;SB&gt;\' }, </v>
      </c>
    </row>
    <row r="1768" spans="1:12" x14ac:dyDescent="0.25">
      <c r="A1768">
        <v>-63.715932441784197</v>
      </c>
      <c r="B1768">
        <v>44.647423051068102</v>
      </c>
      <c r="C1768">
        <v>496</v>
      </c>
      <c r="D1768" t="s">
        <v>11</v>
      </c>
      <c r="E1768" t="s">
        <v>12</v>
      </c>
      <c r="F1768" t="s">
        <v>25</v>
      </c>
      <c r="G1768" t="s">
        <v>26</v>
      </c>
      <c r="H1768">
        <v>6170</v>
      </c>
      <c r="I1768" t="s">
        <v>3580</v>
      </c>
      <c r="J1768" t="s">
        <v>3581</v>
      </c>
      <c r="K1768" t="s">
        <v>17</v>
      </c>
      <c r="L1768" t="str">
        <f t="shared" si="27"/>
        <v xml:space="preserve">{ longitude: -63.7159324417842, latitude: 44.6474230510681, stopType: 'Bus Stop Non-Standard', gotime: \'6170\', location: \'ST MARGARETS BAY RD AT TIMBERLEA VILLAGE PKWY\' }, </v>
      </c>
    </row>
    <row r="1769" spans="1:12" x14ac:dyDescent="0.25">
      <c r="A1769">
        <v>-63.4855051204541</v>
      </c>
      <c r="B1769">
        <v>44.689167267423699</v>
      </c>
      <c r="C1769">
        <v>1762</v>
      </c>
      <c r="D1769" t="s">
        <v>11</v>
      </c>
      <c r="E1769" t="s">
        <v>12</v>
      </c>
      <c r="F1769" t="s">
        <v>25</v>
      </c>
      <c r="G1769" t="s">
        <v>160</v>
      </c>
      <c r="H1769">
        <v>6307</v>
      </c>
      <c r="I1769" t="s">
        <v>3582</v>
      </c>
      <c r="J1769" t="s">
        <v>3583</v>
      </c>
      <c r="K1769" t="s">
        <v>17</v>
      </c>
      <c r="L1769" t="str">
        <f t="shared" si="27"/>
        <v xml:space="preserve">{ longitude: -63.4855051204541, latitude: 44.6891672674237, stopType: 'Bus Stop Non-Standard', gotime: \'6307\', location: \'BRADORIAN DR AT CIVIC 98\' }, </v>
      </c>
    </row>
    <row r="1770" spans="1:12" x14ac:dyDescent="0.25">
      <c r="A1770">
        <v>-63.6284003555567</v>
      </c>
      <c r="B1770">
        <v>44.639010487917197</v>
      </c>
      <c r="C1770">
        <v>497</v>
      </c>
      <c r="D1770" t="s">
        <v>11</v>
      </c>
      <c r="E1770" t="s">
        <v>12</v>
      </c>
      <c r="F1770" t="s">
        <v>13</v>
      </c>
      <c r="G1770" t="s">
        <v>14</v>
      </c>
      <c r="H1770">
        <v>6171</v>
      </c>
      <c r="I1770" t="s">
        <v>3584</v>
      </c>
      <c r="J1770" t="s">
        <v>3585</v>
      </c>
      <c r="K1770" t="s">
        <v>17</v>
      </c>
      <c r="L1770" t="str">
        <f t="shared" si="27"/>
        <v xml:space="preserve">{ longitude: -63.6284003555567, latitude: 44.6390104879172, stopType: 'Bus Stop Non-Standard', gotime: \'6171\', location: \'ST MARGARETS BAY RD NS ALDERWOOD DR\' }, </v>
      </c>
    </row>
    <row r="1771" spans="1:12" x14ac:dyDescent="0.25">
      <c r="A1771">
        <v>-63.487278179002402</v>
      </c>
      <c r="B1771">
        <v>44.692395898217399</v>
      </c>
      <c r="C1771">
        <v>1763</v>
      </c>
      <c r="D1771" t="s">
        <v>11</v>
      </c>
      <c r="E1771" t="s">
        <v>12</v>
      </c>
      <c r="F1771" t="s">
        <v>25</v>
      </c>
      <c r="G1771" t="s">
        <v>160</v>
      </c>
      <c r="H1771">
        <v>6308</v>
      </c>
      <c r="I1771" t="s">
        <v>3586</v>
      </c>
      <c r="J1771" t="s">
        <v>3587</v>
      </c>
      <c r="K1771" t="s">
        <v>17</v>
      </c>
      <c r="L1771" t="str">
        <f t="shared" si="27"/>
        <v xml:space="preserve">{ longitude: -63.4872781790024, latitude: 44.6923958982174, stopType: 'Bus Stop Non-Standard', gotime: \'6308\', location: \'BRADORIAN DR FS CIVIC 16\' }, </v>
      </c>
    </row>
    <row r="1772" spans="1:12" x14ac:dyDescent="0.25">
      <c r="A1772">
        <v>-63.718536934769503</v>
      </c>
      <c r="B1772">
        <v>44.648745869866502</v>
      </c>
      <c r="C1772">
        <v>498</v>
      </c>
      <c r="D1772" t="s">
        <v>29</v>
      </c>
      <c r="E1772" t="s">
        <v>12</v>
      </c>
      <c r="F1772" t="s">
        <v>25</v>
      </c>
      <c r="G1772" t="s">
        <v>26</v>
      </c>
      <c r="H1772">
        <v>6172</v>
      </c>
      <c r="I1772" t="s">
        <v>3588</v>
      </c>
      <c r="J1772" t="s">
        <v>3589</v>
      </c>
      <c r="K1772" t="s">
        <v>17</v>
      </c>
      <c r="L1772" t="str">
        <f t="shared" si="27"/>
        <v xml:space="preserve">{ longitude: -63.7185369347695, latitude: 44.6487458698665, stopType: 'Bus Stop Accessible', gotime: \'6172\', location: \'ST MARGARETS BAY RD NS CIVIC 1966\' }, </v>
      </c>
    </row>
    <row r="1773" spans="1:12" x14ac:dyDescent="0.25">
      <c r="A1773">
        <v>-63.549103031412201</v>
      </c>
      <c r="B1773">
        <v>44.679886854069402</v>
      </c>
      <c r="C1773">
        <v>1764</v>
      </c>
      <c r="D1773" t="s">
        <v>64</v>
      </c>
      <c r="E1773" t="s">
        <v>12</v>
      </c>
      <c r="F1773" t="s">
        <v>25</v>
      </c>
      <c r="G1773" t="s">
        <v>65</v>
      </c>
      <c r="H1773">
        <v>6311</v>
      </c>
      <c r="I1773" t="s">
        <v>3590</v>
      </c>
      <c r="J1773" t="s">
        <v>3591</v>
      </c>
      <c r="K1773" t="s">
        <v>17</v>
      </c>
      <c r="L1773" t="str">
        <f t="shared" si="27"/>
        <v xml:space="preserve">{ longitude: -63.5491030314122, latitude: 44.6798868540694, stopType: 'Bus Stop Shelter Inaccessible', gotime: \'6311\', location: \'PRINCE ALBERT RD  AT SUPERSTORE\' }, </v>
      </c>
    </row>
    <row r="1774" spans="1:12" x14ac:dyDescent="0.25">
      <c r="A1774">
        <v>-63.728253626743701</v>
      </c>
      <c r="B1774">
        <v>44.653650761293498</v>
      </c>
      <c r="C1774">
        <v>499</v>
      </c>
      <c r="D1774" t="s">
        <v>11</v>
      </c>
      <c r="E1774" t="s">
        <v>12</v>
      </c>
      <c r="F1774" t="s">
        <v>13</v>
      </c>
      <c r="G1774" t="s">
        <v>14</v>
      </c>
      <c r="H1774">
        <v>6173</v>
      </c>
      <c r="I1774" t="s">
        <v>3592</v>
      </c>
      <c r="J1774" t="s">
        <v>3593</v>
      </c>
      <c r="K1774" t="s">
        <v>17</v>
      </c>
      <c r="L1774" t="str">
        <f t="shared" si="27"/>
        <v xml:space="preserve">{ longitude: -63.7282536267437, latitude: 44.6536507612935, stopType: 'Bus Stop Non-Standard', gotime: \'6173\', location: \'ST MARGARETS BAY RD NS CIVIC 2177\' }, </v>
      </c>
    </row>
    <row r="1775" spans="1:12" x14ac:dyDescent="0.25">
      <c r="A1775">
        <v>-63.5465068469085</v>
      </c>
      <c r="B1775">
        <v>44.6905118657263</v>
      </c>
      <c r="C1775">
        <v>1765</v>
      </c>
      <c r="D1775" t="s">
        <v>22</v>
      </c>
      <c r="E1775" t="s">
        <v>12</v>
      </c>
      <c r="F1775" t="s">
        <v>25</v>
      </c>
      <c r="G1775" t="s">
        <v>19</v>
      </c>
      <c r="H1775">
        <v>6312</v>
      </c>
      <c r="I1775" t="s">
        <v>3594</v>
      </c>
      <c r="J1775" t="s">
        <v>3595</v>
      </c>
      <c r="K1775" t="s">
        <v>17</v>
      </c>
      <c r="L1775" t="str">
        <f t="shared" si="27"/>
        <v xml:space="preserve">{ longitude: -63.5465068469085, latitude: 44.6905118657263, stopType: 'Bus Stop Shelter Accessible', gotime: \'6312\', location: \'BRAEMAR DR  NS BRAEMAR APT.\' }, </v>
      </c>
    </row>
    <row r="1776" spans="1:12" x14ac:dyDescent="0.25">
      <c r="A1776">
        <v>-63.736198226641299</v>
      </c>
      <c r="B1776">
        <v>44.657207959572197</v>
      </c>
      <c r="C1776">
        <v>500</v>
      </c>
      <c r="D1776" t="s">
        <v>11</v>
      </c>
      <c r="E1776" t="s">
        <v>12</v>
      </c>
      <c r="F1776" t="s">
        <v>13</v>
      </c>
      <c r="G1776" t="s">
        <v>14</v>
      </c>
      <c r="H1776">
        <v>6174</v>
      </c>
      <c r="I1776" t="s">
        <v>3596</v>
      </c>
      <c r="J1776" t="s">
        <v>3597</v>
      </c>
      <c r="K1776" t="s">
        <v>17</v>
      </c>
      <c r="L1776" t="str">
        <f t="shared" si="27"/>
        <v xml:space="preserve">{ longitude: -63.7361982266413, latitude: 44.6572079595722, stopType: 'Bus Stop Non-Standard', gotime: \'6174\', location: \'ST MARGARETS BAY RD NS CIVIC 2357\' }, </v>
      </c>
    </row>
    <row r="1777" spans="1:12" x14ac:dyDescent="0.25">
      <c r="A1777">
        <v>-63.5474928269049</v>
      </c>
      <c r="B1777">
        <v>44.685777248247703</v>
      </c>
      <c r="C1777">
        <v>1766</v>
      </c>
      <c r="D1777" t="s">
        <v>22</v>
      </c>
      <c r="E1777" t="s">
        <v>12</v>
      </c>
      <c r="F1777" t="s">
        <v>25</v>
      </c>
      <c r="G1777" t="s">
        <v>19</v>
      </c>
      <c r="H1777">
        <v>6313</v>
      </c>
      <c r="I1777" t="s">
        <v>3598</v>
      </c>
      <c r="J1777" t="s">
        <v>3599</v>
      </c>
      <c r="K1777" t="s">
        <v>17</v>
      </c>
      <c r="L1777" t="str">
        <f t="shared" si="27"/>
        <v xml:space="preserve">{ longitude: -63.5474928269049, latitude: 44.6857772482477, stopType: 'Bus Stop Shelter Accessible', gotime: \'6313\', location: \'BRAEMAR DR NS PARCLO\' }, </v>
      </c>
    </row>
    <row r="1778" spans="1:12" x14ac:dyDescent="0.25">
      <c r="A1778">
        <v>-63.722794056464998</v>
      </c>
      <c r="B1778">
        <v>44.650943865800699</v>
      </c>
      <c r="C1778">
        <v>501</v>
      </c>
      <c r="D1778" t="s">
        <v>11</v>
      </c>
      <c r="E1778" t="s">
        <v>12</v>
      </c>
      <c r="F1778" t="s">
        <v>25</v>
      </c>
      <c r="G1778" t="s">
        <v>26</v>
      </c>
      <c r="H1778">
        <v>6175</v>
      </c>
      <c r="I1778" t="s">
        <v>3600</v>
      </c>
      <c r="J1778" t="s">
        <v>3601</v>
      </c>
      <c r="K1778" t="s">
        <v>17</v>
      </c>
      <c r="L1778" t="str">
        <f t="shared" si="27"/>
        <v xml:space="preserve">{ longitude: -63.722794056465, latitude: 44.6509438658007, stopType: 'Bus Stop Non-Standard', gotime: \'6175\', location: \'ST MARGARETS BAY RD NS DEVONSHIRE DR\' }, </v>
      </c>
    </row>
    <row r="1779" spans="1:12" x14ac:dyDescent="0.25">
      <c r="A1779">
        <v>-63.546932138765499</v>
      </c>
      <c r="B1779">
        <v>44.6884274843299</v>
      </c>
      <c r="C1779">
        <v>1767</v>
      </c>
      <c r="D1779" t="s">
        <v>22</v>
      </c>
      <c r="E1779" t="s">
        <v>12</v>
      </c>
      <c r="F1779" t="s">
        <v>25</v>
      </c>
      <c r="G1779" t="s">
        <v>19</v>
      </c>
      <c r="H1779">
        <v>6314</v>
      </c>
      <c r="I1779" t="s">
        <v>3602</v>
      </c>
      <c r="J1779" t="s">
        <v>3603</v>
      </c>
      <c r="K1779" t="s">
        <v>17</v>
      </c>
      <c r="L1779" t="str">
        <f t="shared" si="27"/>
        <v xml:space="preserve">{ longitude: -63.5469321387655, latitude: 44.6884274843299, stopType: 'Bus Stop Shelter Accessible', gotime: \'6314\', location: \'BRAEMAR DR OPP MAPLE ST\' }, </v>
      </c>
    </row>
    <row r="1780" spans="1:12" x14ac:dyDescent="0.25">
      <c r="A1780">
        <v>-63.723521637824703</v>
      </c>
      <c r="B1780">
        <v>44.651218808094399</v>
      </c>
      <c r="C1780">
        <v>502</v>
      </c>
      <c r="D1780" t="s">
        <v>22</v>
      </c>
      <c r="E1780" t="s">
        <v>12</v>
      </c>
      <c r="F1780" t="s">
        <v>25</v>
      </c>
      <c r="G1780" t="s">
        <v>19</v>
      </c>
      <c r="H1780">
        <v>6176</v>
      </c>
      <c r="I1780" t="s">
        <v>3600</v>
      </c>
      <c r="J1780" t="s">
        <v>3604</v>
      </c>
      <c r="K1780" t="s">
        <v>17</v>
      </c>
      <c r="L1780" t="str">
        <f t="shared" si="27"/>
        <v xml:space="preserve">{ longitude: -63.7235216378247, latitude: 44.6512188080944, stopType: 'Bus Stop Shelter Accessible', gotime: \'6176\', location: \'ST MARGARETS BAY RD NS DEVONSHIRE DR\' }, </v>
      </c>
    </row>
    <row r="1781" spans="1:12" x14ac:dyDescent="0.25">
      <c r="A1781">
        <v>-63.733623214071002</v>
      </c>
      <c r="B1781">
        <v>44.654841950660099</v>
      </c>
      <c r="C1781">
        <v>1768</v>
      </c>
      <c r="D1781" t="s">
        <v>11</v>
      </c>
      <c r="E1781" t="s">
        <v>12</v>
      </c>
      <c r="F1781" t="s">
        <v>25</v>
      </c>
      <c r="G1781" t="s">
        <v>26</v>
      </c>
      <c r="H1781">
        <v>6315</v>
      </c>
      <c r="I1781" t="s">
        <v>3605</v>
      </c>
      <c r="J1781" t="s">
        <v>3606</v>
      </c>
      <c r="K1781" t="s">
        <v>17</v>
      </c>
      <c r="L1781" t="str">
        <f t="shared" si="27"/>
        <v xml:space="preserve">{ longitude: -63.733623214071, latitude: 44.6548419506601, stopType: 'Bus Stop Non-Standard', gotime: \'6315\', location: \'BRENTWOOD AVE AT CIVIC 5\' }, </v>
      </c>
    </row>
    <row r="1782" spans="1:12" x14ac:dyDescent="0.25">
      <c r="A1782">
        <v>-63.705498769696099</v>
      </c>
      <c r="B1782">
        <v>44.639674128492501</v>
      </c>
      <c r="C1782">
        <v>503</v>
      </c>
      <c r="D1782" t="s">
        <v>29</v>
      </c>
      <c r="E1782" t="s">
        <v>12</v>
      </c>
      <c r="F1782" t="s">
        <v>25</v>
      </c>
      <c r="G1782" t="s">
        <v>26</v>
      </c>
      <c r="H1782">
        <v>6177</v>
      </c>
      <c r="I1782" t="s">
        <v>3607</v>
      </c>
      <c r="J1782" t="s">
        <v>3608</v>
      </c>
      <c r="K1782" t="s">
        <v>17</v>
      </c>
      <c r="L1782" t="str">
        <f t="shared" si="27"/>
        <v xml:space="preserve">{ longitude: -63.7054987696961, latitude: 44.6396741284925, stopType: 'Bus Stop Accessible', gotime: \'6177\', location: \'ST MARGARETS BAY RD NS DONOVON DR\' }, </v>
      </c>
    </row>
    <row r="1783" spans="1:12" x14ac:dyDescent="0.25">
      <c r="A1783">
        <v>-63.736357446604401</v>
      </c>
      <c r="B1783">
        <v>44.653060313188398</v>
      </c>
      <c r="C1783">
        <v>1769</v>
      </c>
      <c r="D1783" t="s">
        <v>11</v>
      </c>
      <c r="E1783" t="s">
        <v>12</v>
      </c>
      <c r="F1783" t="s">
        <v>25</v>
      </c>
      <c r="G1783" t="s">
        <v>26</v>
      </c>
      <c r="H1783">
        <v>6316</v>
      </c>
      <c r="I1783" t="s">
        <v>3609</v>
      </c>
      <c r="J1783" t="s">
        <v>3610</v>
      </c>
      <c r="K1783" t="s">
        <v>17</v>
      </c>
      <c r="L1783" t="str">
        <f t="shared" si="27"/>
        <v xml:space="preserve">{ longitude: -63.7363574466044, latitude: 44.6530603131884, stopType: 'Bus Stop Non-Standard', gotime: \'6316\', location: \'BRENTWOOD AVE FS CIVIC 73\' }, </v>
      </c>
    </row>
    <row r="1784" spans="1:12" x14ac:dyDescent="0.25">
      <c r="A1784">
        <v>-63.707288380058998</v>
      </c>
      <c r="B1784">
        <v>44.642476497883798</v>
      </c>
      <c r="C1784">
        <v>504</v>
      </c>
      <c r="D1784" t="s">
        <v>29</v>
      </c>
      <c r="E1784" t="s">
        <v>12</v>
      </c>
      <c r="F1784" t="s">
        <v>25</v>
      </c>
      <c r="G1784" t="s">
        <v>26</v>
      </c>
      <c r="H1784">
        <v>6178</v>
      </c>
      <c r="I1784" t="s">
        <v>3611</v>
      </c>
      <c r="J1784" t="s">
        <v>3612</v>
      </c>
      <c r="K1784" t="s">
        <v>17</v>
      </c>
      <c r="L1784" t="str">
        <f t="shared" si="27"/>
        <v xml:space="preserve">{ longitude: -63.707288380059, latitude: 44.6424764978838, stopType: 'Bus Stop Accessible', gotime: \'6178\', location: \'ST MARGARETS BAY RD NS GOVERNORS LAKE RD\' }, </v>
      </c>
    </row>
    <row r="1785" spans="1:12" x14ac:dyDescent="0.25">
      <c r="A1785">
        <v>-63.7336883149435</v>
      </c>
      <c r="B1785">
        <v>44.654685701611299</v>
      </c>
      <c r="C1785">
        <v>1770</v>
      </c>
      <c r="D1785" t="s">
        <v>64</v>
      </c>
      <c r="E1785" t="s">
        <v>12</v>
      </c>
      <c r="F1785" t="s">
        <v>13</v>
      </c>
      <c r="G1785" t="s">
        <v>65</v>
      </c>
      <c r="H1785">
        <v>6317</v>
      </c>
      <c r="I1785" t="s">
        <v>3613</v>
      </c>
      <c r="J1785" t="s">
        <v>3614</v>
      </c>
      <c r="K1785" t="s">
        <v>17</v>
      </c>
      <c r="L1785" t="str">
        <f t="shared" si="27"/>
        <v xml:space="preserve">{ longitude: -63.7336883149435, latitude: 44.6546857016113, stopType: 'Bus Stop Shelter Inaccessible', gotime: \'6317\', location: \'BRENTWOOD AVE NS ST MARGARETS BAY RD\' }, </v>
      </c>
    </row>
    <row r="1786" spans="1:12" x14ac:dyDescent="0.25">
      <c r="A1786">
        <v>-63.677154110358998</v>
      </c>
      <c r="B1786">
        <v>44.6357745065785</v>
      </c>
      <c r="C1786">
        <v>505</v>
      </c>
      <c r="D1786" t="s">
        <v>18</v>
      </c>
      <c r="E1786" t="s">
        <v>12</v>
      </c>
      <c r="F1786" t="s">
        <v>25</v>
      </c>
      <c r="G1786" t="s">
        <v>19</v>
      </c>
      <c r="H1786">
        <v>6179</v>
      </c>
      <c r="I1786" t="s">
        <v>3615</v>
      </c>
      <c r="J1786" t="s">
        <v>3616</v>
      </c>
      <c r="K1786" t="s">
        <v>17</v>
      </c>
      <c r="L1786" t="str">
        <f t="shared" si="27"/>
        <v xml:space="preserve">{ longitude: -63.677154110359, latitude: 44.6357745065785, stopType: 'Bus Stop Shelter Non-Standard', gotime: \'6179\', location: \'ST MARGARETS BAY RD NS BEECH TREE RUN\' }, </v>
      </c>
    </row>
    <row r="1787" spans="1:12" x14ac:dyDescent="0.25">
      <c r="A1787">
        <v>-63.735511273637002</v>
      </c>
      <c r="B1787">
        <v>44.653398893050799</v>
      </c>
      <c r="C1787">
        <v>1771</v>
      </c>
      <c r="D1787" t="s">
        <v>11</v>
      </c>
      <c r="E1787" t="s">
        <v>12</v>
      </c>
      <c r="F1787" t="s">
        <v>13</v>
      </c>
      <c r="G1787" t="s">
        <v>14</v>
      </c>
      <c r="H1787">
        <v>6318</v>
      </c>
      <c r="I1787" t="s">
        <v>3617</v>
      </c>
      <c r="J1787" t="s">
        <v>3618</v>
      </c>
      <c r="K1787" t="s">
        <v>17</v>
      </c>
      <c r="L1787" t="str">
        <f t="shared" si="27"/>
        <v xml:space="preserve">{ longitude: -63.735511273637, latitude: 44.6533988930508, stopType: 'Bus Stop Non-Standard', gotime: \'6318\', location: \'BRENTWOOD AVE NS CIVIC 52\' }, </v>
      </c>
    </row>
    <row r="1788" spans="1:12" x14ac:dyDescent="0.25">
      <c r="A1788">
        <v>-63.693837828998703</v>
      </c>
      <c r="B1788">
        <v>44.6379274484609</v>
      </c>
      <c r="C1788">
        <v>506</v>
      </c>
      <c r="D1788" t="s">
        <v>29</v>
      </c>
      <c r="E1788" t="s">
        <v>12</v>
      </c>
      <c r="F1788" t="s">
        <v>25</v>
      </c>
      <c r="G1788" t="s">
        <v>26</v>
      </c>
      <c r="H1788">
        <v>6180</v>
      </c>
      <c r="I1788" t="s">
        <v>3619</v>
      </c>
      <c r="J1788" t="s">
        <v>3620</v>
      </c>
      <c r="K1788" t="s">
        <v>17</v>
      </c>
      <c r="L1788" t="str">
        <f t="shared" si="27"/>
        <v xml:space="preserve">{ longitude: -63.6938378289987, latitude: 44.6379274484609, stopType: 'Bus Stop Accessible', gotime: \'6180\', location: \'ST MARGARETS BAY RD NS RAINES MILLS RD\' }, </v>
      </c>
    </row>
    <row r="1789" spans="1:12" x14ac:dyDescent="0.25">
      <c r="A1789">
        <v>-63.673652521806702</v>
      </c>
      <c r="B1789">
        <v>44.683537922697802</v>
      </c>
      <c r="C1789">
        <v>1772</v>
      </c>
      <c r="D1789" t="s">
        <v>22</v>
      </c>
      <c r="E1789" t="s">
        <v>12</v>
      </c>
      <c r="F1789" t="s">
        <v>25</v>
      </c>
      <c r="G1789" t="s">
        <v>26</v>
      </c>
      <c r="H1789">
        <v>6319</v>
      </c>
      <c r="I1789" t="s">
        <v>3621</v>
      </c>
      <c r="J1789" t="s">
        <v>3622</v>
      </c>
      <c r="K1789" t="s">
        <v>17</v>
      </c>
      <c r="L1789" t="str">
        <f t="shared" si="27"/>
        <v xml:space="preserve">{ longitude: -63.6736525218067, latitude: 44.6835379226978, stopType: 'Bus Stop Shelter Accessible', gotime: \'6319\', location: \'BROADHOLME LANE FS KEARNEY LAKE RD\' }, </v>
      </c>
    </row>
    <row r="1790" spans="1:12" x14ac:dyDescent="0.25">
      <c r="A1790">
        <v>-63.694255494949601</v>
      </c>
      <c r="B1790">
        <v>44.637804398950301</v>
      </c>
      <c r="C1790">
        <v>507</v>
      </c>
      <c r="D1790" t="s">
        <v>11</v>
      </c>
      <c r="E1790" t="s">
        <v>12</v>
      </c>
      <c r="F1790" t="s">
        <v>25</v>
      </c>
      <c r="G1790" t="s">
        <v>26</v>
      </c>
      <c r="H1790">
        <v>6181</v>
      </c>
      <c r="I1790" t="s">
        <v>3623</v>
      </c>
      <c r="J1790" s="1" t="s">
        <v>3624</v>
      </c>
      <c r="K1790" t="s">
        <v>17</v>
      </c>
      <c r="L1790" t="str">
        <f t="shared" si="27"/>
        <v xml:space="preserve">{ longitude: -63.6942554949496, latitude: 44.6378043989503, stopType: 'Bus Stop Non-Standard', gotime: \'6181\', location: \'ST MARGARETS BAY RD NS RAINES MILL RD\' }, </v>
      </c>
    </row>
    <row r="1791" spans="1:12" x14ac:dyDescent="0.25">
      <c r="A1791">
        <v>-63.671624776953301</v>
      </c>
      <c r="B1791">
        <v>44.6824252664941</v>
      </c>
      <c r="C1791">
        <v>1773</v>
      </c>
      <c r="D1791" t="s">
        <v>11</v>
      </c>
      <c r="E1791" t="s">
        <v>12</v>
      </c>
      <c r="F1791" t="s">
        <v>25</v>
      </c>
      <c r="G1791" t="s">
        <v>26</v>
      </c>
      <c r="H1791">
        <v>6320</v>
      </c>
      <c r="I1791" t="s">
        <v>3625</v>
      </c>
      <c r="J1791" t="s">
        <v>3626</v>
      </c>
      <c r="K1791" t="s">
        <v>17</v>
      </c>
      <c r="L1791" t="str">
        <f t="shared" si="27"/>
        <v xml:space="preserve">{ longitude: -63.6716247769533, latitude: 44.6824252664941, stopType: 'Bus Stop Non-Standard', gotime: \'6320\', location: \'BROADHOLME LANE FS OHARA DR\' }, </v>
      </c>
    </row>
    <row r="1792" spans="1:12" x14ac:dyDescent="0.25">
      <c r="A1792">
        <v>-63.708927745560302</v>
      </c>
      <c r="B1792">
        <v>44.644287821574203</v>
      </c>
      <c r="C1792">
        <v>508</v>
      </c>
      <c r="D1792" t="s">
        <v>11</v>
      </c>
      <c r="E1792" t="s">
        <v>12</v>
      </c>
      <c r="F1792" t="s">
        <v>25</v>
      </c>
      <c r="G1792" t="s">
        <v>26</v>
      </c>
      <c r="H1792">
        <v>6182</v>
      </c>
      <c r="I1792" t="s">
        <v>3627</v>
      </c>
      <c r="J1792" t="s">
        <v>3628</v>
      </c>
      <c r="K1792" t="s">
        <v>17</v>
      </c>
      <c r="L1792" t="str">
        <f t="shared" si="27"/>
        <v xml:space="preserve">{ longitude: -63.7089277455603, latitude: 44.6442878215742, stopType: 'Bus Stop Non-Standard', gotime: \'6182\', location: \'ST MARGARETS BAY RD NS TIMBERLEA MANOR ENTRANCE\' }, </v>
      </c>
    </row>
    <row r="1793" spans="1:12" x14ac:dyDescent="0.25">
      <c r="A1793">
        <v>-63.485104250852203</v>
      </c>
      <c r="B1793">
        <v>44.6514278280955</v>
      </c>
      <c r="C1793">
        <v>1774</v>
      </c>
      <c r="D1793" t="s">
        <v>11</v>
      </c>
      <c r="E1793" t="s">
        <v>12</v>
      </c>
      <c r="F1793" t="s">
        <v>25</v>
      </c>
      <c r="G1793" t="s">
        <v>26</v>
      </c>
      <c r="H1793">
        <v>6321</v>
      </c>
      <c r="I1793" t="s">
        <v>3629</v>
      </c>
      <c r="J1793" t="s">
        <v>3630</v>
      </c>
      <c r="K1793" t="s">
        <v>17</v>
      </c>
      <c r="L1793" t="str">
        <f t="shared" si="27"/>
        <v xml:space="preserve">{ longitude: -63.4851042508522, latitude: 44.6514278280955, stopType: 'Bus Stop Non-Standard', gotime: \'6321\', location: \'BROOKFIELD AVE FS CALDWELL RD\' }, </v>
      </c>
    </row>
    <row r="1794" spans="1:12" x14ac:dyDescent="0.25">
      <c r="A1794">
        <v>-63.629124142309102</v>
      </c>
      <c r="B1794">
        <v>44.6387662655696</v>
      </c>
      <c r="C1794">
        <v>509</v>
      </c>
      <c r="D1794" t="s">
        <v>29</v>
      </c>
      <c r="E1794" t="s">
        <v>12</v>
      </c>
      <c r="F1794" t="s">
        <v>25</v>
      </c>
      <c r="G1794" t="s">
        <v>26</v>
      </c>
      <c r="H1794">
        <v>6183</v>
      </c>
      <c r="I1794" t="s">
        <v>3631</v>
      </c>
      <c r="J1794" t="s">
        <v>3632</v>
      </c>
      <c r="K1794" t="s">
        <v>17</v>
      </c>
      <c r="L1794" t="str">
        <f t="shared" si="27"/>
        <v xml:space="preserve">{ longitude: -63.6291241423091, latitude: 44.6387662655696, stopType: 'Bus Stop Accessible', gotime: \'6183\', location: \'ST MARGARETS BAY RD OPP BAKERS DR\' }, </v>
      </c>
    </row>
    <row r="1795" spans="1:12" x14ac:dyDescent="0.25">
      <c r="A1795">
        <v>-63.5849715266557</v>
      </c>
      <c r="B1795">
        <v>44.636924728211298</v>
      </c>
      <c r="C1795">
        <v>1775</v>
      </c>
      <c r="D1795" t="s">
        <v>22</v>
      </c>
      <c r="E1795" t="s">
        <v>12</v>
      </c>
      <c r="F1795" t="s">
        <v>13</v>
      </c>
      <c r="G1795" t="s">
        <v>19</v>
      </c>
      <c r="H1795">
        <v>8220</v>
      </c>
      <c r="I1795" t="s">
        <v>3633</v>
      </c>
      <c r="J1795" t="s">
        <v>3634</v>
      </c>
      <c r="K1795" t="s">
        <v>17</v>
      </c>
      <c r="L1795" t="str">
        <f t="shared" ref="L1795:L1858" si="28">CONCATENATE( "{ longitude: ", A1795, ", latitude: ", B1795, ", stopType: '", D1795, "', gotime: \'", H1795, "\', location: \'", I1795, "\' }, ")</f>
        <v xml:space="preserve">{ longitude: -63.5849715266557, latitude: 44.6369247282113, stopType: 'Bus Stop Shelter Accessible', gotime: \'8220\', location: \'ROBIE ST OPP CIVIC 1222 &lt;NB&gt;\' }, </v>
      </c>
    </row>
    <row r="1796" spans="1:12" x14ac:dyDescent="0.25">
      <c r="A1796">
        <v>-63.685516360122101</v>
      </c>
      <c r="B1796">
        <v>44.637184419961798</v>
      </c>
      <c r="C1796">
        <v>510</v>
      </c>
      <c r="D1796" t="s">
        <v>11</v>
      </c>
      <c r="E1796" t="s">
        <v>12</v>
      </c>
      <c r="F1796" t="s">
        <v>25</v>
      </c>
      <c r="G1796" t="s">
        <v>26</v>
      </c>
      <c r="H1796">
        <v>6184</v>
      </c>
      <c r="I1796" t="s">
        <v>3635</v>
      </c>
      <c r="J1796" t="s">
        <v>3636</v>
      </c>
      <c r="K1796" t="s">
        <v>17</v>
      </c>
      <c r="L1796" t="str">
        <f t="shared" si="28"/>
        <v xml:space="preserve">{ longitude: -63.6855163601221, latitude: 44.6371844199618, stopType: 'Bus Stop Non-Standard', gotime: \'6184\', location: \'ST MARGARETS BAY RD OPP CIVIC 1254\' }, </v>
      </c>
    </row>
    <row r="1797" spans="1:12" x14ac:dyDescent="0.25">
      <c r="A1797">
        <v>-63.592890950112299</v>
      </c>
      <c r="B1797">
        <v>44.651694531337498</v>
      </c>
      <c r="C1797">
        <v>1776</v>
      </c>
      <c r="D1797" t="s">
        <v>29</v>
      </c>
      <c r="E1797" t="s">
        <v>12</v>
      </c>
      <c r="F1797" t="s">
        <v>13</v>
      </c>
      <c r="G1797" t="s">
        <v>19</v>
      </c>
      <c r="H1797">
        <v>8221</v>
      </c>
      <c r="I1797" t="s">
        <v>3637</v>
      </c>
      <c r="J1797" t="s">
        <v>3638</v>
      </c>
      <c r="K1797" t="s">
        <v>17</v>
      </c>
      <c r="L1797" t="str">
        <f t="shared" si="28"/>
        <v xml:space="preserve">{ longitude: -63.5928909501123, latitude: 44.6516945313375, stopType: 'Bus Stop Accessible', gotime: \'8221\', location: \'ROBIE ST OPP CIVIC 2432 &lt;NB&gt;\' }, </v>
      </c>
    </row>
    <row r="1798" spans="1:12" x14ac:dyDescent="0.25">
      <c r="A1798">
        <v>-63.686847934452103</v>
      </c>
      <c r="B1798">
        <v>44.637508901470397</v>
      </c>
      <c r="C1798">
        <v>511</v>
      </c>
      <c r="D1798" t="s">
        <v>29</v>
      </c>
      <c r="E1798" t="s">
        <v>12</v>
      </c>
      <c r="F1798" t="s">
        <v>25</v>
      </c>
      <c r="G1798" t="s">
        <v>26</v>
      </c>
      <c r="H1798">
        <v>6185</v>
      </c>
      <c r="I1798" t="s">
        <v>3639</v>
      </c>
      <c r="J1798" t="s">
        <v>3640</v>
      </c>
      <c r="K1798" t="s">
        <v>17</v>
      </c>
      <c r="L1798" t="str">
        <f t="shared" si="28"/>
        <v xml:space="preserve">{ longitude: -63.6868479344521, latitude: 44.6375089014704, stopType: 'Bus Stop Accessible', gotime: \'6185\', location: \'ST MARGARETS BAY RD OPP CIVIC 1264\' }, </v>
      </c>
    </row>
    <row r="1799" spans="1:12" x14ac:dyDescent="0.25">
      <c r="A1799">
        <v>-63.593944736311002</v>
      </c>
      <c r="B1799">
        <v>44.6536043667816</v>
      </c>
      <c r="C1799">
        <v>1777</v>
      </c>
      <c r="D1799" t="s">
        <v>29</v>
      </c>
      <c r="E1799" t="s">
        <v>12</v>
      </c>
      <c r="F1799" t="s">
        <v>13</v>
      </c>
      <c r="G1799" t="s">
        <v>19</v>
      </c>
      <c r="H1799">
        <v>8222</v>
      </c>
      <c r="I1799" t="s">
        <v>3641</v>
      </c>
      <c r="J1799" t="s">
        <v>3642</v>
      </c>
      <c r="K1799" t="s">
        <v>17</v>
      </c>
      <c r="L1799" t="str">
        <f t="shared" si="28"/>
        <v xml:space="preserve">{ longitude: -63.593944736311, latitude: 44.6536043667816, stopType: 'Bus Stop Accessible', gotime: \'8222\', location: \'ROBIE ST OPP CIVIC 2542 &lt;NB&gt;\' }, </v>
      </c>
    </row>
    <row r="1800" spans="1:12" x14ac:dyDescent="0.25">
      <c r="A1800">
        <v>-63.707364253528901</v>
      </c>
      <c r="B1800">
        <v>44.642459024947698</v>
      </c>
      <c r="C1800">
        <v>512</v>
      </c>
      <c r="D1800" t="s">
        <v>11</v>
      </c>
      <c r="E1800" t="s">
        <v>12</v>
      </c>
      <c r="F1800" t="s">
        <v>25</v>
      </c>
      <c r="G1800" t="s">
        <v>26</v>
      </c>
      <c r="H1800">
        <v>6186</v>
      </c>
      <c r="I1800" t="s">
        <v>3643</v>
      </c>
      <c r="J1800" t="s">
        <v>3644</v>
      </c>
      <c r="K1800" t="s">
        <v>17</v>
      </c>
      <c r="L1800" t="str">
        <f t="shared" si="28"/>
        <v xml:space="preserve">{ longitude: -63.7073642535289, latitude: 44.6424590249477, stopType: 'Bus Stop Non-Standard', gotime: \'6186\', location: \'ST MARGARETS BAY RD OPP CIVIC 1697\' }, </v>
      </c>
    </row>
    <row r="1801" spans="1:12" x14ac:dyDescent="0.25">
      <c r="A1801">
        <v>-63.589972632702597</v>
      </c>
      <c r="B1801">
        <v>44.646612993658501</v>
      </c>
      <c r="C1801">
        <v>1778</v>
      </c>
      <c r="D1801" t="s">
        <v>29</v>
      </c>
      <c r="E1801" t="s">
        <v>12</v>
      </c>
      <c r="F1801" t="s">
        <v>13</v>
      </c>
      <c r="G1801" t="s">
        <v>19</v>
      </c>
      <c r="H1801">
        <v>8223</v>
      </c>
      <c r="I1801" t="s">
        <v>3645</v>
      </c>
      <c r="J1801" t="s">
        <v>3646</v>
      </c>
      <c r="K1801" t="s">
        <v>17</v>
      </c>
      <c r="L1801" t="str">
        <f t="shared" si="28"/>
        <v xml:space="preserve">{ longitude: -63.5899726327026, latitude: 44.6466129936585, stopType: 'Bus Stop Accessible', gotime: \'8223\', location: \'ROBIE ST OPP PEPPERELL AT (QEH) &lt;NB&gt;\' }, </v>
      </c>
    </row>
    <row r="1802" spans="1:12" x14ac:dyDescent="0.25">
      <c r="A1802">
        <v>-63.626957267510903</v>
      </c>
      <c r="B1802">
        <v>44.639627290032401</v>
      </c>
      <c r="C1802">
        <v>513</v>
      </c>
      <c r="D1802" t="s">
        <v>11</v>
      </c>
      <c r="E1802" t="s">
        <v>12</v>
      </c>
      <c r="F1802" t="s">
        <v>13</v>
      </c>
      <c r="G1802" t="s">
        <v>14</v>
      </c>
      <c r="H1802">
        <v>6187</v>
      </c>
      <c r="I1802" t="s">
        <v>3647</v>
      </c>
      <c r="J1802" t="s">
        <v>3648</v>
      </c>
      <c r="K1802" t="s">
        <v>17</v>
      </c>
      <c r="L1802" t="str">
        <f t="shared" si="28"/>
        <v xml:space="preserve">{ longitude: -63.6269572675109, latitude: 44.6396272900324, stopType: 'Bus Stop Non-Standard', gotime: \'6187\', location: \'ST MARGARETS BAY RD OPP CIVIC 46\' }, </v>
      </c>
    </row>
    <row r="1803" spans="1:12" x14ac:dyDescent="0.25">
      <c r="A1803">
        <v>-63.584941092678903</v>
      </c>
      <c r="B1803">
        <v>44.636142402797802</v>
      </c>
      <c r="C1803">
        <v>1779</v>
      </c>
      <c r="D1803" t="s">
        <v>29</v>
      </c>
      <c r="E1803" t="s">
        <v>12</v>
      </c>
      <c r="F1803" t="s">
        <v>13</v>
      </c>
      <c r="G1803" t="s">
        <v>19</v>
      </c>
      <c r="H1803">
        <v>8225</v>
      </c>
      <c r="I1803" t="s">
        <v>3649</v>
      </c>
      <c r="J1803" t="s">
        <v>3650</v>
      </c>
      <c r="K1803" t="s">
        <v>17</v>
      </c>
      <c r="L1803" t="str">
        <f t="shared" si="28"/>
        <v xml:space="preserve">{ longitude: -63.5849410926789, latitude: 44.6361424027978, stopType: 'Bus Stop Accessible', gotime: \'8225\', location: \'ROBIE ST &lt;SB&gt; FS SOUTH ST\' }, </v>
      </c>
    </row>
    <row r="1804" spans="1:12" x14ac:dyDescent="0.25">
      <c r="A1804">
        <v>-63.4672700437931</v>
      </c>
      <c r="B1804">
        <v>44.604190003445197</v>
      </c>
      <c r="C1804">
        <v>514</v>
      </c>
      <c r="D1804" t="s">
        <v>29</v>
      </c>
      <c r="E1804" t="s">
        <v>12</v>
      </c>
      <c r="F1804" t="s">
        <v>25</v>
      </c>
      <c r="G1804" t="s">
        <v>26</v>
      </c>
      <c r="H1804">
        <v>6339</v>
      </c>
      <c r="I1804" t="s">
        <v>3651</v>
      </c>
      <c r="J1804" t="s">
        <v>3652</v>
      </c>
      <c r="K1804" t="s">
        <v>17</v>
      </c>
      <c r="L1804" t="str">
        <f t="shared" si="28"/>
        <v xml:space="preserve">{ longitude: -63.4672700437931, latitude: 44.6041900034452, stopType: 'Bus Stop Accessible', gotime: \'6339\', location: \'CALDWELL RD NS CIVIC 2001\' }, </v>
      </c>
    </row>
    <row r="1805" spans="1:12" x14ac:dyDescent="0.25">
      <c r="A1805">
        <v>-63.651255528570502</v>
      </c>
      <c r="B1805">
        <v>44.739189644928203</v>
      </c>
      <c r="C1805">
        <v>1780</v>
      </c>
      <c r="D1805" t="s">
        <v>11</v>
      </c>
      <c r="E1805" t="s">
        <v>12</v>
      </c>
      <c r="F1805" t="s">
        <v>25</v>
      </c>
      <c r="G1805" t="s">
        <v>26</v>
      </c>
      <c r="H1805">
        <v>8226</v>
      </c>
      <c r="I1805" t="s">
        <v>3653</v>
      </c>
      <c r="J1805" t="s">
        <v>3654</v>
      </c>
      <c r="K1805" t="s">
        <v>17</v>
      </c>
      <c r="L1805" t="str">
        <f t="shared" si="28"/>
        <v xml:space="preserve">{ longitude: -63.6512555285705, latitude: 44.7391896449282, stopType: 'Bus Stop Non-Standard', gotime: \'8226\', location: \'ROCK MANOR FS REDBANK [IB]\' }, </v>
      </c>
    </row>
    <row r="1806" spans="1:12" x14ac:dyDescent="0.25">
      <c r="A1806">
        <v>-63.468742987353899</v>
      </c>
      <c r="B1806">
        <v>44.606381273190401</v>
      </c>
      <c r="C1806">
        <v>515</v>
      </c>
      <c r="D1806" t="s">
        <v>22</v>
      </c>
      <c r="E1806" t="s">
        <v>12</v>
      </c>
      <c r="F1806" t="s">
        <v>25</v>
      </c>
      <c r="G1806" t="s">
        <v>26</v>
      </c>
      <c r="H1806">
        <v>6340</v>
      </c>
      <c r="I1806" t="s">
        <v>3655</v>
      </c>
      <c r="J1806" t="s">
        <v>3656</v>
      </c>
      <c r="K1806" t="s">
        <v>17</v>
      </c>
      <c r="L1806" t="str">
        <f t="shared" si="28"/>
        <v xml:space="preserve">{ longitude: -63.4687429873539, latitude: 44.6063812731904, stopType: 'Bus Stop Shelter Accessible', gotime: \'6340\', location: \'CALDWELL RD AT OCEANVIEW MANOR\' }, </v>
      </c>
    </row>
    <row r="1807" spans="1:12" x14ac:dyDescent="0.25">
      <c r="A1807">
        <v>-63.651830655780401</v>
      </c>
      <c r="B1807">
        <v>44.7378529726887</v>
      </c>
      <c r="C1807">
        <v>1781</v>
      </c>
      <c r="D1807" t="s">
        <v>11</v>
      </c>
      <c r="E1807" t="s">
        <v>12</v>
      </c>
      <c r="F1807" t="s">
        <v>25</v>
      </c>
      <c r="G1807" t="s">
        <v>26</v>
      </c>
      <c r="H1807">
        <v>8227</v>
      </c>
      <c r="I1807" t="s">
        <v>3657</v>
      </c>
      <c r="J1807" t="s">
        <v>3658</v>
      </c>
      <c r="K1807" t="s">
        <v>17</v>
      </c>
      <c r="L1807" t="str">
        <f t="shared" si="28"/>
        <v xml:space="preserve">{ longitude: -63.6518306557804, latitude: 44.7378529726887, stopType: 'Bus Stop Non-Standard', gotime: \'8227\', location: \'ROCK MANOR  DR FS ROCKY LAKE\' }, </v>
      </c>
    </row>
    <row r="1808" spans="1:12" x14ac:dyDescent="0.25">
      <c r="A1808">
        <v>-63.4903325603659</v>
      </c>
      <c r="B1808">
        <v>44.657468010985603</v>
      </c>
      <c r="C1808">
        <v>516</v>
      </c>
      <c r="D1808" t="s">
        <v>29</v>
      </c>
      <c r="E1808" t="s">
        <v>12</v>
      </c>
      <c r="F1808" t="s">
        <v>25</v>
      </c>
      <c r="G1808" t="s">
        <v>26</v>
      </c>
      <c r="H1808">
        <v>6341</v>
      </c>
      <c r="I1808" t="s">
        <v>3659</v>
      </c>
      <c r="J1808" t="s">
        <v>3660</v>
      </c>
      <c r="K1808" t="s">
        <v>17</v>
      </c>
      <c r="L1808" t="str">
        <f t="shared" si="28"/>
        <v xml:space="preserve">{ longitude: -63.4903325603659, latitude: 44.6574680109856, stopType: 'Bus Stop Accessible', gotime: \'6341\', location: \'CALDWELL RD NS CIVIC 385\' }, </v>
      </c>
    </row>
    <row r="1809" spans="1:12" x14ac:dyDescent="0.25">
      <c r="A1809">
        <v>-63.484828757879697</v>
      </c>
      <c r="B1809">
        <v>44.6505974013361</v>
      </c>
      <c r="C1809">
        <v>517</v>
      </c>
      <c r="D1809" t="s">
        <v>29</v>
      </c>
      <c r="E1809" t="s">
        <v>12</v>
      </c>
      <c r="F1809" t="s">
        <v>25</v>
      </c>
      <c r="G1809" t="s">
        <v>26</v>
      </c>
      <c r="H1809">
        <v>6342</v>
      </c>
      <c r="I1809" t="s">
        <v>3661</v>
      </c>
      <c r="J1809" t="s">
        <v>3662</v>
      </c>
      <c r="K1809" t="s">
        <v>17</v>
      </c>
      <c r="L1809" t="str">
        <f t="shared" si="28"/>
        <v xml:space="preserve">{ longitude: -63.4848287578797, latitude: 44.6505974013361, stopType: 'Bus Stop Accessible', gotime: \'6342\', location: \'CALDWELL RD NS CIVIC 564\' }, </v>
      </c>
    </row>
    <row r="1810" spans="1:12" x14ac:dyDescent="0.25">
      <c r="A1810">
        <v>-63.651972690528403</v>
      </c>
      <c r="B1810">
        <v>44.737638036300801</v>
      </c>
      <c r="C1810">
        <v>1782</v>
      </c>
      <c r="D1810" t="s">
        <v>29</v>
      </c>
      <c r="E1810" t="s">
        <v>12</v>
      </c>
      <c r="F1810" t="s">
        <v>25</v>
      </c>
      <c r="G1810" t="s">
        <v>26</v>
      </c>
      <c r="H1810">
        <v>8228</v>
      </c>
      <c r="I1810" t="s">
        <v>3663</v>
      </c>
      <c r="J1810" t="s">
        <v>3664</v>
      </c>
      <c r="K1810" t="s">
        <v>17</v>
      </c>
      <c r="L1810" t="str">
        <f t="shared" si="28"/>
        <v xml:space="preserve">{ longitude: -63.6519726905284, latitude: 44.7376380363008, stopType: 'Bus Stop Accessible', gotime: \'8228\', location: \'ROCK MANOR NS ROCKY LAKE [IB]\' }, </v>
      </c>
    </row>
    <row r="1811" spans="1:12" x14ac:dyDescent="0.25">
      <c r="A1811">
        <v>-63.496934394418602</v>
      </c>
      <c r="B1811">
        <v>44.6652016229284</v>
      </c>
      <c r="C1811">
        <v>518</v>
      </c>
      <c r="D1811" t="s">
        <v>29</v>
      </c>
      <c r="E1811" t="s">
        <v>12</v>
      </c>
      <c r="F1811" t="s">
        <v>13</v>
      </c>
      <c r="G1811" t="s">
        <v>14</v>
      </c>
      <c r="H1811">
        <v>6343</v>
      </c>
      <c r="I1811" t="s">
        <v>3665</v>
      </c>
      <c r="J1811" t="s">
        <v>3666</v>
      </c>
      <c r="K1811" t="s">
        <v>17</v>
      </c>
      <c r="L1811" t="str">
        <f t="shared" si="28"/>
        <v xml:space="preserve">{ longitude: -63.4969343944186, latitude: 44.6652016229284, stopType: 'Bus Stop Accessible', gotime: \'6343\', location: \'CALDWELL RD NS DELTA DR\' }, </v>
      </c>
    </row>
    <row r="1812" spans="1:12" x14ac:dyDescent="0.25">
      <c r="A1812">
        <v>-63.648900083143097</v>
      </c>
      <c r="B1812">
        <v>44.741377023903802</v>
      </c>
      <c r="C1812">
        <v>1783</v>
      </c>
      <c r="D1812" t="s">
        <v>103</v>
      </c>
      <c r="E1812" t="s">
        <v>12</v>
      </c>
      <c r="F1812" t="s">
        <v>25</v>
      </c>
      <c r="G1812" t="s">
        <v>65</v>
      </c>
      <c r="H1812">
        <v>8229</v>
      </c>
      <c r="I1812" t="s">
        <v>3667</v>
      </c>
      <c r="J1812" t="s">
        <v>3668</v>
      </c>
      <c r="K1812" t="s">
        <v>17</v>
      </c>
      <c r="L1812" t="str">
        <f t="shared" si="28"/>
        <v xml:space="preserve">{ longitude: -63.6489000831431, latitude: 44.7413770239038, stopType: 'Bus Stop Inaccessible', gotime: \'8229\', location: \'ROCK MANOR OPP CIVIC 122 [IB]\' }, </v>
      </c>
    </row>
    <row r="1813" spans="1:12" x14ac:dyDescent="0.25">
      <c r="A1813">
        <v>-63.500619126355197</v>
      </c>
      <c r="B1813">
        <v>44.668498493466302</v>
      </c>
      <c r="C1813">
        <v>519</v>
      </c>
      <c r="D1813" t="s">
        <v>11</v>
      </c>
      <c r="E1813" t="s">
        <v>12</v>
      </c>
      <c r="F1813" t="s">
        <v>13</v>
      </c>
      <c r="G1813" t="s">
        <v>14</v>
      </c>
      <c r="H1813">
        <v>6344</v>
      </c>
      <c r="I1813" t="s">
        <v>3669</v>
      </c>
      <c r="J1813" t="s">
        <v>3670</v>
      </c>
      <c r="K1813" t="s">
        <v>17</v>
      </c>
      <c r="L1813" t="str">
        <f t="shared" si="28"/>
        <v xml:space="preserve">{ longitude: -63.5006191263552, latitude: 44.6684984934663, stopType: 'Bus Stop Non-Standard', gotime: \'6344\', location: \'CALDWELL RD NS HAMPTON GREEN\' }, </v>
      </c>
    </row>
    <row r="1814" spans="1:12" x14ac:dyDescent="0.25">
      <c r="A1814">
        <v>-63.649193547026201</v>
      </c>
      <c r="B1814">
        <v>44.740257586924201</v>
      </c>
      <c r="C1814">
        <v>1784</v>
      </c>
      <c r="D1814" t="s">
        <v>11</v>
      </c>
      <c r="E1814" t="s">
        <v>12</v>
      </c>
      <c r="F1814" t="s">
        <v>13</v>
      </c>
      <c r="G1814" t="s">
        <v>14</v>
      </c>
      <c r="H1814">
        <v>8230</v>
      </c>
      <c r="I1814" t="s">
        <v>3671</v>
      </c>
      <c r="J1814" t="s">
        <v>3672</v>
      </c>
      <c r="K1814" t="s">
        <v>17</v>
      </c>
      <c r="L1814" t="str">
        <f t="shared" si="28"/>
        <v xml:space="preserve">{ longitude: -63.6491935470262, latitude: 44.7402575869242, stopType: 'Bus Stop Non-Standard', gotime: \'8230\', location: \'ROCK MANOR OPP FS BIRCHWOOD [IB]\' }, </v>
      </c>
    </row>
    <row r="1815" spans="1:12" x14ac:dyDescent="0.25">
      <c r="A1815">
        <v>-63.490117714479602</v>
      </c>
      <c r="B1815">
        <v>44.657467191227198</v>
      </c>
      <c r="C1815">
        <v>520</v>
      </c>
      <c r="D1815" t="s">
        <v>29</v>
      </c>
      <c r="E1815" t="s">
        <v>12</v>
      </c>
      <c r="F1815" t="s">
        <v>13</v>
      </c>
      <c r="G1815" t="s">
        <v>14</v>
      </c>
      <c r="H1815">
        <v>6345</v>
      </c>
      <c r="I1815" t="s">
        <v>3673</v>
      </c>
      <c r="J1815" t="s">
        <v>3674</v>
      </c>
      <c r="K1815" t="s">
        <v>17</v>
      </c>
      <c r="L1815" t="str">
        <f t="shared" si="28"/>
        <v xml:space="preserve">{ longitude: -63.4901177144796, latitude: 44.6574671912272, stopType: 'Bus Stop Accessible', gotime: \'6345\', location: \'CALDWELL RD NS NOVA TERRACE\' }, </v>
      </c>
    </row>
    <row r="1816" spans="1:12" x14ac:dyDescent="0.25">
      <c r="A1816">
        <v>-63.623328120556302</v>
      </c>
      <c r="B1816">
        <v>44.608184486361999</v>
      </c>
      <c r="C1816">
        <v>1785</v>
      </c>
      <c r="D1816" t="s">
        <v>11</v>
      </c>
      <c r="E1816" t="s">
        <v>12</v>
      </c>
      <c r="F1816" t="s">
        <v>13</v>
      </c>
      <c r="G1816" t="s">
        <v>14</v>
      </c>
      <c r="H1816">
        <v>8231</v>
      </c>
      <c r="I1816" t="s">
        <v>3675</v>
      </c>
      <c r="J1816" t="s">
        <v>3676</v>
      </c>
      <c r="K1816" t="s">
        <v>17</v>
      </c>
      <c r="L1816" t="str">
        <f t="shared" si="28"/>
        <v xml:space="preserve">{ longitude: -63.6233281205563, latitude: 44.608184486362, stopType: 'Bus Stop Non-Standard', gotime: \'8231\', location: \'ROCKINGSTONE AT CIVIC 25\' }, </v>
      </c>
    </row>
    <row r="1817" spans="1:12" x14ac:dyDescent="0.25">
      <c r="A1817">
        <v>-63.466532362553799</v>
      </c>
      <c r="B1817">
        <v>44.601033387748899</v>
      </c>
      <c r="C1817">
        <v>521</v>
      </c>
      <c r="D1817" t="s">
        <v>22</v>
      </c>
      <c r="E1817" t="s">
        <v>12</v>
      </c>
      <c r="F1817" t="s">
        <v>25</v>
      </c>
      <c r="G1817" t="s">
        <v>19</v>
      </c>
      <c r="H1817">
        <v>6346</v>
      </c>
      <c r="I1817" t="s">
        <v>3677</v>
      </c>
      <c r="J1817" s="1" t="s">
        <v>3678</v>
      </c>
      <c r="K1817" t="s">
        <v>17</v>
      </c>
      <c r="L1817" t="str">
        <f t="shared" si="28"/>
        <v xml:space="preserve">{ longitude: -63.4665323625538, latitude: 44.6010333877489, stopType: 'Bus Stop Shelter Accessible', gotime: \'6346\', location: \'CALDWELL RD NS SHORE RD\' }, </v>
      </c>
    </row>
    <row r="1818" spans="1:12" x14ac:dyDescent="0.25">
      <c r="A1818">
        <v>-63.623408906607601</v>
      </c>
      <c r="B1818">
        <v>44.608408662327697</v>
      </c>
      <c r="C1818">
        <v>1786</v>
      </c>
      <c r="D1818" t="s">
        <v>29</v>
      </c>
      <c r="E1818" t="s">
        <v>12</v>
      </c>
      <c r="F1818" t="s">
        <v>13</v>
      </c>
      <c r="G1818" t="s">
        <v>14</v>
      </c>
      <c r="H1818">
        <v>8232</v>
      </c>
      <c r="I1818" t="s">
        <v>3679</v>
      </c>
      <c r="J1818" t="s">
        <v>3680</v>
      </c>
      <c r="K1818" t="s">
        <v>17</v>
      </c>
      <c r="L1818" t="str">
        <f t="shared" si="28"/>
        <v xml:space="preserve">{ longitude: -63.6234089066076, latitude: 44.6084086623277, stopType: 'Bus Stop Accessible', gotime: \'8232\', location: \'ROCKINGSTONE OPP CIVIC 25\' }, </v>
      </c>
    </row>
    <row r="1819" spans="1:12" x14ac:dyDescent="0.25">
      <c r="A1819">
        <v>-63.499294766087303</v>
      </c>
      <c r="B1819">
        <v>44.667451656267602</v>
      </c>
      <c r="C1819">
        <v>522</v>
      </c>
      <c r="D1819" t="s">
        <v>29</v>
      </c>
      <c r="E1819" t="s">
        <v>12</v>
      </c>
      <c r="F1819" t="s">
        <v>13</v>
      </c>
      <c r="G1819" t="s">
        <v>14</v>
      </c>
      <c r="H1819">
        <v>6347</v>
      </c>
      <c r="I1819" t="s">
        <v>3681</v>
      </c>
      <c r="J1819" t="s">
        <v>3682</v>
      </c>
      <c r="K1819" t="s">
        <v>17</v>
      </c>
      <c r="L1819" t="str">
        <f t="shared" si="28"/>
        <v xml:space="preserve">{ longitude: -63.4992947660873, latitude: 44.6674516562676, stopType: 'Bus Stop Accessible', gotime: \'6347\', location: \'CALDWELL RD AT CIVIC 96\' }, </v>
      </c>
    </row>
    <row r="1820" spans="1:12" x14ac:dyDescent="0.25">
      <c r="A1820">
        <v>-63.741100879022</v>
      </c>
      <c r="B1820">
        <v>44.659616759983102</v>
      </c>
      <c r="C1820">
        <v>1787</v>
      </c>
      <c r="D1820" t="s">
        <v>11</v>
      </c>
      <c r="E1820" t="s">
        <v>12</v>
      </c>
      <c r="F1820" t="s">
        <v>25</v>
      </c>
      <c r="G1820" t="s">
        <v>26</v>
      </c>
      <c r="H1820">
        <v>8238</v>
      </c>
      <c r="I1820" t="s">
        <v>3683</v>
      </c>
      <c r="J1820" s="1" t="s">
        <v>3684</v>
      </c>
      <c r="K1820" t="s">
        <v>17</v>
      </c>
      <c r="L1820" t="str">
        <f t="shared" si="28"/>
        <v xml:space="preserve">{ longitude: -63.741100879022, latitude: 44.6596167599831, stopType: 'Bus Stop Non-Standard', gotime: \'8238\', location: \'JAMES ST FS ST MARGARETS BAY RD [OB]\' }, </v>
      </c>
    </row>
    <row r="1821" spans="1:12" x14ac:dyDescent="0.25">
      <c r="A1821">
        <v>-63.492230116450699</v>
      </c>
      <c r="B1821">
        <v>44.660022701729602</v>
      </c>
      <c r="C1821">
        <v>523</v>
      </c>
      <c r="D1821" t="s">
        <v>29</v>
      </c>
      <c r="E1821" t="s">
        <v>12</v>
      </c>
      <c r="F1821" t="s">
        <v>25</v>
      </c>
      <c r="G1821" t="s">
        <v>19</v>
      </c>
      <c r="H1821">
        <v>6348</v>
      </c>
      <c r="I1821" t="s">
        <v>3685</v>
      </c>
      <c r="J1821" t="s">
        <v>3686</v>
      </c>
      <c r="K1821" t="s">
        <v>17</v>
      </c>
      <c r="L1821" t="str">
        <f t="shared" si="28"/>
        <v xml:space="preserve">{ longitude: -63.4922301164507, latitude: 44.6600227017296, stopType: 'Bus Stop Accessible', gotime: \'6348\', location: \'CALDWELL RD OPP CIVIC 300 [IB]\' }, </v>
      </c>
    </row>
    <row r="1822" spans="1:12" x14ac:dyDescent="0.25">
      <c r="A1822">
        <v>-63.498386959523202</v>
      </c>
      <c r="B1822">
        <v>44.666421687426002</v>
      </c>
      <c r="C1822">
        <v>524</v>
      </c>
      <c r="D1822" t="s">
        <v>29</v>
      </c>
      <c r="E1822" t="s">
        <v>12</v>
      </c>
      <c r="F1822" t="s">
        <v>25</v>
      </c>
      <c r="G1822" t="s">
        <v>26</v>
      </c>
      <c r="H1822">
        <v>6349</v>
      </c>
      <c r="I1822" t="s">
        <v>3687</v>
      </c>
      <c r="J1822" t="s">
        <v>3688</v>
      </c>
      <c r="K1822" t="s">
        <v>17</v>
      </c>
      <c r="L1822" t="str">
        <f t="shared" si="28"/>
        <v xml:space="preserve">{ longitude: -63.4983869595232, latitude: 44.666421687426, stopType: 'Bus Stop Accessible', gotime: \'6349\', location: \'CALDWELL RD FS DELTA DR\' }, </v>
      </c>
    </row>
    <row r="1823" spans="1:12" x14ac:dyDescent="0.25">
      <c r="A1823">
        <v>-63.494690824286799</v>
      </c>
      <c r="B1823">
        <v>44.662807132394903</v>
      </c>
      <c r="C1823">
        <v>525</v>
      </c>
      <c r="D1823" t="s">
        <v>29</v>
      </c>
      <c r="E1823" t="s">
        <v>12</v>
      </c>
      <c r="F1823" t="s">
        <v>13</v>
      </c>
      <c r="G1823" t="s">
        <v>14</v>
      </c>
      <c r="H1823">
        <v>6350</v>
      </c>
      <c r="I1823" t="s">
        <v>3689</v>
      </c>
      <c r="J1823" t="s">
        <v>3690</v>
      </c>
      <c r="K1823" t="s">
        <v>17</v>
      </c>
      <c r="L1823" t="str">
        <f t="shared" si="28"/>
        <v xml:space="preserve">{ longitude: -63.4946908242868, latitude: 44.6628071323949, stopType: 'Bus Stop Accessible', gotime: \'6350\', location: \'CALDWELL RD NS DEERBROOKE DR\' }, </v>
      </c>
    </row>
    <row r="1824" spans="1:12" x14ac:dyDescent="0.25">
      <c r="A1824">
        <v>-63.7409443066433</v>
      </c>
      <c r="B1824">
        <v>44.659536431569201</v>
      </c>
      <c r="C1824">
        <v>1788</v>
      </c>
      <c r="D1824" t="s">
        <v>29</v>
      </c>
      <c r="E1824" t="s">
        <v>12</v>
      </c>
      <c r="F1824" t="s">
        <v>13</v>
      </c>
      <c r="G1824" t="s">
        <v>14</v>
      </c>
      <c r="H1824">
        <v>8239</v>
      </c>
      <c r="I1824" t="s">
        <v>3691</v>
      </c>
      <c r="J1824" t="s">
        <v>3692</v>
      </c>
      <c r="K1824" t="s">
        <v>17</v>
      </c>
      <c r="L1824" t="str">
        <f t="shared" si="28"/>
        <v xml:space="preserve">{ longitude: -63.7409443066433, latitude: 44.6595364315692, stopType: 'Bus Stop Accessible', gotime: \'8239\', location: \'JAMES ST NS ST MARGARETS BAY RD [IB]\' }, </v>
      </c>
    </row>
    <row r="1825" spans="1:12" x14ac:dyDescent="0.25">
      <c r="A1825">
        <v>-63.682722557093498</v>
      </c>
      <c r="B1825">
        <v>44.724794755896298</v>
      </c>
      <c r="C1825">
        <v>526</v>
      </c>
      <c r="D1825" t="s">
        <v>11</v>
      </c>
      <c r="E1825" t="s">
        <v>12</v>
      </c>
      <c r="F1825" t="s">
        <v>25</v>
      </c>
      <c r="G1825" t="s">
        <v>26</v>
      </c>
      <c r="H1825">
        <v>6141</v>
      </c>
      <c r="I1825" t="s">
        <v>3693</v>
      </c>
      <c r="J1825" t="s">
        <v>3694</v>
      </c>
      <c r="K1825" t="s">
        <v>17</v>
      </c>
      <c r="L1825" t="str">
        <f t="shared" si="28"/>
        <v xml:space="preserve">{ longitude: -63.6827225570935, latitude: 44.7247947558963, stopType: 'Bus Stop Non-Standard', gotime: \'6141\', location: \'BASINVIEW DR OPP GRANVILLE RD\' }, </v>
      </c>
    </row>
    <row r="1826" spans="1:12" x14ac:dyDescent="0.25">
      <c r="A1826">
        <v>-63.584710415259401</v>
      </c>
      <c r="B1826">
        <v>44.699239169497901</v>
      </c>
      <c r="C1826">
        <v>1789</v>
      </c>
      <c r="D1826" t="s">
        <v>103</v>
      </c>
      <c r="E1826" t="s">
        <v>12</v>
      </c>
      <c r="F1826" t="s">
        <v>25</v>
      </c>
      <c r="G1826" t="s">
        <v>65</v>
      </c>
      <c r="H1826">
        <v>8240</v>
      </c>
      <c r="I1826" t="s">
        <v>3695</v>
      </c>
      <c r="J1826" t="s">
        <v>3696</v>
      </c>
      <c r="K1826" t="s">
        <v>17</v>
      </c>
      <c r="L1826" t="str">
        <f t="shared" si="28"/>
        <v xml:space="preserve">{ longitude: -63.5847104152594, latitude: 44.6992391694979, stopType: 'Bus Stop Inaccessible', gotime: \'8240\', location: \'RONALD SMITH FS BURNSIDE DR\' }, </v>
      </c>
    </row>
    <row r="1827" spans="1:12" x14ac:dyDescent="0.25">
      <c r="A1827">
        <v>-63.678513220052103</v>
      </c>
      <c r="B1827">
        <v>44.7216236739606</v>
      </c>
      <c r="C1827">
        <v>527</v>
      </c>
      <c r="D1827" t="s">
        <v>11</v>
      </c>
      <c r="E1827" t="s">
        <v>12</v>
      </c>
      <c r="F1827" t="s">
        <v>25</v>
      </c>
      <c r="G1827" t="s">
        <v>26</v>
      </c>
      <c r="H1827">
        <v>6142</v>
      </c>
      <c r="I1827" t="s">
        <v>3697</v>
      </c>
      <c r="J1827" t="s">
        <v>3698</v>
      </c>
      <c r="K1827" t="s">
        <v>17</v>
      </c>
      <c r="L1827" t="str">
        <f t="shared" si="28"/>
        <v xml:space="preserve">{ longitude: -63.6785132200521, latitude: 44.7216236739606, stopType: 'Bus Stop Non-Standard', gotime: \'6142\', location: \'BASINVIEW DR OPP ROY CR\' }, </v>
      </c>
    </row>
    <row r="1828" spans="1:12" x14ac:dyDescent="0.25">
      <c r="A1828">
        <v>-63.584637409431899</v>
      </c>
      <c r="B1828">
        <v>44.699067590210603</v>
      </c>
      <c r="C1828">
        <v>1790</v>
      </c>
      <c r="D1828" t="s">
        <v>22</v>
      </c>
      <c r="E1828" t="s">
        <v>12</v>
      </c>
      <c r="F1828" t="s">
        <v>25</v>
      </c>
      <c r="G1828" t="s">
        <v>19</v>
      </c>
      <c r="H1828">
        <v>8241</v>
      </c>
      <c r="I1828" t="s">
        <v>3699</v>
      </c>
      <c r="J1828" t="s">
        <v>3700</v>
      </c>
      <c r="K1828" t="s">
        <v>17</v>
      </c>
      <c r="L1828" t="str">
        <f t="shared" si="28"/>
        <v xml:space="preserve">{ longitude: -63.5846374094319, latitude: 44.6990675902106, stopType: 'Bus Stop Shelter Accessible', gotime: \'8241\', location: \'RONALD SMITH FS ILSLEY AVE\' }, </v>
      </c>
    </row>
    <row r="1829" spans="1:12" x14ac:dyDescent="0.25">
      <c r="A1829">
        <v>-63.719011378480502</v>
      </c>
      <c r="B1829">
        <v>44.649091106743803</v>
      </c>
      <c r="C1829">
        <v>528</v>
      </c>
      <c r="D1829" t="s">
        <v>103</v>
      </c>
      <c r="E1829" t="s">
        <v>12</v>
      </c>
      <c r="F1829" t="s">
        <v>25</v>
      </c>
      <c r="G1829" t="s">
        <v>65</v>
      </c>
      <c r="H1829">
        <v>6143</v>
      </c>
      <c r="I1829" t="s">
        <v>3701</v>
      </c>
      <c r="J1829" t="s">
        <v>3702</v>
      </c>
      <c r="K1829" t="s">
        <v>17</v>
      </c>
      <c r="L1829" t="str">
        <f t="shared" si="28"/>
        <v xml:space="preserve">{ longitude: -63.7190113784805, latitude: 44.6490911067438, stopType: 'Bus Stop Inaccessible', gotime: \'6143\', location: \'ST MARGARETS BAY RD OPP CIVIC 1996\' }, </v>
      </c>
    </row>
    <row r="1830" spans="1:12" x14ac:dyDescent="0.25">
      <c r="A1830">
        <v>-63.634808218620101</v>
      </c>
      <c r="B1830">
        <v>44.654273601165599</v>
      </c>
      <c r="C1830">
        <v>1791</v>
      </c>
      <c r="D1830" t="s">
        <v>11</v>
      </c>
      <c r="E1830" t="s">
        <v>12</v>
      </c>
      <c r="F1830" t="s">
        <v>13</v>
      </c>
      <c r="G1830" t="s">
        <v>14</v>
      </c>
      <c r="H1830">
        <v>8242</v>
      </c>
      <c r="I1830" t="s">
        <v>3703</v>
      </c>
      <c r="J1830" t="s">
        <v>3704</v>
      </c>
      <c r="K1830" t="s">
        <v>17</v>
      </c>
      <c r="L1830" t="str">
        <f t="shared" si="28"/>
        <v xml:space="preserve">{ longitude: -63.6348082186201, latitude: 44.6542736011656, stopType: 'Bus Stop Non-Standard', gotime: \'8242\', location: \'ROSEDALE AVE AT CIVIC 30\' }, </v>
      </c>
    </row>
    <row r="1831" spans="1:12" x14ac:dyDescent="0.25">
      <c r="A1831">
        <v>-63.680586803949701</v>
      </c>
      <c r="B1831">
        <v>44.636366174781003</v>
      </c>
      <c r="C1831">
        <v>529</v>
      </c>
      <c r="D1831" t="s">
        <v>11</v>
      </c>
      <c r="E1831" t="s">
        <v>12</v>
      </c>
      <c r="F1831" t="s">
        <v>25</v>
      </c>
      <c r="G1831" t="s">
        <v>26</v>
      </c>
      <c r="H1831">
        <v>6144</v>
      </c>
      <c r="I1831" t="s">
        <v>3705</v>
      </c>
      <c r="J1831" t="s">
        <v>3706</v>
      </c>
      <c r="K1831" t="s">
        <v>17</v>
      </c>
      <c r="L1831" t="str">
        <f t="shared" si="28"/>
        <v xml:space="preserve">{ longitude: -63.6805868039497, latitude: 44.636366174781, stopType: 'Bus Stop Non-Standard', gotime: \'6144\', location: \'ST MARGARETS BAY RD AT CIVIC 1140\' }, </v>
      </c>
    </row>
    <row r="1832" spans="1:12" x14ac:dyDescent="0.25">
      <c r="A1832">
        <v>-63.6344858200574</v>
      </c>
      <c r="B1832">
        <v>44.654553300754102</v>
      </c>
      <c r="C1832">
        <v>1792</v>
      </c>
      <c r="D1832" t="s">
        <v>29</v>
      </c>
      <c r="E1832" t="s">
        <v>12</v>
      </c>
      <c r="F1832" t="s">
        <v>13</v>
      </c>
      <c r="G1832" t="s">
        <v>14</v>
      </c>
      <c r="H1832">
        <v>8244</v>
      </c>
      <c r="I1832" t="s">
        <v>3707</v>
      </c>
      <c r="J1832" t="s">
        <v>3708</v>
      </c>
      <c r="K1832" t="s">
        <v>17</v>
      </c>
      <c r="L1832" t="str">
        <f t="shared" si="28"/>
        <v xml:space="preserve">{ longitude: -63.6344858200574, latitude: 44.6545533007541, stopType: 'Bus Stop Accessible', gotime: \'8244\', location: \'ROSEDALE AVE FS CIVIC 23\' }, </v>
      </c>
    </row>
    <row r="1833" spans="1:12" x14ac:dyDescent="0.25">
      <c r="A1833">
        <v>-63.712364748342303</v>
      </c>
      <c r="B1833">
        <v>44.6455535470161</v>
      </c>
      <c r="C1833">
        <v>530</v>
      </c>
      <c r="D1833" t="s">
        <v>29</v>
      </c>
      <c r="E1833" t="s">
        <v>12</v>
      </c>
      <c r="F1833" t="s">
        <v>25</v>
      </c>
      <c r="G1833" t="s">
        <v>26</v>
      </c>
      <c r="H1833">
        <v>6145</v>
      </c>
      <c r="I1833" t="s">
        <v>3709</v>
      </c>
      <c r="J1833" t="s">
        <v>3710</v>
      </c>
      <c r="K1833" t="s">
        <v>17</v>
      </c>
      <c r="L1833" t="str">
        <f t="shared" si="28"/>
        <v xml:space="preserve">{ longitude: -63.7123647483423, latitude: 44.6455535470161, stopType: 'Bus Stop Accessible', gotime: \'6145\', location: \'ST MARGARETS BAY RD AT CIVIC 1813\' }, </v>
      </c>
    </row>
    <row r="1834" spans="1:12" x14ac:dyDescent="0.25">
      <c r="A1834">
        <v>-63.632492060211803</v>
      </c>
      <c r="B1834">
        <v>44.655523916800597</v>
      </c>
      <c r="C1834">
        <v>1793</v>
      </c>
      <c r="D1834" t="s">
        <v>29</v>
      </c>
      <c r="E1834" t="s">
        <v>12</v>
      </c>
      <c r="F1834" t="s">
        <v>13</v>
      </c>
      <c r="G1834" t="s">
        <v>14</v>
      </c>
      <c r="H1834">
        <v>8245</v>
      </c>
      <c r="I1834" t="s">
        <v>3711</v>
      </c>
      <c r="J1834" t="s">
        <v>3712</v>
      </c>
      <c r="K1834" t="s">
        <v>17</v>
      </c>
      <c r="L1834" t="str">
        <f t="shared" si="28"/>
        <v xml:space="preserve">{ longitude: -63.6324920602118, latitude: 44.6555239168006, stopType: 'Bus Stop Accessible', gotime: \'8245\', location: \'ROSEDALE AVE FS DUTCH VILLAGE RD\' }, </v>
      </c>
    </row>
    <row r="1835" spans="1:12" x14ac:dyDescent="0.25">
      <c r="A1835">
        <v>-63.675136981883703</v>
      </c>
      <c r="B1835">
        <v>44.634913974622499</v>
      </c>
      <c r="C1835">
        <v>531</v>
      </c>
      <c r="D1835" t="s">
        <v>103</v>
      </c>
      <c r="E1835" t="s">
        <v>12</v>
      </c>
      <c r="F1835" t="s">
        <v>25</v>
      </c>
      <c r="G1835" t="s">
        <v>65</v>
      </c>
      <c r="H1835">
        <v>6146</v>
      </c>
      <c r="I1835" t="s">
        <v>3713</v>
      </c>
      <c r="J1835" t="s">
        <v>3714</v>
      </c>
      <c r="K1835" t="s">
        <v>17</v>
      </c>
      <c r="L1835" t="str">
        <f t="shared" si="28"/>
        <v xml:space="preserve">{ longitude: -63.6751369818837, latitude: 44.6349139746225, stopType: 'Bus Stop Inaccessible', gotime: \'6146\', location: \'ST MARGARETS BAY RD FS CIVIC 1025\' }, </v>
      </c>
    </row>
    <row r="1836" spans="1:12" x14ac:dyDescent="0.25">
      <c r="A1836">
        <v>-63.640959624252702</v>
      </c>
      <c r="B1836">
        <v>44.651661508143803</v>
      </c>
      <c r="C1836">
        <v>1794</v>
      </c>
      <c r="D1836" t="s">
        <v>29</v>
      </c>
      <c r="E1836" t="s">
        <v>12</v>
      </c>
      <c r="F1836" t="s">
        <v>13</v>
      </c>
      <c r="G1836" t="s">
        <v>14</v>
      </c>
      <c r="H1836">
        <v>8246</v>
      </c>
      <c r="I1836" t="s">
        <v>3715</v>
      </c>
      <c r="J1836" t="s">
        <v>3716</v>
      </c>
      <c r="K1836" t="s">
        <v>17</v>
      </c>
      <c r="L1836" t="str">
        <f t="shared" si="28"/>
        <v xml:space="preserve">{ longitude: -63.6409596242527, latitude: 44.6516615081438, stopType: 'Bus Stop Accessible', gotime: \'8246\', location: \'ROSEDALE AVE FS HILLCREST ST\' }, </v>
      </c>
    </row>
    <row r="1837" spans="1:12" x14ac:dyDescent="0.25">
      <c r="A1837">
        <v>-63.700276480960802</v>
      </c>
      <c r="B1837">
        <v>44.637189735662702</v>
      </c>
      <c r="C1837">
        <v>532</v>
      </c>
      <c r="D1837" t="s">
        <v>29</v>
      </c>
      <c r="E1837" t="s">
        <v>12</v>
      </c>
      <c r="F1837" t="s">
        <v>25</v>
      </c>
      <c r="G1837" t="s">
        <v>19</v>
      </c>
      <c r="H1837">
        <v>6147</v>
      </c>
      <c r="I1837" t="s">
        <v>3717</v>
      </c>
      <c r="J1837" t="s">
        <v>3718</v>
      </c>
      <c r="K1837" t="s">
        <v>17</v>
      </c>
      <c r="L1837" t="str">
        <f t="shared" si="28"/>
        <v xml:space="preserve">{ longitude: -63.7002764809608, latitude: 44.6371897356627, stopType: 'Bus Stop Accessible', gotime: \'6147\', location: \'ST MARGARETS BAY RD FS 1505\' }, </v>
      </c>
    </row>
    <row r="1838" spans="1:12" x14ac:dyDescent="0.25">
      <c r="A1838">
        <v>-63.639286857202499</v>
      </c>
      <c r="B1838">
        <v>44.652365564482501</v>
      </c>
      <c r="C1838">
        <v>1795</v>
      </c>
      <c r="D1838" t="s">
        <v>29</v>
      </c>
      <c r="E1838" t="s">
        <v>12</v>
      </c>
      <c r="F1838" t="s">
        <v>13</v>
      </c>
      <c r="G1838" t="s">
        <v>14</v>
      </c>
      <c r="H1838">
        <v>8247</v>
      </c>
      <c r="I1838" t="s">
        <v>3719</v>
      </c>
      <c r="J1838" t="s">
        <v>3720</v>
      </c>
      <c r="K1838" t="s">
        <v>17</v>
      </c>
      <c r="L1838" t="str">
        <f t="shared" si="28"/>
        <v xml:space="preserve">{ longitude: -63.6392868572025, latitude: 44.6523655644825, stopType: 'Bus Stop Accessible', gotime: \'8247\', location: \'ROSEDALE AVE AT CIVIC 81\' }, </v>
      </c>
    </row>
    <row r="1839" spans="1:12" x14ac:dyDescent="0.25">
      <c r="A1839">
        <v>-63.707951525536402</v>
      </c>
      <c r="B1839">
        <v>44.643768067777899</v>
      </c>
      <c r="C1839">
        <v>533</v>
      </c>
      <c r="D1839" t="s">
        <v>29</v>
      </c>
      <c r="E1839" t="s">
        <v>12</v>
      </c>
      <c r="F1839" t="s">
        <v>25</v>
      </c>
      <c r="G1839" t="s">
        <v>26</v>
      </c>
      <c r="H1839">
        <v>6148</v>
      </c>
      <c r="I1839" t="s">
        <v>3721</v>
      </c>
      <c r="J1839" t="s">
        <v>3722</v>
      </c>
      <c r="K1839" t="s">
        <v>17</v>
      </c>
      <c r="L1839" t="str">
        <f t="shared" si="28"/>
        <v xml:space="preserve">{ longitude: -63.7079515255364, latitude: 44.6437680677779, stopType: 'Bus Stop Accessible', gotime: \'6148\', location: \'ST MARGARETS BAY RD FS CIVIC 1737\' }, </v>
      </c>
    </row>
    <row r="1840" spans="1:12" x14ac:dyDescent="0.25">
      <c r="A1840">
        <v>-63.637468798840203</v>
      </c>
      <c r="B1840">
        <v>44.653061389159703</v>
      </c>
      <c r="C1840">
        <v>1796</v>
      </c>
      <c r="D1840" t="s">
        <v>11</v>
      </c>
      <c r="E1840" t="s">
        <v>12</v>
      </c>
      <c r="F1840" t="s">
        <v>13</v>
      </c>
      <c r="G1840" t="s">
        <v>14</v>
      </c>
      <c r="H1840">
        <v>8248</v>
      </c>
      <c r="I1840" t="s">
        <v>3723</v>
      </c>
      <c r="J1840" t="s">
        <v>3724</v>
      </c>
      <c r="K1840" t="s">
        <v>17</v>
      </c>
      <c r="L1840" t="str">
        <f t="shared" si="28"/>
        <v xml:space="preserve">{ longitude: -63.6374687988402, latitude: 44.6530613891597, stopType: 'Bus Stop Non-Standard', gotime: \'8248\', location: \'ROSEDALE AVE AT CIVIC 60\' }, </v>
      </c>
    </row>
    <row r="1841" spans="1:12" x14ac:dyDescent="0.25">
      <c r="A1841">
        <v>-63.717497644519703</v>
      </c>
      <c r="B1841">
        <v>44.648216766686403</v>
      </c>
      <c r="C1841">
        <v>534</v>
      </c>
      <c r="D1841" t="s">
        <v>11</v>
      </c>
      <c r="E1841" t="s">
        <v>12</v>
      </c>
      <c r="F1841" t="s">
        <v>25</v>
      </c>
      <c r="G1841" t="s">
        <v>26</v>
      </c>
      <c r="H1841">
        <v>6149</v>
      </c>
      <c r="I1841" t="s">
        <v>3725</v>
      </c>
      <c r="J1841" t="s">
        <v>3726</v>
      </c>
      <c r="K1841" t="s">
        <v>17</v>
      </c>
      <c r="L1841" t="str">
        <f t="shared" si="28"/>
        <v xml:space="preserve">{ longitude: -63.7174976445197, latitude: 44.6482167666864, stopType: 'Bus Stop Non-Standard', gotime: \'6149\', location: \'ST MARGARETS BAY RD FS CIVIC 1939\' }, </v>
      </c>
    </row>
    <row r="1842" spans="1:12" x14ac:dyDescent="0.25">
      <c r="A1842">
        <v>-63.636999712197102</v>
      </c>
      <c r="B1842">
        <v>44.6533970464248</v>
      </c>
      <c r="C1842">
        <v>1797</v>
      </c>
      <c r="D1842" t="s">
        <v>29</v>
      </c>
      <c r="E1842" t="s">
        <v>12</v>
      </c>
      <c r="F1842" t="s">
        <v>13</v>
      </c>
      <c r="G1842" t="s">
        <v>14</v>
      </c>
      <c r="H1842">
        <v>8249</v>
      </c>
      <c r="I1842" t="s">
        <v>3727</v>
      </c>
      <c r="J1842" t="s">
        <v>3728</v>
      </c>
      <c r="K1842" t="s">
        <v>17</v>
      </c>
      <c r="L1842" t="str">
        <f t="shared" si="28"/>
        <v xml:space="preserve">{ longitude: -63.6369997121971, latitude: 44.6533970464248, stopType: 'Bus Stop Accessible', gotime: \'8249\', location: \'ROSEDALE AVE AT ALEX ST\' }, </v>
      </c>
    </row>
    <row r="1843" spans="1:12" x14ac:dyDescent="0.25">
      <c r="A1843">
        <v>-63.728120239671199</v>
      </c>
      <c r="B1843">
        <v>44.653364927236701</v>
      </c>
      <c r="C1843">
        <v>535</v>
      </c>
      <c r="D1843" t="s">
        <v>29</v>
      </c>
      <c r="E1843" t="s">
        <v>12</v>
      </c>
      <c r="F1843" t="s">
        <v>25</v>
      </c>
      <c r="G1843" t="s">
        <v>26</v>
      </c>
      <c r="H1843">
        <v>6150</v>
      </c>
      <c r="I1843" t="s">
        <v>3729</v>
      </c>
      <c r="J1843" t="s">
        <v>3730</v>
      </c>
      <c r="K1843" t="s">
        <v>17</v>
      </c>
      <c r="L1843" t="str">
        <f t="shared" si="28"/>
        <v xml:space="preserve">{ longitude: -63.7281202396712, latitude: 44.6533649272367, stopType: 'Bus Stop Accessible', gotime: \'6150\', location: \'ST MARGARETS BAY RD FS CIVIC 2172\' }, </v>
      </c>
    </row>
    <row r="1844" spans="1:12" x14ac:dyDescent="0.25">
      <c r="A1844">
        <v>-63.7380023189639</v>
      </c>
      <c r="B1844">
        <v>44.658595804479702</v>
      </c>
      <c r="C1844">
        <v>536</v>
      </c>
      <c r="D1844" t="s">
        <v>11</v>
      </c>
      <c r="E1844" t="s">
        <v>12</v>
      </c>
      <c r="F1844" t="s">
        <v>13</v>
      </c>
      <c r="G1844" t="s">
        <v>14</v>
      </c>
      <c r="H1844">
        <v>6151</v>
      </c>
      <c r="I1844" t="s">
        <v>3731</v>
      </c>
      <c r="J1844" t="s">
        <v>3732</v>
      </c>
      <c r="K1844" t="s">
        <v>17</v>
      </c>
      <c r="L1844" t="str">
        <f t="shared" si="28"/>
        <v xml:space="preserve">{ longitude: -63.7380023189639, latitude: 44.6585958044797, stopType: 'Bus Stop Non-Standard', gotime: \'6151\', location: \'ST MARGARETS BAY RD FS CIVIC 2395\' }, </v>
      </c>
    </row>
    <row r="1845" spans="1:12" x14ac:dyDescent="0.25">
      <c r="A1845">
        <v>-63.640643808401997</v>
      </c>
      <c r="B1845">
        <v>44.651669211840399</v>
      </c>
      <c r="C1845">
        <v>1798</v>
      </c>
      <c r="D1845" t="s">
        <v>18</v>
      </c>
      <c r="E1845" t="s">
        <v>12</v>
      </c>
      <c r="F1845" t="s">
        <v>25</v>
      </c>
      <c r="G1845" t="s">
        <v>26</v>
      </c>
      <c r="H1845">
        <v>8250</v>
      </c>
      <c r="I1845" t="s">
        <v>3733</v>
      </c>
      <c r="J1845" t="s">
        <v>3734</v>
      </c>
      <c r="K1845" t="s">
        <v>17</v>
      </c>
      <c r="L1845" t="str">
        <f t="shared" si="28"/>
        <v xml:space="preserve">{ longitude: -63.640643808402, latitude: 44.6516692118404, stopType: 'Bus Stop Shelter Non-Standard', gotime: \'8250\', location: \'ROSEDALE AVE NS HILLCREST ST\' }, </v>
      </c>
    </row>
    <row r="1846" spans="1:12" x14ac:dyDescent="0.25">
      <c r="A1846">
        <v>-63.666409178361299</v>
      </c>
      <c r="B1846">
        <v>44.675790517175699</v>
      </c>
      <c r="C1846">
        <v>1799</v>
      </c>
      <c r="D1846" t="s">
        <v>29</v>
      </c>
      <c r="E1846" t="s">
        <v>12</v>
      </c>
      <c r="F1846" t="s">
        <v>25</v>
      </c>
      <c r="G1846" t="s">
        <v>26</v>
      </c>
      <c r="H1846">
        <v>8251</v>
      </c>
      <c r="I1846" t="s">
        <v>3735</v>
      </c>
      <c r="J1846" t="s">
        <v>3736</v>
      </c>
      <c r="K1846" t="s">
        <v>17</v>
      </c>
      <c r="L1846" t="str">
        <f t="shared" si="28"/>
        <v xml:space="preserve">{ longitude: -63.6664091783613, latitude: 44.6757905171757, stopType: 'Bus Stop Accessible', gotime: \'8251\', location: \'ROSS ST FS NORMAN CR\' }, </v>
      </c>
    </row>
    <row r="1847" spans="1:12" x14ac:dyDescent="0.25">
      <c r="A1847">
        <v>-63.738328525639801</v>
      </c>
      <c r="B1847">
        <v>44.658634249583102</v>
      </c>
      <c r="C1847">
        <v>537</v>
      </c>
      <c r="D1847" t="s">
        <v>29</v>
      </c>
      <c r="E1847" t="s">
        <v>12</v>
      </c>
      <c r="F1847" t="s">
        <v>13</v>
      </c>
      <c r="G1847" t="s">
        <v>14</v>
      </c>
      <c r="H1847">
        <v>6152</v>
      </c>
      <c r="I1847" t="s">
        <v>3737</v>
      </c>
      <c r="J1847" t="s">
        <v>3738</v>
      </c>
      <c r="K1847" t="s">
        <v>17</v>
      </c>
      <c r="L1847" t="str">
        <f t="shared" si="28"/>
        <v xml:space="preserve">{ longitude: -63.7383285256398, latitude: 44.6586342495831, stopType: 'Bus Stop Accessible', gotime: \'6152\', location: \'ST MARGARETS BAY RD FS CIVIC 2404\' }, </v>
      </c>
    </row>
    <row r="1848" spans="1:12" x14ac:dyDescent="0.25">
      <c r="A1848">
        <v>-63.668085399140899</v>
      </c>
      <c r="B1848">
        <v>44.675001764090801</v>
      </c>
      <c r="C1848">
        <v>1800</v>
      </c>
      <c r="D1848" t="s">
        <v>29</v>
      </c>
      <c r="E1848" t="s">
        <v>12</v>
      </c>
      <c r="F1848" t="s">
        <v>25</v>
      </c>
      <c r="G1848" t="s">
        <v>26</v>
      </c>
      <c r="H1848">
        <v>8252</v>
      </c>
      <c r="I1848" t="s">
        <v>3739</v>
      </c>
      <c r="J1848" t="s">
        <v>3740</v>
      </c>
      <c r="K1848" t="s">
        <v>17</v>
      </c>
      <c r="L1848" t="str">
        <f t="shared" si="28"/>
        <v xml:space="preserve">{ longitude: -63.6680853991409, latitude: 44.6750017640908, stopType: 'Bus Stop Accessible', gotime: \'8252\', location: \'ROSS ST FS OPP OAKLEY AVE\' }, </v>
      </c>
    </row>
    <row r="1849" spans="1:12" x14ac:dyDescent="0.25">
      <c r="A1849">
        <v>-63.689551069093</v>
      </c>
      <c r="B1849">
        <v>44.638005105216003</v>
      </c>
      <c r="C1849">
        <v>538</v>
      </c>
      <c r="D1849" t="s">
        <v>29</v>
      </c>
      <c r="E1849" t="s">
        <v>12</v>
      </c>
      <c r="F1849" t="s">
        <v>25</v>
      </c>
      <c r="G1849" t="s">
        <v>26</v>
      </c>
      <c r="H1849">
        <v>6153</v>
      </c>
      <c r="I1849" t="s">
        <v>3741</v>
      </c>
      <c r="J1849" t="s">
        <v>3742</v>
      </c>
      <c r="K1849" t="s">
        <v>17</v>
      </c>
      <c r="L1849" t="str">
        <f t="shared" si="28"/>
        <v xml:space="preserve">{ longitude: -63.689551069093, latitude: 44.638005105216, stopType: 'Bus Stop Accessible', gotime: \'6153\', location: \'ST MARGARETS BAY RD FS COUNTY IND. PARK ENTRANCE\' }, </v>
      </c>
    </row>
    <row r="1850" spans="1:12" x14ac:dyDescent="0.25">
      <c r="A1850">
        <v>-63.520816729225103</v>
      </c>
      <c r="B1850">
        <v>44.663745294303297</v>
      </c>
      <c r="C1850">
        <v>1801</v>
      </c>
      <c r="D1850" t="s">
        <v>29</v>
      </c>
      <c r="E1850" t="s">
        <v>12</v>
      </c>
      <c r="F1850" t="s">
        <v>25</v>
      </c>
      <c r="G1850" t="s">
        <v>26</v>
      </c>
      <c r="H1850">
        <v>8253</v>
      </c>
      <c r="I1850" t="s">
        <v>3743</v>
      </c>
      <c r="J1850" t="s">
        <v>3744</v>
      </c>
      <c r="K1850" t="s">
        <v>17</v>
      </c>
      <c r="L1850" t="str">
        <f t="shared" si="28"/>
        <v xml:space="preserve">{ longitude: -63.5208167292251, latitude: 44.6637452943033, stopType: 'Bus Stop Accessible', gotime: \'8253\', location: \'RUSSELL LAKE DR OPP CIVIC 58 &lt;SB&gt;\' }, </v>
      </c>
    </row>
    <row r="1851" spans="1:12" x14ac:dyDescent="0.25">
      <c r="A1851">
        <v>-63.681747954364901</v>
      </c>
      <c r="B1851">
        <v>44.636257502895099</v>
      </c>
      <c r="C1851">
        <v>539</v>
      </c>
      <c r="D1851" t="s">
        <v>11</v>
      </c>
      <c r="E1851" t="s">
        <v>12</v>
      </c>
      <c r="F1851" t="s">
        <v>25</v>
      </c>
      <c r="G1851" t="s">
        <v>26</v>
      </c>
      <c r="H1851">
        <v>6154</v>
      </c>
      <c r="I1851" t="s">
        <v>3745</v>
      </c>
      <c r="J1851" t="s">
        <v>3746</v>
      </c>
      <c r="K1851" t="s">
        <v>17</v>
      </c>
      <c r="L1851" t="str">
        <f t="shared" si="28"/>
        <v xml:space="preserve">{ longitude: -63.6817479543649, latitude: 44.6362575028951, stopType: 'Bus Stop Non-Standard', gotime: \'6154\', location: \'ST MARGARETS BAY RD OPP BEECH TREE RUN\' }, </v>
      </c>
    </row>
    <row r="1852" spans="1:12" x14ac:dyDescent="0.25">
      <c r="A1852">
        <v>-63.462009487491102</v>
      </c>
      <c r="B1852">
        <v>44.6152120938821</v>
      </c>
      <c r="C1852">
        <v>1802</v>
      </c>
      <c r="D1852" t="s">
        <v>29</v>
      </c>
      <c r="E1852" t="s">
        <v>12</v>
      </c>
      <c r="F1852" t="s">
        <v>25</v>
      </c>
      <c r="G1852" t="s">
        <v>19</v>
      </c>
      <c r="H1852">
        <v>8670</v>
      </c>
      <c r="I1852" t="s">
        <v>3747</v>
      </c>
      <c r="J1852" t="s">
        <v>3748</v>
      </c>
      <c r="K1852" t="s">
        <v>17</v>
      </c>
      <c r="L1852" t="str">
        <f t="shared" si="28"/>
        <v xml:space="preserve">{ longitude: -63.4620094874911, latitude: 44.6152120938821, stopType: 'Bus Stop Accessible', gotime: \'8670\', location: \'MELROSE CR AT SAMUEL DANIEL\' }, </v>
      </c>
    </row>
    <row r="1853" spans="1:12" x14ac:dyDescent="0.25">
      <c r="A1853">
        <v>-63.7348703544302</v>
      </c>
      <c r="B1853">
        <v>44.655885285736098</v>
      </c>
      <c r="C1853">
        <v>540</v>
      </c>
      <c r="D1853" t="s">
        <v>29</v>
      </c>
      <c r="E1853" t="s">
        <v>12</v>
      </c>
      <c r="F1853" t="s">
        <v>25</v>
      </c>
      <c r="G1853" t="s">
        <v>19</v>
      </c>
      <c r="H1853">
        <v>6155</v>
      </c>
      <c r="I1853" t="s">
        <v>3749</v>
      </c>
      <c r="J1853" t="s">
        <v>3750</v>
      </c>
      <c r="K1853" t="s">
        <v>17</v>
      </c>
      <c r="L1853" t="str">
        <f t="shared" si="28"/>
        <v xml:space="preserve">{ longitude: -63.7348703544302, latitude: 44.6558852857361, stopType: 'Bus Stop Accessible', gotime: \'6155\', location: \'ST MARGARETS BAY RD AT FITZGERALDS STORE\' }, </v>
      </c>
    </row>
    <row r="1854" spans="1:12" x14ac:dyDescent="0.25">
      <c r="A1854">
        <v>-63.464807774523798</v>
      </c>
      <c r="B1854">
        <v>44.6130235389235</v>
      </c>
      <c r="C1854">
        <v>1803</v>
      </c>
      <c r="D1854" t="s">
        <v>29</v>
      </c>
      <c r="E1854" t="s">
        <v>12</v>
      </c>
      <c r="F1854" t="s">
        <v>25</v>
      </c>
      <c r="G1854" t="s">
        <v>19</v>
      </c>
      <c r="H1854">
        <v>8671</v>
      </c>
      <c r="I1854" t="s">
        <v>3751</v>
      </c>
      <c r="J1854" t="s">
        <v>3752</v>
      </c>
      <c r="K1854" t="s">
        <v>17</v>
      </c>
      <c r="L1854" t="str">
        <f t="shared" si="28"/>
        <v xml:space="preserve">{ longitude: -63.4648077745238, latitude: 44.6130235389235, stopType: 'Bus Stop Accessible', gotime: \'8671\', location: \'MELROSE CR AT CIVIC 180\' }, </v>
      </c>
    </row>
    <row r="1855" spans="1:12" x14ac:dyDescent="0.25">
      <c r="A1855">
        <v>-63.7002140812329</v>
      </c>
      <c r="B1855">
        <v>44.637144299730998</v>
      </c>
      <c r="C1855">
        <v>541</v>
      </c>
      <c r="D1855" t="s">
        <v>18</v>
      </c>
      <c r="E1855" t="s">
        <v>12</v>
      </c>
      <c r="F1855" t="s">
        <v>25</v>
      </c>
      <c r="G1855" t="s">
        <v>19</v>
      </c>
      <c r="H1855">
        <v>6156</v>
      </c>
      <c r="I1855" t="s">
        <v>3753</v>
      </c>
      <c r="J1855" t="s">
        <v>3754</v>
      </c>
      <c r="K1855" t="s">
        <v>17</v>
      </c>
      <c r="L1855" t="str">
        <f t="shared" si="28"/>
        <v xml:space="preserve">{ longitude: -63.7002140812329, latitude: 44.637144299731, stopType: 'Bus Stop Shelter Non-Standard', gotime: \'6156\', location: \'ST MARGARETS BAY RD FS GREENHEAD RD\' }, </v>
      </c>
    </row>
    <row r="1856" spans="1:12" x14ac:dyDescent="0.25">
      <c r="A1856">
        <v>-63.468518918515599</v>
      </c>
      <c r="B1856">
        <v>44.611923141947003</v>
      </c>
      <c r="C1856">
        <v>1804</v>
      </c>
      <c r="D1856" t="s">
        <v>11</v>
      </c>
      <c r="E1856" t="s">
        <v>12</v>
      </c>
      <c r="F1856" t="s">
        <v>25</v>
      </c>
      <c r="G1856" t="s">
        <v>19</v>
      </c>
      <c r="H1856">
        <v>8672</v>
      </c>
      <c r="I1856" t="s">
        <v>3755</v>
      </c>
      <c r="J1856" t="s">
        <v>3756</v>
      </c>
      <c r="K1856" t="s">
        <v>17</v>
      </c>
      <c r="L1856" t="str">
        <f t="shared" si="28"/>
        <v xml:space="preserve">{ longitude: -63.4685189185156, latitude: 44.611923141947, stopType: 'Bus Stop Non-Standard', gotime: \'8672\', location: \'HERITAGE HILLS DR NS SEROP CR\' }, </v>
      </c>
    </row>
    <row r="1857" spans="1:12" x14ac:dyDescent="0.25">
      <c r="A1857">
        <v>-63.677229983818997</v>
      </c>
      <c r="B1857">
        <v>44.6357570536453</v>
      </c>
      <c r="C1857">
        <v>542</v>
      </c>
      <c r="D1857" t="s">
        <v>64</v>
      </c>
      <c r="E1857" t="s">
        <v>12</v>
      </c>
      <c r="F1857" t="s">
        <v>25</v>
      </c>
      <c r="G1857" t="s">
        <v>65</v>
      </c>
      <c r="H1857">
        <v>6157</v>
      </c>
      <c r="I1857" t="s">
        <v>3757</v>
      </c>
      <c r="J1857" t="s">
        <v>3758</v>
      </c>
      <c r="K1857" t="s">
        <v>17</v>
      </c>
      <c r="L1857" t="str">
        <f t="shared" si="28"/>
        <v xml:space="preserve">{ longitude: -63.677229983819, latitude: 44.6357570536453, stopType: 'Bus Stop Shelter Inaccessible', gotime: \'6157\', location: \'ST MARGARETS BAY RD AT CIVIC 1075\' }, </v>
      </c>
    </row>
    <row r="1858" spans="1:12" x14ac:dyDescent="0.25">
      <c r="A1858">
        <v>-63.664313181146802</v>
      </c>
      <c r="B1858">
        <v>44.6610246228731</v>
      </c>
      <c r="C1858">
        <v>1805</v>
      </c>
      <c r="D1858" t="s">
        <v>29</v>
      </c>
      <c r="E1858" t="s">
        <v>12</v>
      </c>
      <c r="F1858" t="s">
        <v>25</v>
      </c>
      <c r="G1858" t="s">
        <v>19</v>
      </c>
      <c r="H1858">
        <v>7071</v>
      </c>
      <c r="I1858" t="s">
        <v>3055</v>
      </c>
      <c r="J1858" t="s">
        <v>3759</v>
      </c>
      <c r="K1858" t="s">
        <v>17</v>
      </c>
      <c r="L1858" t="str">
        <f t="shared" si="28"/>
        <v xml:space="preserve">{ longitude: -63.6643131811468, latitude: 44.6610246228731, stopType: 'Bus Stop Accessible', gotime: \'7071\', location: \'LACEWOOD DR FS RADCLIFFE\' }, </v>
      </c>
    </row>
    <row r="1859" spans="1:12" x14ac:dyDescent="0.25">
      <c r="A1859">
        <v>-63.624153155055502</v>
      </c>
      <c r="B1859">
        <v>44.640888198084703</v>
      </c>
      <c r="C1859">
        <v>543</v>
      </c>
      <c r="D1859" t="s">
        <v>29</v>
      </c>
      <c r="E1859" t="s">
        <v>12</v>
      </c>
      <c r="F1859" t="s">
        <v>13</v>
      </c>
      <c r="G1859" t="s">
        <v>14</v>
      </c>
      <c r="H1859">
        <v>6158</v>
      </c>
      <c r="I1859" t="s">
        <v>3760</v>
      </c>
      <c r="J1859" t="s">
        <v>3761</v>
      </c>
      <c r="K1859" t="s">
        <v>17</v>
      </c>
      <c r="L1859" t="str">
        <f t="shared" ref="L1859:L1922" si="29">CONCATENATE( "{ longitude: ", A1859, ", latitude: ", B1859, ", stopType: '", D1859, "', gotime: \'", H1859, "\', location: \'", I1859, "\' }, ")</f>
        <v xml:space="preserve">{ longitude: -63.6241531550555, latitude: 44.6408881980847, stopType: 'Bus Stop Accessible', gotime: \'6158\', location: \'ST MARGARETS BAY RD FS KEATING RD\' }, </v>
      </c>
    </row>
    <row r="1860" spans="1:12" x14ac:dyDescent="0.25">
      <c r="A1860">
        <v>-63.659425451494002</v>
      </c>
      <c r="B1860">
        <v>44.662280576053497</v>
      </c>
      <c r="C1860">
        <v>1806</v>
      </c>
      <c r="D1860" t="s">
        <v>29</v>
      </c>
      <c r="E1860" t="s">
        <v>12</v>
      </c>
      <c r="F1860" t="s">
        <v>13</v>
      </c>
      <c r="G1860" t="s">
        <v>19</v>
      </c>
      <c r="H1860">
        <v>7072</v>
      </c>
      <c r="I1860" t="s">
        <v>3762</v>
      </c>
      <c r="J1860" t="s">
        <v>3763</v>
      </c>
      <c r="K1860" t="s">
        <v>17</v>
      </c>
      <c r="L1860" t="str">
        <f t="shared" si="29"/>
        <v xml:space="preserve">{ longitude: -63.659425451494, latitude: 44.6622805760535, stopType: 'Bus Stop Accessible', gotime: \'7072\', location: \'LACEWOOD DR FS WILLET ST\' }, </v>
      </c>
    </row>
    <row r="1861" spans="1:12" x14ac:dyDescent="0.25">
      <c r="A1861">
        <v>-63.624674789735799</v>
      </c>
      <c r="B1861">
        <v>44.640166184960897</v>
      </c>
      <c r="C1861">
        <v>544</v>
      </c>
      <c r="D1861" t="s">
        <v>22</v>
      </c>
      <c r="E1861" t="s">
        <v>12</v>
      </c>
      <c r="F1861" t="s">
        <v>13</v>
      </c>
      <c r="G1861" t="s">
        <v>19</v>
      </c>
      <c r="H1861">
        <v>6159</v>
      </c>
      <c r="I1861" t="s">
        <v>3764</v>
      </c>
      <c r="J1861" t="s">
        <v>3765</v>
      </c>
      <c r="K1861" t="s">
        <v>17</v>
      </c>
      <c r="L1861" t="str">
        <f t="shared" si="29"/>
        <v xml:space="preserve">{ longitude: -63.6246747897358, latitude: 44.6401661849609, stopType: 'Bus Stop Shelter Accessible', gotime: \'6159\', location: \'ST MARGARETS BAY RD AT FAIRMOUNT RD\' }, </v>
      </c>
    </row>
    <row r="1862" spans="1:12" x14ac:dyDescent="0.25">
      <c r="A1862">
        <v>-63.665753699506404</v>
      </c>
      <c r="B1862">
        <v>44.659937185026997</v>
      </c>
      <c r="C1862">
        <v>1807</v>
      </c>
      <c r="D1862" t="s">
        <v>22</v>
      </c>
      <c r="E1862" t="s">
        <v>12</v>
      </c>
      <c r="F1862" t="s">
        <v>25</v>
      </c>
      <c r="G1862" t="s">
        <v>19</v>
      </c>
      <c r="H1862">
        <v>7073</v>
      </c>
      <c r="I1862" t="s">
        <v>3766</v>
      </c>
      <c r="J1862" t="s">
        <v>3767</v>
      </c>
      <c r="K1862" t="s">
        <v>17</v>
      </c>
      <c r="L1862" t="str">
        <f t="shared" si="29"/>
        <v xml:space="preserve">{ longitude: -63.6657536995064, latitude: 44.659937185027, stopType: 'Bus Stop Shelter Accessible', gotime: \'7073\', location: \'LACEWOOD DR FS OPP STRATFORD WAY\' }, </v>
      </c>
    </row>
    <row r="1863" spans="1:12" x14ac:dyDescent="0.25">
      <c r="A1863">
        <v>-63.669868772245998</v>
      </c>
      <c r="B1863">
        <v>44.6350021591321</v>
      </c>
      <c r="C1863">
        <v>545</v>
      </c>
      <c r="D1863" t="s">
        <v>103</v>
      </c>
      <c r="E1863" t="s">
        <v>12</v>
      </c>
      <c r="F1863" t="s">
        <v>13</v>
      </c>
      <c r="G1863" t="s">
        <v>65</v>
      </c>
      <c r="H1863">
        <v>6160</v>
      </c>
      <c r="I1863" t="s">
        <v>3768</v>
      </c>
      <c r="J1863" t="s">
        <v>3769</v>
      </c>
      <c r="K1863" t="s">
        <v>17</v>
      </c>
      <c r="L1863" t="str">
        <f t="shared" si="29"/>
        <v xml:space="preserve">{ longitude: -63.669868772246, latitude: 44.6350021591321, stopType: 'Bus Stop Inaccessible', gotime: \'6160\', location: \'ST MARGARETS BAY RD FS LAKELANDS BLVD\' }, </v>
      </c>
    </row>
    <row r="1864" spans="1:12" x14ac:dyDescent="0.25">
      <c r="A1864">
        <v>-63.643574201423299</v>
      </c>
      <c r="B1864">
        <v>44.6633741701106</v>
      </c>
      <c r="C1864">
        <v>1808</v>
      </c>
      <c r="D1864" t="s">
        <v>29</v>
      </c>
      <c r="E1864" t="s">
        <v>12</v>
      </c>
      <c r="F1864" t="s">
        <v>13</v>
      </c>
      <c r="G1864" t="s">
        <v>19</v>
      </c>
      <c r="H1864">
        <v>7074</v>
      </c>
      <c r="I1864" t="s">
        <v>3770</v>
      </c>
      <c r="J1864" t="s">
        <v>3771</v>
      </c>
      <c r="K1864" t="s">
        <v>17</v>
      </c>
      <c r="L1864" t="str">
        <f t="shared" si="29"/>
        <v xml:space="preserve">{ longitude: -63.6435742014233, latitude: 44.6633741701106, stopType: 'Bus Stop Accessible', gotime: \'7074\', location: \'LACEWOOD DR AT CIVIC 159\' }, </v>
      </c>
    </row>
    <row r="1865" spans="1:12" x14ac:dyDescent="0.25">
      <c r="A1865">
        <v>-63.712727992651899</v>
      </c>
      <c r="B1865">
        <v>44.645727047431798</v>
      </c>
      <c r="C1865">
        <v>546</v>
      </c>
      <c r="D1865" t="s">
        <v>11</v>
      </c>
      <c r="E1865" t="s">
        <v>12</v>
      </c>
      <c r="F1865" t="s">
        <v>25</v>
      </c>
      <c r="G1865" t="s">
        <v>26</v>
      </c>
      <c r="H1865">
        <v>6161</v>
      </c>
      <c r="I1865" t="s">
        <v>3772</v>
      </c>
      <c r="J1865" t="s">
        <v>3773</v>
      </c>
      <c r="K1865" t="s">
        <v>17</v>
      </c>
      <c r="L1865" t="str">
        <f t="shared" si="29"/>
        <v xml:space="preserve">{ longitude: -63.7127279926519, latitude: 44.6457270474318, stopType: 'Bus Stop Non-Standard', gotime: \'6161\', location: \'ST MARGARETS BAY RD AT CIVIC 1630\' }, </v>
      </c>
    </row>
    <row r="1866" spans="1:12" x14ac:dyDescent="0.25">
      <c r="A1866">
        <v>-63.645513815994001</v>
      </c>
      <c r="B1866">
        <v>44.6639234643119</v>
      </c>
      <c r="C1866">
        <v>1809</v>
      </c>
      <c r="D1866" t="s">
        <v>29</v>
      </c>
      <c r="E1866" t="s">
        <v>12</v>
      </c>
      <c r="F1866" t="s">
        <v>13</v>
      </c>
      <c r="G1866" t="s">
        <v>19</v>
      </c>
      <c r="H1866">
        <v>7075</v>
      </c>
      <c r="I1866" t="s">
        <v>3774</v>
      </c>
      <c r="J1866" t="s">
        <v>3775</v>
      </c>
      <c r="K1866" t="s">
        <v>17</v>
      </c>
      <c r="L1866" t="str">
        <f t="shared" si="29"/>
        <v xml:space="preserve">{ longitude: -63.645513815994, latitude: 44.6639234643119, stopType: 'Bus Stop Accessible', gotime: \'7075\', location: \'LACEWOOD DR NS BAYVIEW AVE\' }, </v>
      </c>
    </row>
    <row r="1867" spans="1:12" x14ac:dyDescent="0.25">
      <c r="A1867">
        <v>-63.684327977391597</v>
      </c>
      <c r="B1867">
        <v>44.636536953242</v>
      </c>
      <c r="C1867">
        <v>547</v>
      </c>
      <c r="D1867" t="s">
        <v>22</v>
      </c>
      <c r="E1867" t="s">
        <v>12</v>
      </c>
      <c r="F1867" t="s">
        <v>25</v>
      </c>
      <c r="G1867" t="s">
        <v>19</v>
      </c>
      <c r="H1867">
        <v>6162</v>
      </c>
      <c r="I1867" t="s">
        <v>3776</v>
      </c>
      <c r="J1867" t="s">
        <v>3777</v>
      </c>
      <c r="K1867" t="s">
        <v>17</v>
      </c>
      <c r="L1867" t="str">
        <f t="shared" si="29"/>
        <v xml:space="preserve">{ longitude: -63.6843279773916, latitude: 44.636536953242, stopType: 'Bus Stop Shelter Accessible', gotime: \'6162\', location: \'ST MARGARETS BAY RD [IB] AT CIVIC 1210\' }, </v>
      </c>
    </row>
    <row r="1868" spans="1:12" x14ac:dyDescent="0.25">
      <c r="A1868">
        <v>-63.648661033440199</v>
      </c>
      <c r="B1868">
        <v>44.6640700857958</v>
      </c>
      <c r="C1868">
        <v>1810</v>
      </c>
      <c r="D1868" t="s">
        <v>29</v>
      </c>
      <c r="E1868" t="s">
        <v>12</v>
      </c>
      <c r="F1868" t="s">
        <v>13</v>
      </c>
      <c r="G1868" t="s">
        <v>19</v>
      </c>
      <c r="H1868">
        <v>7076</v>
      </c>
      <c r="I1868" t="s">
        <v>3778</v>
      </c>
      <c r="J1868" t="s">
        <v>3779</v>
      </c>
      <c r="K1868" t="s">
        <v>17</v>
      </c>
      <c r="L1868" t="str">
        <f t="shared" si="29"/>
        <v xml:space="preserve">{ longitude: -63.6486610334402, latitude: 44.6640700857958, stopType: 'Bus Stop Accessible', gotime: \'7076\', location: \'LACEWOOD DR NS CEDARBRAE\' }, </v>
      </c>
    </row>
    <row r="1869" spans="1:12" x14ac:dyDescent="0.25">
      <c r="A1869">
        <v>-63.6971804190621</v>
      </c>
      <c r="B1869">
        <v>44.637761999310001</v>
      </c>
      <c r="C1869">
        <v>548</v>
      </c>
      <c r="D1869" t="s">
        <v>29</v>
      </c>
      <c r="E1869" t="s">
        <v>12</v>
      </c>
      <c r="F1869" t="s">
        <v>25</v>
      </c>
      <c r="G1869" t="s">
        <v>26</v>
      </c>
      <c r="H1869">
        <v>6163</v>
      </c>
      <c r="I1869" t="s">
        <v>3780</v>
      </c>
      <c r="J1869" t="s">
        <v>3781</v>
      </c>
      <c r="K1869" t="s">
        <v>17</v>
      </c>
      <c r="L1869" t="str">
        <f t="shared" si="29"/>
        <v xml:space="preserve">{ longitude: -63.6971804190621, latitude: 44.63776199931, stopType: 'Bus Stop Accessible', gotime: \'6163\', location: \'ST MARGARETS BAY RD AT POST OFFICE\' }, </v>
      </c>
    </row>
    <row r="1870" spans="1:12" x14ac:dyDescent="0.25">
      <c r="A1870">
        <v>-63.654203890059698</v>
      </c>
      <c r="B1870">
        <v>44.663264035313802</v>
      </c>
      <c r="C1870">
        <v>1811</v>
      </c>
      <c r="D1870" t="s">
        <v>29</v>
      </c>
      <c r="E1870" t="s">
        <v>12</v>
      </c>
      <c r="F1870" t="s">
        <v>13</v>
      </c>
      <c r="G1870" t="s">
        <v>19</v>
      </c>
      <c r="H1870">
        <v>7077</v>
      </c>
      <c r="I1870" t="s">
        <v>3782</v>
      </c>
      <c r="J1870" t="s">
        <v>3783</v>
      </c>
      <c r="K1870" t="s">
        <v>17</v>
      </c>
      <c r="L1870" t="str">
        <f t="shared" si="29"/>
        <v xml:space="preserve">{ longitude: -63.6542038900597, latitude: 44.6632640353138, stopType: 'Bus Stop Accessible', gotime: \'7077\', location: \'LACEWOOD DR NS DUNBRACK ST &lt;WB&gt;\' }, </v>
      </c>
    </row>
    <row r="1871" spans="1:12" x14ac:dyDescent="0.25">
      <c r="A1871">
        <v>-63.693080110030301</v>
      </c>
      <c r="B1871">
        <v>44.638030094677198</v>
      </c>
      <c r="C1871">
        <v>549</v>
      </c>
      <c r="D1871" t="s">
        <v>64</v>
      </c>
      <c r="E1871" t="s">
        <v>12</v>
      </c>
      <c r="F1871" t="s">
        <v>25</v>
      </c>
      <c r="G1871" t="s">
        <v>65</v>
      </c>
      <c r="H1871">
        <v>6164</v>
      </c>
      <c r="I1871" t="s">
        <v>3784</v>
      </c>
      <c r="J1871" t="s">
        <v>3785</v>
      </c>
      <c r="K1871" t="s">
        <v>17</v>
      </c>
      <c r="L1871" t="str">
        <f t="shared" si="29"/>
        <v xml:space="preserve">{ longitude: -63.6930801100303, latitude: 44.6380300946772, stopType: 'Bus Stop Shelter Inaccessible', gotime: \'6164\', location: \'ST MARGARETS BAY RD AT CIVIC 1370\' }, </v>
      </c>
    </row>
    <row r="1872" spans="1:12" x14ac:dyDescent="0.25">
      <c r="A1872">
        <v>-63.655472882401</v>
      </c>
      <c r="B1872">
        <v>44.662481988652601</v>
      </c>
      <c r="C1872">
        <v>1812</v>
      </c>
      <c r="D1872" t="s">
        <v>29</v>
      </c>
      <c r="E1872" t="s">
        <v>12</v>
      </c>
      <c r="F1872" t="s">
        <v>13</v>
      </c>
      <c r="G1872" t="s">
        <v>14</v>
      </c>
      <c r="H1872">
        <v>7078</v>
      </c>
      <c r="I1872" t="s">
        <v>3786</v>
      </c>
      <c r="J1872" t="s">
        <v>3787</v>
      </c>
      <c r="K1872" t="s">
        <v>17</v>
      </c>
      <c r="L1872" t="str">
        <f t="shared" si="29"/>
        <v xml:space="preserve">{ longitude: -63.655472882401, latitude: 44.6624819886526, stopType: 'Bus Stop Accessible', gotime: \'7078\', location: \'LACEWOOD DR NS DUNBRACK ST\' }, </v>
      </c>
    </row>
    <row r="1873" spans="1:12" x14ac:dyDescent="0.25">
      <c r="A1873">
        <v>-63.7036079343453</v>
      </c>
      <c r="B1873">
        <v>44.637834001476797</v>
      </c>
      <c r="C1873">
        <v>550</v>
      </c>
      <c r="D1873" t="s">
        <v>29</v>
      </c>
      <c r="E1873" t="s">
        <v>12</v>
      </c>
      <c r="F1873" t="s">
        <v>25</v>
      </c>
      <c r="G1873" t="s">
        <v>26</v>
      </c>
      <c r="H1873">
        <v>6165</v>
      </c>
      <c r="I1873" t="s">
        <v>3788</v>
      </c>
      <c r="J1873" t="s">
        <v>3789</v>
      </c>
      <c r="K1873" t="s">
        <v>17</v>
      </c>
      <c r="L1873" t="str">
        <f t="shared" si="29"/>
        <v xml:space="preserve">{ longitude: -63.7036079343453, latitude: 44.6378340014768, stopType: 'Bus Stop Accessible', gotime: \'6165\', location: \'ST MARGARETS BAY RD AT CIVIC 1569\' }, </v>
      </c>
    </row>
    <row r="1874" spans="1:12" x14ac:dyDescent="0.25">
      <c r="A1874">
        <v>-63.635244084205702</v>
      </c>
      <c r="B1874">
        <v>44.660314209736697</v>
      </c>
      <c r="C1874">
        <v>1813</v>
      </c>
      <c r="D1874" t="s">
        <v>29</v>
      </c>
      <c r="E1874" t="s">
        <v>12</v>
      </c>
      <c r="F1874" t="s">
        <v>13</v>
      </c>
      <c r="G1874" t="s">
        <v>19</v>
      </c>
      <c r="H1874">
        <v>7079</v>
      </c>
      <c r="I1874" t="s">
        <v>3790</v>
      </c>
      <c r="J1874" t="s">
        <v>3791</v>
      </c>
      <c r="K1874" t="s">
        <v>17</v>
      </c>
      <c r="L1874" t="str">
        <f t="shared" si="29"/>
        <v xml:space="preserve">{ longitude: -63.6352440842057, latitude: 44.6603142097367, stopType: 'Bus Stop Accessible', gotime: \'7079\', location: \'LACEWOOD DR NS EVANS AVE&lt;EB&gt;\' }, </v>
      </c>
    </row>
    <row r="1875" spans="1:12" x14ac:dyDescent="0.25">
      <c r="A1875">
        <v>-63.704170181128298</v>
      </c>
      <c r="B1875">
        <v>44.638197912467199</v>
      </c>
      <c r="C1875">
        <v>551</v>
      </c>
      <c r="D1875" t="s">
        <v>11</v>
      </c>
      <c r="E1875" t="s">
        <v>12</v>
      </c>
      <c r="F1875" t="s">
        <v>25</v>
      </c>
      <c r="G1875" t="s">
        <v>26</v>
      </c>
      <c r="H1875">
        <v>6166</v>
      </c>
      <c r="I1875" t="s">
        <v>3792</v>
      </c>
      <c r="J1875" t="s">
        <v>3793</v>
      </c>
      <c r="K1875" t="s">
        <v>17</v>
      </c>
      <c r="L1875" t="str">
        <f t="shared" si="29"/>
        <v xml:space="preserve">{ longitude: -63.7041701811283, latitude: 44.6381979124672, stopType: 'Bus Stop Non-Standard', gotime: \'6166\', location: \'ST MARGARETS BAY RD AT CIVIC 1578\' }, </v>
      </c>
    </row>
    <row r="1876" spans="1:12" x14ac:dyDescent="0.25">
      <c r="A1876">
        <v>-63.669047563202703</v>
      </c>
      <c r="B1876">
        <v>44.658863229055697</v>
      </c>
      <c r="C1876">
        <v>1814</v>
      </c>
      <c r="D1876" t="s">
        <v>29</v>
      </c>
      <c r="E1876" t="s">
        <v>12</v>
      </c>
      <c r="F1876" t="s">
        <v>25</v>
      </c>
      <c r="G1876" t="s">
        <v>19</v>
      </c>
      <c r="H1876">
        <v>7080</v>
      </c>
      <c r="I1876" t="s">
        <v>3794</v>
      </c>
      <c r="J1876" t="s">
        <v>3795</v>
      </c>
      <c r="K1876" t="s">
        <v>17</v>
      </c>
      <c r="L1876" t="str">
        <f t="shared" si="29"/>
        <v xml:space="preserve">{ longitude: -63.6690475632027, latitude: 44.6588632290557, stopType: 'Bus Stop Accessible', gotime: \'7080\', location: \'LACEWOOD DR NS PARKLAND DR [OB]\' }, </v>
      </c>
    </row>
    <row r="1877" spans="1:12" x14ac:dyDescent="0.25">
      <c r="A1877">
        <v>-63.705463659366004</v>
      </c>
      <c r="B1877">
        <v>44.639475888912003</v>
      </c>
      <c r="C1877">
        <v>552</v>
      </c>
      <c r="D1877" t="s">
        <v>11</v>
      </c>
      <c r="E1877" t="s">
        <v>12</v>
      </c>
      <c r="F1877" t="s">
        <v>25</v>
      </c>
      <c r="G1877" t="s">
        <v>26</v>
      </c>
      <c r="H1877">
        <v>6167</v>
      </c>
      <c r="I1877" t="s">
        <v>3796</v>
      </c>
      <c r="J1877" t="s">
        <v>3797</v>
      </c>
      <c r="K1877" t="s">
        <v>17</v>
      </c>
      <c r="L1877" t="str">
        <f t="shared" si="29"/>
        <v xml:space="preserve">{ longitude: -63.705463659366, latitude: 44.639475888912, stopType: 'Bus Stop Non-Standard', gotime: \'6167\', location: \'ST MARGARETS BAY RD AT CIVIC 1618\' }, </v>
      </c>
    </row>
    <row r="1878" spans="1:12" x14ac:dyDescent="0.25">
      <c r="A1878">
        <v>-63.668504897800403</v>
      </c>
      <c r="B1878">
        <v>44.658895278274699</v>
      </c>
      <c r="C1878">
        <v>1815</v>
      </c>
      <c r="D1878" t="s">
        <v>22</v>
      </c>
      <c r="E1878" t="s">
        <v>12</v>
      </c>
      <c r="F1878" t="s">
        <v>25</v>
      </c>
      <c r="G1878" t="s">
        <v>19</v>
      </c>
      <c r="H1878">
        <v>7081</v>
      </c>
      <c r="I1878" t="s">
        <v>3798</v>
      </c>
      <c r="J1878" t="s">
        <v>3799</v>
      </c>
      <c r="K1878" t="s">
        <v>17</v>
      </c>
      <c r="L1878" t="str">
        <f t="shared" si="29"/>
        <v xml:space="preserve">{ longitude: -63.6685048978004, latitude: 44.6588952782747, stopType: 'Bus Stop Shelter Accessible', gotime: \'7081\', location: \'LACEWOOD DR OPP FS PARKLAND DR [IB]\' }, </v>
      </c>
    </row>
    <row r="1879" spans="1:12" x14ac:dyDescent="0.25">
      <c r="A1879">
        <v>-63.626893749337903</v>
      </c>
      <c r="B1879">
        <v>44.639559216054202</v>
      </c>
      <c r="C1879">
        <v>553</v>
      </c>
      <c r="D1879" t="s">
        <v>29</v>
      </c>
      <c r="E1879" t="s">
        <v>12</v>
      </c>
      <c r="F1879" t="s">
        <v>25</v>
      </c>
      <c r="G1879" t="s">
        <v>26</v>
      </c>
      <c r="H1879">
        <v>6169</v>
      </c>
      <c r="I1879" t="s">
        <v>3800</v>
      </c>
      <c r="J1879" t="s">
        <v>3801</v>
      </c>
      <c r="K1879" t="s">
        <v>17</v>
      </c>
      <c r="L1879" t="str">
        <f t="shared" si="29"/>
        <v xml:space="preserve">{ longitude: -63.6268937493379, latitude: 44.6395592160542, stopType: 'Bus Stop Accessible', gotime: \'6169\', location: \'ST MARGARETS BAY RD AT CIVIC 46\' }, </v>
      </c>
    </row>
    <row r="1880" spans="1:12" x14ac:dyDescent="0.25">
      <c r="A1880">
        <v>-63.6598466628949</v>
      </c>
      <c r="B1880">
        <v>44.662077671279299</v>
      </c>
      <c r="C1880">
        <v>1816</v>
      </c>
      <c r="D1880" t="s">
        <v>29</v>
      </c>
      <c r="E1880" t="s">
        <v>12</v>
      </c>
      <c r="F1880" t="s">
        <v>13</v>
      </c>
      <c r="G1880" t="s">
        <v>19</v>
      </c>
      <c r="H1880">
        <v>7082</v>
      </c>
      <c r="I1880" t="s">
        <v>3802</v>
      </c>
      <c r="J1880" t="s">
        <v>3803</v>
      </c>
      <c r="K1880" t="s">
        <v>17</v>
      </c>
      <c r="L1880" t="str">
        <f t="shared" si="29"/>
        <v xml:space="preserve">{ longitude: -63.6598466628949, latitude: 44.6620776712793, stopType: 'Bus Stop Accessible', gotime: \'7082\', location: \'LACEWOOD DR NS WILLET ST [IB] ?? CHECK DESC\' }, </v>
      </c>
    </row>
    <row r="1881" spans="1:12" x14ac:dyDescent="0.25">
      <c r="A1881">
        <v>-63.612798699166802</v>
      </c>
      <c r="B1881">
        <v>44.665289178887598</v>
      </c>
      <c r="C1881">
        <v>554</v>
      </c>
      <c r="D1881" t="s">
        <v>29</v>
      </c>
      <c r="E1881" t="s">
        <v>12</v>
      </c>
      <c r="F1881" t="s">
        <v>13</v>
      </c>
      <c r="G1881" t="s">
        <v>14</v>
      </c>
      <c r="H1881">
        <v>7091</v>
      </c>
      <c r="I1881" t="s">
        <v>3804</v>
      </c>
      <c r="J1881" t="s">
        <v>3805</v>
      </c>
      <c r="K1881" t="s">
        <v>17</v>
      </c>
      <c r="L1881" t="str">
        <f t="shared" si="29"/>
        <v xml:space="preserve">{ longitude: -63.6127986991668, latitude: 44.6652891788876, stopType: 'Bus Stop Accessible', gotime: \'7091\', location: \'LADY HAMMOND RD FS HIGH ST &lt;WB&gt;\' }, </v>
      </c>
    </row>
    <row r="1882" spans="1:12" x14ac:dyDescent="0.25">
      <c r="A1882">
        <v>-63.638687722467203</v>
      </c>
      <c r="B1882">
        <v>44.661163711038903</v>
      </c>
      <c r="C1882">
        <v>1817</v>
      </c>
      <c r="D1882" t="s">
        <v>29</v>
      </c>
      <c r="E1882" t="s">
        <v>12</v>
      </c>
      <c r="F1882" t="s">
        <v>13</v>
      </c>
      <c r="G1882" t="s">
        <v>19</v>
      </c>
      <c r="H1882">
        <v>7083</v>
      </c>
      <c r="I1882" t="s">
        <v>3806</v>
      </c>
      <c r="J1882" t="s">
        <v>3807</v>
      </c>
      <c r="K1882" t="s">
        <v>17</v>
      </c>
      <c r="L1882" t="str">
        <f t="shared" si="29"/>
        <v xml:space="preserve">{ longitude: -63.6386877224672, latitude: 44.6611637110389, stopType: 'Bus Stop Accessible', gotime: \'7083\', location: \'LACEWOOD DR NS OPP GLENFOREST\' }, </v>
      </c>
    </row>
    <row r="1883" spans="1:12" x14ac:dyDescent="0.25">
      <c r="A1883">
        <v>-63.569818727331203</v>
      </c>
      <c r="B1883">
        <v>44.638812774207601</v>
      </c>
      <c r="C1883">
        <v>555</v>
      </c>
      <c r="D1883" t="s">
        <v>29</v>
      </c>
      <c r="E1883" t="s">
        <v>12</v>
      </c>
      <c r="F1883" t="s">
        <v>13</v>
      </c>
      <c r="G1883" t="s">
        <v>19</v>
      </c>
      <c r="H1883">
        <v>7092</v>
      </c>
      <c r="I1883" t="s">
        <v>3808</v>
      </c>
      <c r="J1883" t="s">
        <v>3809</v>
      </c>
      <c r="K1883" t="s">
        <v>17</v>
      </c>
      <c r="L1883" t="str">
        <f t="shared" si="29"/>
        <v xml:space="preserve">{ longitude: -63.5698187273312, latitude: 44.6388127742076, stopType: 'Bus Stop Accessible', gotime: \'7092\', location: \'BARRINGTON ST &lt;NB&gt; NS HOLLIS ST\' }, </v>
      </c>
    </row>
    <row r="1884" spans="1:12" x14ac:dyDescent="0.25">
      <c r="A1884">
        <v>-63.640828939517199</v>
      </c>
      <c r="B1884">
        <v>44.6615790690729</v>
      </c>
      <c r="C1884">
        <v>1818</v>
      </c>
      <c r="D1884" t="s">
        <v>22</v>
      </c>
      <c r="E1884" t="s">
        <v>12</v>
      </c>
      <c r="F1884" t="s">
        <v>13</v>
      </c>
      <c r="G1884" t="s">
        <v>19</v>
      </c>
      <c r="H1884">
        <v>7084</v>
      </c>
      <c r="I1884" t="s">
        <v>3810</v>
      </c>
      <c r="J1884" t="s">
        <v>3811</v>
      </c>
      <c r="K1884" t="s">
        <v>17</v>
      </c>
      <c r="L1884" t="str">
        <f t="shared" si="29"/>
        <v xml:space="preserve">{ longitude: -63.6408289395172, latitude: 44.6615790690729, stopType: 'Bus Stop Shelter Accessible', gotime: \'7084\', location: \'LACEWOOD DR OPP BRAESIDE &lt;EB&gt;\' }, </v>
      </c>
    </row>
    <row r="1885" spans="1:12" x14ac:dyDescent="0.25">
      <c r="A1885">
        <v>-63.619688939978303</v>
      </c>
      <c r="B1885">
        <v>44.664128164109599</v>
      </c>
      <c r="C1885">
        <v>556</v>
      </c>
      <c r="D1885" t="s">
        <v>29</v>
      </c>
      <c r="E1885" t="s">
        <v>12</v>
      </c>
      <c r="F1885" t="s">
        <v>13</v>
      </c>
      <c r="G1885" t="s">
        <v>19</v>
      </c>
      <c r="H1885">
        <v>7093</v>
      </c>
      <c r="I1885" t="s">
        <v>3812</v>
      </c>
      <c r="J1885" t="s">
        <v>3813</v>
      </c>
      <c r="K1885" t="s">
        <v>17</v>
      </c>
      <c r="L1885" t="str">
        <f t="shared" si="29"/>
        <v xml:space="preserve">{ longitude: -63.6196889399783, latitude: 44.6641281641096, stopType: 'Bus Stop Accessible', gotime: \'7093\', location: \'LADY HAMMOND RD &lt;WB&gt; FS MACINTOSH\' }, </v>
      </c>
    </row>
    <row r="1886" spans="1:12" x14ac:dyDescent="0.25">
      <c r="A1886">
        <v>-63.648470627120702</v>
      </c>
      <c r="B1886">
        <v>44.664258650878899</v>
      </c>
      <c r="C1886">
        <v>1819</v>
      </c>
      <c r="D1886" t="s">
        <v>29</v>
      </c>
      <c r="E1886" t="s">
        <v>12</v>
      </c>
      <c r="F1886" t="s">
        <v>13</v>
      </c>
      <c r="G1886" t="s">
        <v>19</v>
      </c>
      <c r="H1886">
        <v>7085</v>
      </c>
      <c r="I1886" t="s">
        <v>3814</v>
      </c>
      <c r="J1886" t="s">
        <v>3815</v>
      </c>
      <c r="K1886" t="s">
        <v>17</v>
      </c>
      <c r="L1886" t="str">
        <f t="shared" si="29"/>
        <v xml:space="preserve">{ longitude: -63.6484706271207, latitude: 44.6642586508789, stopType: 'Bus Stop Accessible', gotime: \'7085\', location: \'LACEWOOD DR OPP CEDARBRAE\' }, </v>
      </c>
    </row>
    <row r="1887" spans="1:12" x14ac:dyDescent="0.25">
      <c r="A1887">
        <v>-63.609799144613298</v>
      </c>
      <c r="B1887">
        <v>44.665227227705401</v>
      </c>
      <c r="C1887">
        <v>557</v>
      </c>
      <c r="D1887" t="s">
        <v>22</v>
      </c>
      <c r="E1887" t="s">
        <v>12</v>
      </c>
      <c r="F1887" t="s">
        <v>13</v>
      </c>
      <c r="G1887" t="s">
        <v>14</v>
      </c>
      <c r="H1887">
        <v>7094</v>
      </c>
      <c r="I1887" t="s">
        <v>3816</v>
      </c>
      <c r="J1887" t="s">
        <v>3817</v>
      </c>
      <c r="K1887" t="s">
        <v>17</v>
      </c>
      <c r="L1887" t="str">
        <f t="shared" si="29"/>
        <v xml:space="preserve">{ longitude: -63.6097991446133, latitude: 44.6652272277054, stopType: 'Bus Stop Shelter Accessible', gotime: \'7094\', location: \'LADY HAMMOND RD FS ROBIE ST &lt;EB&gt;\' }, </v>
      </c>
    </row>
    <row r="1888" spans="1:12" x14ac:dyDescent="0.25">
      <c r="A1888">
        <v>-63.657294717741898</v>
      </c>
      <c r="B1888">
        <v>44.661531033367403</v>
      </c>
      <c r="C1888">
        <v>1820</v>
      </c>
      <c r="D1888" t="s">
        <v>22</v>
      </c>
      <c r="E1888" t="s">
        <v>12</v>
      </c>
      <c r="F1888" t="s">
        <v>25</v>
      </c>
      <c r="G1888" t="s">
        <v>19</v>
      </c>
      <c r="H1888">
        <v>7086</v>
      </c>
      <c r="I1888" t="s">
        <v>3818</v>
      </c>
      <c r="J1888" t="s">
        <v>3819</v>
      </c>
      <c r="K1888" t="s">
        <v>17</v>
      </c>
      <c r="L1888" t="str">
        <f t="shared" si="29"/>
        <v xml:space="preserve">{ longitude: -63.6572947177419, latitude: 44.6615310333674, stopType: 'Bus Stop Shelter Accessible', gotime: \'7086\', location: \'LACEWOOD TERMINAL (WILLET ST)\' }, </v>
      </c>
    </row>
    <row r="1889" spans="1:12" x14ac:dyDescent="0.25">
      <c r="A1889">
        <v>-63.6154066398353</v>
      </c>
      <c r="B1889">
        <v>44.665230211871297</v>
      </c>
      <c r="C1889">
        <v>558</v>
      </c>
      <c r="D1889" t="s">
        <v>29</v>
      </c>
      <c r="E1889" t="s">
        <v>12</v>
      </c>
      <c r="F1889" t="s">
        <v>13</v>
      </c>
      <c r="G1889" t="s">
        <v>14</v>
      </c>
      <c r="H1889">
        <v>7095</v>
      </c>
      <c r="I1889" t="s">
        <v>3820</v>
      </c>
      <c r="J1889" t="s">
        <v>3821</v>
      </c>
      <c r="K1889" t="s">
        <v>17</v>
      </c>
      <c r="L1889" t="str">
        <f t="shared" si="29"/>
        <v xml:space="preserve">{ longitude: -63.6154066398353, latitude: 44.6652302118713, stopType: 'Bus Stop Accessible', gotime: \'7095\', location: \'LADY HAMMOND RD NS BASINVIEW DR &lt;WB&gt;\' }, </v>
      </c>
    </row>
    <row r="1890" spans="1:12" x14ac:dyDescent="0.25">
      <c r="A1890">
        <v>-63.6569952387459</v>
      </c>
      <c r="B1890">
        <v>44.661312829051901</v>
      </c>
      <c r="C1890">
        <v>1821</v>
      </c>
      <c r="D1890" t="s">
        <v>1573</v>
      </c>
      <c r="E1890" t="s">
        <v>12</v>
      </c>
      <c r="F1890" t="s">
        <v>25</v>
      </c>
      <c r="G1890" t="s">
        <v>26</v>
      </c>
      <c r="H1890">
        <v>7087</v>
      </c>
      <c r="I1890" t="s">
        <v>3822</v>
      </c>
      <c r="J1890" t="s">
        <v>3823</v>
      </c>
      <c r="K1890" t="s">
        <v>17</v>
      </c>
      <c r="L1890" t="str">
        <f t="shared" si="29"/>
        <v xml:space="preserve">{ longitude: -63.6569952387459, latitude: 44.6613128290519, stopType: 'Bus Terminal Accessible', gotime: \'7087\', location: \'LACEWOOD TERMINAL (inside)\' }, </v>
      </c>
    </row>
    <row r="1891" spans="1:12" x14ac:dyDescent="0.25">
      <c r="A1891">
        <v>-63.7050532680462</v>
      </c>
      <c r="B1891">
        <v>44.793016370551001</v>
      </c>
      <c r="C1891">
        <v>559</v>
      </c>
      <c r="D1891" t="s">
        <v>11</v>
      </c>
      <c r="E1891" t="s">
        <v>12</v>
      </c>
      <c r="F1891" t="s">
        <v>25</v>
      </c>
      <c r="G1891" t="s">
        <v>26</v>
      </c>
      <c r="H1891">
        <v>7230</v>
      </c>
      <c r="I1891" t="s">
        <v>3824</v>
      </c>
      <c r="J1891" t="s">
        <v>3825</v>
      </c>
      <c r="K1891" t="s">
        <v>17</v>
      </c>
      <c r="L1891" t="str">
        <f t="shared" si="29"/>
        <v xml:space="preserve">{ longitude: -63.7050532680462, latitude: 44.793016370551, stopType: 'Bus Stop Non-Standard', gotime: \'7230\', location: \'MILLWOOD DR AT CIVIC 192 &lt;WB&gt;\' }, </v>
      </c>
    </row>
    <row r="1892" spans="1:12" x14ac:dyDescent="0.25">
      <c r="A1892">
        <v>-63.615627643773699</v>
      </c>
      <c r="B1892">
        <v>44.6650768579401</v>
      </c>
      <c r="C1892">
        <v>1822</v>
      </c>
      <c r="D1892" t="s">
        <v>22</v>
      </c>
      <c r="E1892" t="s">
        <v>12</v>
      </c>
      <c r="F1892" t="s">
        <v>25</v>
      </c>
      <c r="G1892" t="s">
        <v>19</v>
      </c>
      <c r="H1892">
        <v>7088</v>
      </c>
      <c r="I1892" t="s">
        <v>3826</v>
      </c>
      <c r="J1892" t="s">
        <v>3827</v>
      </c>
      <c r="K1892" t="s">
        <v>17</v>
      </c>
      <c r="L1892" t="str">
        <f t="shared" si="29"/>
        <v xml:space="preserve">{ longitude: -63.6156276437737, latitude: 44.6650768579401, stopType: 'Bus Stop Shelter Accessible', gotime: \'7088\', location: \'LADY HAMMOND RD OPP BASINVIEW DR\' }, </v>
      </c>
    </row>
    <row r="1893" spans="1:12" x14ac:dyDescent="0.25">
      <c r="A1893">
        <v>-63.610271384479503</v>
      </c>
      <c r="B1893">
        <v>44.665345024619697</v>
      </c>
      <c r="C1893">
        <v>560</v>
      </c>
      <c r="D1893" t="s">
        <v>22</v>
      </c>
      <c r="E1893" t="s">
        <v>12</v>
      </c>
      <c r="F1893" t="s">
        <v>13</v>
      </c>
      <c r="G1893" t="s">
        <v>19</v>
      </c>
      <c r="H1893">
        <v>7096</v>
      </c>
      <c r="I1893" t="s">
        <v>3828</v>
      </c>
      <c r="J1893" t="s">
        <v>3829</v>
      </c>
      <c r="K1893" t="s">
        <v>17</v>
      </c>
      <c r="L1893" t="str">
        <f t="shared" si="29"/>
        <v xml:space="preserve">{ longitude: -63.6102713844795, latitude: 44.6653450246197, stopType: 'Bus Stop Shelter Accessible', gotime: \'7096\', location: \'LADY HAMMOND RD NS ROBIE ST\' }, </v>
      </c>
    </row>
    <row r="1894" spans="1:12" x14ac:dyDescent="0.25">
      <c r="A1894">
        <v>-63.596785167960299</v>
      </c>
      <c r="B1894">
        <v>44.656063642087702</v>
      </c>
      <c r="C1894">
        <v>1823</v>
      </c>
      <c r="D1894" t="s">
        <v>29</v>
      </c>
      <c r="E1894" t="s">
        <v>12</v>
      </c>
      <c r="F1894" t="s">
        <v>13</v>
      </c>
      <c r="G1894" t="s">
        <v>19</v>
      </c>
      <c r="H1894">
        <v>8210</v>
      </c>
      <c r="I1894" t="s">
        <v>3830</v>
      </c>
      <c r="J1894" t="s">
        <v>3831</v>
      </c>
      <c r="K1894" t="s">
        <v>17</v>
      </c>
      <c r="L1894" t="str">
        <f t="shared" si="29"/>
        <v xml:space="preserve">{ longitude: -63.5967851679603, latitude: 44.6560636420877, stopType: 'Bus Stop Accessible', gotime: \'8210\', location: \'ROBIE ST NS MAY &lt;NB&gt;\' }, </v>
      </c>
    </row>
    <row r="1895" spans="1:12" x14ac:dyDescent="0.25">
      <c r="A1895">
        <v>-63.613513679355101</v>
      </c>
      <c r="B1895">
        <v>44.665160454985298</v>
      </c>
      <c r="C1895">
        <v>561</v>
      </c>
      <c r="D1895" t="s">
        <v>29</v>
      </c>
      <c r="E1895" t="s">
        <v>12</v>
      </c>
      <c r="F1895" t="s">
        <v>13</v>
      </c>
      <c r="G1895" t="s">
        <v>14</v>
      </c>
      <c r="H1895">
        <v>7097</v>
      </c>
      <c r="I1895" t="s">
        <v>3832</v>
      </c>
      <c r="J1895" t="s">
        <v>3833</v>
      </c>
      <c r="K1895" t="s">
        <v>17</v>
      </c>
      <c r="L1895" t="str">
        <f t="shared" si="29"/>
        <v xml:space="preserve">{ longitude: -63.6135136793551, latitude: 44.6651604549853, stopType: 'Bus Stop Accessible', gotime: \'7097\', location: \'LADY HAMMOND RD EB NS ROBIE ST\' }, </v>
      </c>
    </row>
    <row r="1896" spans="1:12" x14ac:dyDescent="0.25">
      <c r="A1896">
        <v>-63.612661530512703</v>
      </c>
      <c r="B1896">
        <v>44.666708452654099</v>
      </c>
      <c r="C1896">
        <v>1824</v>
      </c>
      <c r="D1896" t="s">
        <v>29</v>
      </c>
      <c r="E1896" t="s">
        <v>12</v>
      </c>
      <c r="F1896" t="s">
        <v>13</v>
      </c>
      <c r="G1896" t="s">
        <v>19</v>
      </c>
      <c r="H1896">
        <v>8211</v>
      </c>
      <c r="I1896" t="s">
        <v>3834</v>
      </c>
      <c r="J1896" t="s">
        <v>3835</v>
      </c>
      <c r="K1896" t="s">
        <v>17</v>
      </c>
      <c r="L1896" t="str">
        <f t="shared" si="29"/>
        <v xml:space="preserve">{ longitude: -63.6126615305127, latitude: 44.6667084526541, stopType: 'Bus Stop Accessible', gotime: \'8211\', location: \'ROBIE ST NS NORMANDY\' }, </v>
      </c>
    </row>
    <row r="1897" spans="1:12" x14ac:dyDescent="0.25">
      <c r="A1897">
        <v>-63.492695131441302</v>
      </c>
      <c r="B1897">
        <v>44.709746243228501</v>
      </c>
      <c r="C1897">
        <v>562</v>
      </c>
      <c r="D1897" t="s">
        <v>11</v>
      </c>
      <c r="E1897" t="s">
        <v>12</v>
      </c>
      <c r="F1897" t="s">
        <v>13</v>
      </c>
      <c r="G1897" t="s">
        <v>14</v>
      </c>
      <c r="H1897">
        <v>7098</v>
      </c>
      <c r="I1897" t="s">
        <v>3836</v>
      </c>
      <c r="J1897" t="s">
        <v>3837</v>
      </c>
      <c r="K1897" t="s">
        <v>17</v>
      </c>
      <c r="L1897" t="str">
        <f t="shared" si="29"/>
        <v xml:space="preserve">{ longitude: -63.4926951314413, latitude: 44.7097462432285, stopType: 'Bus Stop Non-Standard', gotime: \'7098\', location: \'LAKE LOON RD FS CIVIC 141 &lt;EB&gt;\' }, </v>
      </c>
    </row>
    <row r="1898" spans="1:12" x14ac:dyDescent="0.25">
      <c r="A1898">
        <v>-63.613113994330597</v>
      </c>
      <c r="B1898">
        <v>44.666875492707703</v>
      </c>
      <c r="C1898">
        <v>1825</v>
      </c>
      <c r="D1898" t="s">
        <v>22</v>
      </c>
      <c r="E1898" t="s">
        <v>12</v>
      </c>
      <c r="F1898" t="s">
        <v>13</v>
      </c>
      <c r="G1898" t="s">
        <v>19</v>
      </c>
      <c r="H1898">
        <v>8212</v>
      </c>
      <c r="I1898" t="s">
        <v>3838</v>
      </c>
      <c r="J1898" t="s">
        <v>3839</v>
      </c>
      <c r="K1898" t="s">
        <v>17</v>
      </c>
      <c r="L1898" t="str">
        <f t="shared" si="29"/>
        <v xml:space="preserve">{ longitude: -63.6131139943306, latitude: 44.6668754927077, stopType: 'Bus Stop Shelter Accessible', gotime: \'8212\', location: \'ROBIE ST NS NORMANDY &lt;SB&gt;\' }, </v>
      </c>
    </row>
    <row r="1899" spans="1:12" x14ac:dyDescent="0.25">
      <c r="A1899">
        <v>-63.709558473604901</v>
      </c>
      <c r="B1899">
        <v>44.784255076525397</v>
      </c>
      <c r="C1899">
        <v>563</v>
      </c>
      <c r="D1899" t="s">
        <v>11</v>
      </c>
      <c r="E1899" t="s">
        <v>12</v>
      </c>
      <c r="F1899" t="s">
        <v>25</v>
      </c>
      <c r="G1899" t="s">
        <v>26</v>
      </c>
      <c r="H1899">
        <v>7231</v>
      </c>
      <c r="I1899" t="s">
        <v>3840</v>
      </c>
      <c r="J1899" t="s">
        <v>3841</v>
      </c>
      <c r="K1899" t="s">
        <v>17</v>
      </c>
      <c r="L1899" t="str">
        <f t="shared" si="29"/>
        <v xml:space="preserve">{ longitude: -63.7095584736049, latitude: 44.7842550765254, stopType: 'Bus Stop Non-Standard', gotime: \'7231\', location: \'MILLWOOD DR NS CIVIC 30\' }, </v>
      </c>
    </row>
    <row r="1900" spans="1:12" x14ac:dyDescent="0.25">
      <c r="A1900">
        <v>-63.595426350773302</v>
      </c>
      <c r="B1900">
        <v>44.654909467739103</v>
      </c>
      <c r="C1900">
        <v>1826</v>
      </c>
      <c r="D1900" t="s">
        <v>22</v>
      </c>
      <c r="E1900" t="s">
        <v>12</v>
      </c>
      <c r="F1900" t="s">
        <v>13</v>
      </c>
      <c r="G1900" t="s">
        <v>19</v>
      </c>
      <c r="H1900">
        <v>8213</v>
      </c>
      <c r="I1900" t="s">
        <v>3842</v>
      </c>
      <c r="J1900" t="s">
        <v>3843</v>
      </c>
      <c r="K1900" t="s">
        <v>17</v>
      </c>
      <c r="L1900" t="str">
        <f t="shared" si="29"/>
        <v xml:space="preserve">{ longitude: -63.5954263507733, latitude: 44.6549094677391, stopType: 'Bus Stop Shelter Accessible', gotime: \'8213\', location: \'ROBIE ST NS NORTH ST &lt;SB&gt;\' }, </v>
      </c>
    </row>
    <row r="1901" spans="1:12" x14ac:dyDescent="0.25">
      <c r="A1901">
        <v>-63.499993122763101</v>
      </c>
      <c r="B1901">
        <v>44.708680384980497</v>
      </c>
      <c r="C1901">
        <v>564</v>
      </c>
      <c r="D1901" t="s">
        <v>11</v>
      </c>
      <c r="E1901" t="s">
        <v>12</v>
      </c>
      <c r="F1901" t="s">
        <v>25</v>
      </c>
      <c r="G1901" t="s">
        <v>26</v>
      </c>
      <c r="H1901">
        <v>7099</v>
      </c>
      <c r="I1901" t="s">
        <v>3844</v>
      </c>
      <c r="J1901" t="s">
        <v>3845</v>
      </c>
      <c r="K1901" t="s">
        <v>17</v>
      </c>
      <c r="L1901" t="str">
        <f t="shared" si="29"/>
        <v xml:space="preserve">{ longitude: -63.4999931227631, latitude: 44.7086803849805, stopType: 'Bus Stop Non-Standard', gotime: \'7099\', location: \'LAKE LOON RD FS MONTAGUE RD\' }, </v>
      </c>
    </row>
    <row r="1902" spans="1:12" x14ac:dyDescent="0.25">
      <c r="A1902">
        <v>-63.590817739337403</v>
      </c>
      <c r="B1902">
        <v>44.647488022867002</v>
      </c>
      <c r="C1902">
        <v>1827</v>
      </c>
      <c r="D1902" t="s">
        <v>29</v>
      </c>
      <c r="E1902" t="s">
        <v>12</v>
      </c>
      <c r="F1902" t="s">
        <v>13</v>
      </c>
      <c r="G1902" t="s">
        <v>19</v>
      </c>
      <c r="H1902">
        <v>8214</v>
      </c>
      <c r="I1902" t="s">
        <v>3846</v>
      </c>
      <c r="J1902" t="s">
        <v>3847</v>
      </c>
      <c r="K1902" t="s">
        <v>17</v>
      </c>
      <c r="L1902" t="str">
        <f t="shared" si="29"/>
        <v xml:space="preserve">{ longitude: -63.5908177393374, latitude: 44.647488022867, stopType: 'Bus Stop Accessible', gotime: \'8214\', location: \'ROBIE ST NS QUINPOOL RD &lt;SB&gt;\' }, </v>
      </c>
    </row>
    <row r="1903" spans="1:12" x14ac:dyDescent="0.25">
      <c r="A1903">
        <v>-63.488820549885702</v>
      </c>
      <c r="B1903">
        <v>44.707439043077599</v>
      </c>
      <c r="C1903">
        <v>565</v>
      </c>
      <c r="D1903" t="s">
        <v>11</v>
      </c>
      <c r="E1903" t="s">
        <v>12</v>
      </c>
      <c r="F1903" t="s">
        <v>25</v>
      </c>
      <c r="G1903" t="s">
        <v>26</v>
      </c>
      <c r="H1903">
        <v>7100</v>
      </c>
      <c r="I1903" t="s">
        <v>3848</v>
      </c>
      <c r="J1903" t="s">
        <v>3849</v>
      </c>
      <c r="K1903" t="s">
        <v>17</v>
      </c>
      <c r="L1903" t="str">
        <f t="shared" si="29"/>
        <v xml:space="preserve">{ longitude: -63.4888205498857, latitude: 44.7074390430776, stopType: 'Bus Stop Non-Standard', gotime: \'7100\', location: \'LAKE LOON RD NS MACLAUGHLIN RD\' }, </v>
      </c>
    </row>
    <row r="1904" spans="1:12" x14ac:dyDescent="0.25">
      <c r="A1904">
        <v>-63.600807726319502</v>
      </c>
      <c r="B1904">
        <v>44.658718094597901</v>
      </c>
      <c r="C1904">
        <v>1828</v>
      </c>
      <c r="D1904" t="s">
        <v>29</v>
      </c>
      <c r="E1904" t="s">
        <v>12</v>
      </c>
      <c r="F1904" t="s">
        <v>13</v>
      </c>
      <c r="G1904" t="s">
        <v>19</v>
      </c>
      <c r="H1904">
        <v>8215</v>
      </c>
      <c r="I1904" t="s">
        <v>3850</v>
      </c>
      <c r="J1904" t="s">
        <v>3851</v>
      </c>
      <c r="K1904" t="s">
        <v>17</v>
      </c>
      <c r="L1904" t="str">
        <f t="shared" si="29"/>
        <v xml:space="preserve">{ longitude: -63.6008077263195, latitude: 44.6587180945979, stopType: 'Bus Stop Accessible', gotime: \'8215\', location: \'ROBIE ST NS RUSSELL ST\' }, </v>
      </c>
    </row>
    <row r="1905" spans="1:12" x14ac:dyDescent="0.25">
      <c r="A1905">
        <v>-63.496691515209001</v>
      </c>
      <c r="B1905">
        <v>44.709857381722898</v>
      </c>
      <c r="C1905">
        <v>566</v>
      </c>
      <c r="D1905" t="s">
        <v>11</v>
      </c>
      <c r="E1905" t="s">
        <v>12</v>
      </c>
      <c r="F1905" t="s">
        <v>25</v>
      </c>
      <c r="G1905" t="s">
        <v>26</v>
      </c>
      <c r="H1905">
        <v>7101</v>
      </c>
      <c r="I1905" t="s">
        <v>3852</v>
      </c>
      <c r="J1905" t="s">
        <v>3853</v>
      </c>
      <c r="K1905" t="s">
        <v>17</v>
      </c>
      <c r="L1905" t="str">
        <f t="shared" si="29"/>
        <v xml:space="preserve">{ longitude: -63.496691515209, latitude: 44.7098573817229, stopType: 'Bus Stop Non-Standard', gotime: \'7101\', location: \'LAKE LOON RD FS SPARKS DR\' }, </v>
      </c>
    </row>
    <row r="1906" spans="1:12" x14ac:dyDescent="0.25">
      <c r="A1906">
        <v>-63.606376860080204</v>
      </c>
      <c r="B1906">
        <v>44.661431945396401</v>
      </c>
      <c r="C1906">
        <v>1829</v>
      </c>
      <c r="D1906" t="s">
        <v>11</v>
      </c>
      <c r="E1906" t="s">
        <v>12</v>
      </c>
      <c r="F1906" t="s">
        <v>25</v>
      </c>
      <c r="G1906" t="s">
        <v>26</v>
      </c>
      <c r="H1906">
        <v>8216</v>
      </c>
      <c r="I1906" t="s">
        <v>3854</v>
      </c>
      <c r="J1906" t="s">
        <v>3855</v>
      </c>
      <c r="K1906" t="s">
        <v>17</v>
      </c>
      <c r="L1906" t="str">
        <f t="shared" si="29"/>
        <v xml:space="preserve">{ longitude: -63.6063768600802, latitude: 44.6614319453964, stopType: 'Bus Stop Non-Standard', gotime: \'8216\', location: \'MASSACHUSETTS AVE NS STANLEY ST\' }, </v>
      </c>
    </row>
    <row r="1907" spans="1:12" x14ac:dyDescent="0.25">
      <c r="A1907">
        <v>-63.464640230666703</v>
      </c>
      <c r="B1907">
        <v>44.742842978576398</v>
      </c>
      <c r="C1907">
        <v>567</v>
      </c>
      <c r="D1907" t="s">
        <v>22</v>
      </c>
      <c r="E1907" t="s">
        <v>12</v>
      </c>
      <c r="F1907" t="s">
        <v>25</v>
      </c>
      <c r="G1907" t="s">
        <v>19</v>
      </c>
      <c r="H1907">
        <v>7102</v>
      </c>
      <c r="I1907" t="s">
        <v>3856</v>
      </c>
      <c r="J1907" t="s">
        <v>3857</v>
      </c>
      <c r="K1907" t="s">
        <v>17</v>
      </c>
      <c r="L1907" t="str">
        <f t="shared" si="29"/>
        <v xml:space="preserve">{ longitude: -63.4646402306667, latitude: 44.7428429785764, stopType: 'Bus Stop Shelter Accessible', gotime: \'7102\', location: \'NORTH PRESTON RD AT NELSON WHYNDER SCHOOL\' }, </v>
      </c>
    </row>
    <row r="1908" spans="1:12" x14ac:dyDescent="0.25">
      <c r="A1908">
        <v>-63.605713132790399</v>
      </c>
      <c r="B1908">
        <v>44.661952695164402</v>
      </c>
      <c r="C1908">
        <v>1830</v>
      </c>
      <c r="D1908" t="s">
        <v>29</v>
      </c>
      <c r="E1908" t="s">
        <v>12</v>
      </c>
      <c r="F1908" t="s">
        <v>13</v>
      </c>
      <c r="G1908" t="s">
        <v>19</v>
      </c>
      <c r="H1908">
        <v>8217</v>
      </c>
      <c r="I1908" t="s">
        <v>3858</v>
      </c>
      <c r="J1908" t="s">
        <v>3859</v>
      </c>
      <c r="K1908" t="s">
        <v>17</v>
      </c>
      <c r="L1908" t="str">
        <f t="shared" si="29"/>
        <v xml:space="preserve">{ longitude: -63.6057131327904, latitude: 44.6619526951644, stopType: 'Bus Stop Accessible', gotime: \'8217\', location: \'ROBIE ST NS STANLEY &lt;EB&gt;\' }, </v>
      </c>
    </row>
    <row r="1909" spans="1:12" x14ac:dyDescent="0.25">
      <c r="A1909">
        <v>-63.467383911005001</v>
      </c>
      <c r="B1909">
        <v>44.705042294696398</v>
      </c>
      <c r="C1909">
        <v>568</v>
      </c>
      <c r="D1909" t="s">
        <v>11</v>
      </c>
      <c r="E1909" t="s">
        <v>12</v>
      </c>
      <c r="F1909" t="s">
        <v>25</v>
      </c>
      <c r="G1909" t="s">
        <v>26</v>
      </c>
      <c r="H1909">
        <v>7103</v>
      </c>
      <c r="I1909" t="s">
        <v>3860</v>
      </c>
      <c r="J1909" t="s">
        <v>3861</v>
      </c>
      <c r="K1909" t="s">
        <v>17</v>
      </c>
      <c r="L1909" t="str">
        <f t="shared" si="29"/>
        <v xml:space="preserve">{ longitude: -63.467383911005, latitude: 44.7050422946964, stopType: 'Bus Stop Non-Standard', gotime: \'7103\', location: \'LAKE MAJOR RD FS CHAMBERLAIN DR\' }, </v>
      </c>
    </row>
    <row r="1910" spans="1:12" x14ac:dyDescent="0.25">
      <c r="A1910">
        <v>-63.602819912201099</v>
      </c>
      <c r="B1910">
        <v>44.6598318902834</v>
      </c>
      <c r="C1910">
        <v>1831</v>
      </c>
      <c r="D1910" t="s">
        <v>29</v>
      </c>
      <c r="E1910" t="s">
        <v>12</v>
      </c>
      <c r="F1910" t="s">
        <v>13</v>
      </c>
      <c r="G1910" t="s">
        <v>19</v>
      </c>
      <c r="H1910">
        <v>8218</v>
      </c>
      <c r="I1910" t="s">
        <v>3862</v>
      </c>
      <c r="J1910" t="s">
        <v>3863</v>
      </c>
      <c r="K1910" t="s">
        <v>17</v>
      </c>
      <c r="L1910" t="str">
        <f t="shared" si="29"/>
        <v xml:space="preserve">{ longitude: -63.6028199122011, latitude: 44.6598318902834, stopType: 'Bus Stop Accessible', gotime: \'8218\', location: \'ROBIE ST NS YOUNG ST &lt;SB&gt;\' }, </v>
      </c>
    </row>
    <row r="1911" spans="1:12" x14ac:dyDescent="0.25">
      <c r="A1911">
        <v>-63.467876505376303</v>
      </c>
      <c r="B1911">
        <v>44.710698543232603</v>
      </c>
      <c r="C1911">
        <v>569</v>
      </c>
      <c r="D1911" t="s">
        <v>11</v>
      </c>
      <c r="E1911" t="s">
        <v>12</v>
      </c>
      <c r="F1911" t="s">
        <v>25</v>
      </c>
      <c r="G1911" t="s">
        <v>26</v>
      </c>
      <c r="H1911">
        <v>7104</v>
      </c>
      <c r="I1911" t="s">
        <v>3864</v>
      </c>
      <c r="J1911" t="s">
        <v>3865</v>
      </c>
      <c r="K1911" t="s">
        <v>17</v>
      </c>
      <c r="L1911" t="str">
        <f t="shared" si="29"/>
        <v xml:space="preserve">{ longitude: -63.4678765053763, latitude: 44.7106985432326, stopType: 'Bus Stop Non-Standard', gotime: \'7104\', location: \'LAKE MAJOR RD FS CIVIC 148\' }, </v>
      </c>
    </row>
    <row r="1912" spans="1:12" x14ac:dyDescent="0.25">
      <c r="A1912">
        <v>-63.587771670059297</v>
      </c>
      <c r="B1912">
        <v>44.642370219089102</v>
      </c>
      <c r="C1912">
        <v>1832</v>
      </c>
      <c r="D1912" t="s">
        <v>29</v>
      </c>
      <c r="E1912" t="s">
        <v>12</v>
      </c>
      <c r="F1912" t="s">
        <v>13</v>
      </c>
      <c r="G1912" t="s">
        <v>19</v>
      </c>
      <c r="H1912">
        <v>8219</v>
      </c>
      <c r="I1912" t="s">
        <v>3866</v>
      </c>
      <c r="J1912" t="s">
        <v>3867</v>
      </c>
      <c r="K1912" t="s">
        <v>17</v>
      </c>
      <c r="L1912" t="str">
        <f t="shared" si="29"/>
        <v xml:space="preserve">{ longitude: -63.5877716700593, latitude: 44.6423702190891, stopType: 'Bus Stop Accessible', gotime: \'8219\', location: \'ROBIE ST OPP BINNEY &lt;NB&gt;\' }, </v>
      </c>
    </row>
    <row r="1913" spans="1:12" x14ac:dyDescent="0.25">
      <c r="A1913">
        <v>-63.466904634658498</v>
      </c>
      <c r="B1913">
        <v>44.704317985537202</v>
      </c>
      <c r="C1913">
        <v>570</v>
      </c>
      <c r="D1913" t="s">
        <v>11</v>
      </c>
      <c r="E1913" t="s">
        <v>12</v>
      </c>
      <c r="F1913" t="s">
        <v>25</v>
      </c>
      <c r="G1913" t="s">
        <v>26</v>
      </c>
      <c r="H1913">
        <v>7106</v>
      </c>
      <c r="I1913" t="s">
        <v>3868</v>
      </c>
      <c r="J1913" t="s">
        <v>3869</v>
      </c>
      <c r="K1913" t="s">
        <v>17</v>
      </c>
      <c r="L1913" t="str">
        <f t="shared" si="29"/>
        <v xml:space="preserve">{ longitude: -63.4669046346585, latitude: 44.7043179855372, stopType: 'Bus Stop Non-Standard', gotime: \'7106\', location: \'LAKE MAJOR RD FS HWY #7\' }, </v>
      </c>
    </row>
    <row r="1914" spans="1:12" x14ac:dyDescent="0.25">
      <c r="A1914">
        <v>-63.645085619345998</v>
      </c>
      <c r="B1914">
        <v>44.651915124048799</v>
      </c>
      <c r="C1914">
        <v>1833</v>
      </c>
      <c r="D1914" t="s">
        <v>22</v>
      </c>
      <c r="E1914" t="s">
        <v>12</v>
      </c>
      <c r="F1914" t="s">
        <v>13</v>
      </c>
      <c r="G1914" t="s">
        <v>14</v>
      </c>
      <c r="H1914">
        <v>8490</v>
      </c>
      <c r="I1914" t="s">
        <v>3870</v>
      </c>
      <c r="J1914" t="s">
        <v>3871</v>
      </c>
      <c r="K1914" t="s">
        <v>17</v>
      </c>
      <c r="L1914" t="str">
        <f t="shared" si="29"/>
        <v xml:space="preserve">{ longitude: -63.645085619346, latitude: 44.6519151240488, stopType: 'Bus Stop Shelter Accessible', gotime: \'8490\', location: \'WILLET ST FS CORONATION AVE\' }, </v>
      </c>
    </row>
    <row r="1915" spans="1:12" x14ac:dyDescent="0.25">
      <c r="A1915">
        <v>-63.563000937637703</v>
      </c>
      <c r="B1915">
        <v>44.667660222316798</v>
      </c>
      <c r="C1915">
        <v>571</v>
      </c>
      <c r="D1915" t="s">
        <v>22</v>
      </c>
      <c r="E1915" t="s">
        <v>12</v>
      </c>
      <c r="F1915" t="s">
        <v>13</v>
      </c>
      <c r="G1915" t="s">
        <v>14</v>
      </c>
      <c r="H1915">
        <v>8035</v>
      </c>
      <c r="I1915" t="s">
        <v>3872</v>
      </c>
      <c r="J1915" t="s">
        <v>3873</v>
      </c>
      <c r="K1915" t="s">
        <v>17</v>
      </c>
      <c r="L1915" t="str">
        <f t="shared" si="29"/>
        <v xml:space="preserve">{ longitude: -63.5630009376377, latitude: 44.6676602223168, stopType: 'Bus Stop Shelter Accessible', gotime: \'8035\', location: \'PORTLAND ST FS CANAL &lt;EB&gt;\' }, </v>
      </c>
    </row>
    <row r="1916" spans="1:12" x14ac:dyDescent="0.25">
      <c r="A1916">
        <v>-63.651563934110598</v>
      </c>
      <c r="B1916">
        <v>44.657304525657501</v>
      </c>
      <c r="C1916">
        <v>1834</v>
      </c>
      <c r="D1916" t="s">
        <v>29</v>
      </c>
      <c r="E1916" t="s">
        <v>12</v>
      </c>
      <c r="F1916" t="s">
        <v>13</v>
      </c>
      <c r="G1916" t="s">
        <v>14</v>
      </c>
      <c r="H1916">
        <v>8491</v>
      </c>
      <c r="I1916" t="s">
        <v>3874</v>
      </c>
      <c r="J1916" t="s">
        <v>3875</v>
      </c>
      <c r="K1916" t="s">
        <v>17</v>
      </c>
      <c r="L1916" t="str">
        <f t="shared" si="29"/>
        <v xml:space="preserve">{ longitude: -63.6515639341106, latitude: 44.6573045256575, stopType: 'Bus Stop Accessible', gotime: \'8491\', location: \'WILLET ST FS DUNBRACK ST\' }, </v>
      </c>
    </row>
    <row r="1917" spans="1:12" x14ac:dyDescent="0.25">
      <c r="A1917">
        <v>-63.542811142069397</v>
      </c>
      <c r="B1917">
        <v>44.6692688798475</v>
      </c>
      <c r="C1917">
        <v>572</v>
      </c>
      <c r="D1917" t="s">
        <v>11</v>
      </c>
      <c r="E1917" t="s">
        <v>12</v>
      </c>
      <c r="F1917" t="s">
        <v>13</v>
      </c>
      <c r="G1917" t="s">
        <v>14</v>
      </c>
      <c r="H1917">
        <v>8036</v>
      </c>
      <c r="I1917" t="s">
        <v>3876</v>
      </c>
      <c r="J1917" t="s">
        <v>3877</v>
      </c>
      <c r="K1917" t="s">
        <v>17</v>
      </c>
      <c r="L1917" t="str">
        <f t="shared" si="29"/>
        <v xml:space="preserve">{ longitude: -63.5428111420694, latitude: 44.6692688798475, stopType: 'Bus Stop Non-Standard', gotime: \'8036\', location: \'PORTLAND ST FS CHESTNUT &lt;EB&gt;\' }, </v>
      </c>
    </row>
    <row r="1918" spans="1:12" x14ac:dyDescent="0.25">
      <c r="A1918">
        <v>-63.6494300760491</v>
      </c>
      <c r="B1918">
        <v>44.656598281254603</v>
      </c>
      <c r="C1918">
        <v>1835</v>
      </c>
      <c r="D1918" t="s">
        <v>29</v>
      </c>
      <c r="E1918" t="s">
        <v>12</v>
      </c>
      <c r="F1918" t="s">
        <v>13</v>
      </c>
      <c r="G1918" t="s">
        <v>14</v>
      </c>
      <c r="H1918">
        <v>8492</v>
      </c>
      <c r="I1918" t="s">
        <v>3878</v>
      </c>
      <c r="J1918" t="s">
        <v>3879</v>
      </c>
      <c r="K1918" t="s">
        <v>17</v>
      </c>
      <c r="L1918" t="str">
        <f t="shared" si="29"/>
        <v xml:space="preserve">{ longitude: -63.6494300760491, latitude: 44.6565982812546, stopType: 'Bus Stop Accessible', gotime: \'8492\', location: \'WILLET ST FS GLENFOREST DR\' }, </v>
      </c>
    </row>
    <row r="1919" spans="1:12" x14ac:dyDescent="0.25">
      <c r="A1919">
        <v>-63.611994873897402</v>
      </c>
      <c r="B1919">
        <v>44.603778353837498</v>
      </c>
      <c r="C1919">
        <v>573</v>
      </c>
      <c r="D1919" t="s">
        <v>29</v>
      </c>
      <c r="E1919" t="s">
        <v>12</v>
      </c>
      <c r="F1919" t="s">
        <v>13</v>
      </c>
      <c r="G1919" t="s">
        <v>14</v>
      </c>
      <c r="H1919">
        <v>6897</v>
      </c>
      <c r="I1919" t="s">
        <v>3880</v>
      </c>
      <c r="J1919" t="s">
        <v>3881</v>
      </c>
      <c r="K1919" t="s">
        <v>17</v>
      </c>
      <c r="L1919" t="str">
        <f t="shared" si="29"/>
        <v xml:space="preserve">{ longitude: -63.6119948738974, latitude: 44.6037783538375, stopType: 'Bus Stop Accessible', gotime: \'6897\', location: \'HERRING COVE RD NS HILDEN DR\' }, </v>
      </c>
    </row>
    <row r="1920" spans="1:12" x14ac:dyDescent="0.25">
      <c r="A1920">
        <v>-63.646721145451501</v>
      </c>
      <c r="B1920">
        <v>44.6538052467574</v>
      </c>
      <c r="C1920">
        <v>1836</v>
      </c>
      <c r="D1920" t="s">
        <v>22</v>
      </c>
      <c r="E1920" t="s">
        <v>12</v>
      </c>
      <c r="F1920" t="s">
        <v>13</v>
      </c>
      <c r="G1920" t="s">
        <v>14</v>
      </c>
      <c r="H1920">
        <v>8493</v>
      </c>
      <c r="I1920" t="s">
        <v>3882</v>
      </c>
      <c r="J1920" t="s">
        <v>3883</v>
      </c>
      <c r="K1920" t="s">
        <v>17</v>
      </c>
      <c r="L1920" t="str">
        <f t="shared" si="29"/>
        <v xml:space="preserve">{ longitude: -63.6467211454515, latitude: 44.6538052467574, stopType: 'Bus Stop Shelter Accessible', gotime: \'8493\', location: \'WILLET ST FS MAIN AVE\' }, </v>
      </c>
    </row>
    <row r="1921" spans="1:12" x14ac:dyDescent="0.25">
      <c r="A1921">
        <v>-63.609442607613701</v>
      </c>
      <c r="B1921">
        <v>44.6019398819437</v>
      </c>
      <c r="C1921">
        <v>574</v>
      </c>
      <c r="D1921" t="s">
        <v>11</v>
      </c>
      <c r="E1921" t="s">
        <v>12</v>
      </c>
      <c r="F1921" t="s">
        <v>13</v>
      </c>
      <c r="G1921" t="s">
        <v>14</v>
      </c>
      <c r="H1921">
        <v>6898</v>
      </c>
      <c r="I1921" t="s">
        <v>3884</v>
      </c>
      <c r="J1921" t="s">
        <v>3885</v>
      </c>
      <c r="K1921" t="s">
        <v>17</v>
      </c>
      <c r="L1921" t="str">
        <f t="shared" si="29"/>
        <v xml:space="preserve">{ longitude: -63.6094426076137, latitude: 44.6019398819437, stopType: 'Bus Stop Non-Standard', gotime: \'6898\', location: \'HERRING COVE RD NS LYNNETT RD\' }, </v>
      </c>
    </row>
    <row r="1922" spans="1:12" x14ac:dyDescent="0.25">
      <c r="A1922">
        <v>-63.647078290056697</v>
      </c>
      <c r="B1922">
        <v>44.654427998317402</v>
      </c>
      <c r="C1922">
        <v>1837</v>
      </c>
      <c r="D1922" t="s">
        <v>11</v>
      </c>
      <c r="E1922" t="s">
        <v>12</v>
      </c>
      <c r="F1922" t="s">
        <v>13</v>
      </c>
      <c r="G1922" t="s">
        <v>14</v>
      </c>
      <c r="H1922">
        <v>8494</v>
      </c>
      <c r="I1922" t="s">
        <v>3882</v>
      </c>
      <c r="J1922" t="s">
        <v>3886</v>
      </c>
      <c r="K1922" t="s">
        <v>17</v>
      </c>
      <c r="L1922" t="str">
        <f t="shared" si="29"/>
        <v xml:space="preserve">{ longitude: -63.6470782900567, latitude: 44.6544279983174, stopType: 'Bus Stop Non-Standard', gotime: \'8494\', location: \'WILLET ST FS MAIN AVE\' }, </v>
      </c>
    </row>
    <row r="1923" spans="1:12" x14ac:dyDescent="0.25">
      <c r="A1923">
        <v>-63.607701011181099</v>
      </c>
      <c r="B1923">
        <v>44.600864486214697</v>
      </c>
      <c r="C1923">
        <v>575</v>
      </c>
      <c r="D1923" t="s">
        <v>22</v>
      </c>
      <c r="E1923" t="s">
        <v>12</v>
      </c>
      <c r="F1923" t="s">
        <v>13</v>
      </c>
      <c r="G1923" t="s">
        <v>14</v>
      </c>
      <c r="H1923">
        <v>6899</v>
      </c>
      <c r="I1923" t="s">
        <v>3887</v>
      </c>
      <c r="J1923" t="s">
        <v>3888</v>
      </c>
      <c r="K1923" t="s">
        <v>17</v>
      </c>
      <c r="L1923" t="str">
        <f t="shared" ref="L1923:L1986" si="30">CONCATENATE( "{ longitude: ", A1923, ", latitude: ", B1923, ", stopType: '", D1923, "', gotime: \'", H1923, "\', location: \'", I1923, "\' }, ")</f>
        <v xml:space="preserve">{ longitude: -63.6077010111811, latitude: 44.6008644862147, stopType: 'Bus Stop Shelter Accessible', gotime: \'6899\', location: \'HERRING COVE RD NS MCINTOSH ST\' }, </v>
      </c>
    </row>
    <row r="1924" spans="1:12" x14ac:dyDescent="0.25">
      <c r="A1924">
        <v>-63.649055497444699</v>
      </c>
      <c r="B1924">
        <v>44.656225240701801</v>
      </c>
      <c r="C1924">
        <v>1838</v>
      </c>
      <c r="D1924" t="s">
        <v>29</v>
      </c>
      <c r="E1924" t="s">
        <v>12</v>
      </c>
      <c r="F1924" t="s">
        <v>13</v>
      </c>
      <c r="G1924" t="s">
        <v>14</v>
      </c>
      <c r="H1924">
        <v>8495</v>
      </c>
      <c r="I1924" t="s">
        <v>3889</v>
      </c>
      <c r="J1924" t="s">
        <v>3890</v>
      </c>
      <c r="K1924" t="s">
        <v>17</v>
      </c>
      <c r="L1924" t="str">
        <f t="shared" si="30"/>
        <v xml:space="preserve">{ longitude: -63.6490554974447, latitude: 44.6562252407018, stopType: 'Bus Stop Accessible', gotime: \'8495\', location: \'WILLET ST  OPP GLENFOREST DR\' }, </v>
      </c>
    </row>
    <row r="1925" spans="1:12" x14ac:dyDescent="0.25">
      <c r="A1925">
        <v>-63.620673617178802</v>
      </c>
      <c r="B1925">
        <v>44.636892194144103</v>
      </c>
      <c r="C1925">
        <v>576</v>
      </c>
      <c r="D1925" t="s">
        <v>18</v>
      </c>
      <c r="E1925" t="s">
        <v>12</v>
      </c>
      <c r="F1925" t="s">
        <v>13</v>
      </c>
      <c r="G1925" t="s">
        <v>65</v>
      </c>
      <c r="H1925">
        <v>6900</v>
      </c>
      <c r="I1925" t="s">
        <v>3891</v>
      </c>
      <c r="J1925" t="s">
        <v>3892</v>
      </c>
      <c r="K1925" t="s">
        <v>17</v>
      </c>
      <c r="L1925" t="str">
        <f t="shared" si="30"/>
        <v xml:space="preserve">{ longitude: -63.6206736171788, latitude: 44.6368921941441, stopType: 'Bus Stop Shelter Non-Standard', gotime: \'6900\', location: \'HERRING COVE RD NS OPP MELWOOD AVE\' }, </v>
      </c>
    </row>
    <row r="1926" spans="1:12" x14ac:dyDescent="0.25">
      <c r="A1926">
        <v>-63.655894458521097</v>
      </c>
      <c r="B1926">
        <v>44.659873917376899</v>
      </c>
      <c r="C1926">
        <v>1839</v>
      </c>
      <c r="D1926" t="s">
        <v>29</v>
      </c>
      <c r="E1926" t="s">
        <v>12</v>
      </c>
      <c r="F1926" t="s">
        <v>13</v>
      </c>
      <c r="G1926" t="s">
        <v>14</v>
      </c>
      <c r="H1926">
        <v>8496</v>
      </c>
      <c r="I1926" t="s">
        <v>3893</v>
      </c>
      <c r="J1926" t="s">
        <v>3894</v>
      </c>
      <c r="K1926" t="s">
        <v>17</v>
      </c>
      <c r="L1926" t="str">
        <f t="shared" si="30"/>
        <v xml:space="preserve">{ longitude: -63.6558944585211, latitude: 44.6598739173769, stopType: 'Bus Stop Accessible', gotime: \'8496\', location: \'WILLET ST OPP SHERIDAN ST\' }, </v>
      </c>
    </row>
    <row r="1927" spans="1:12" x14ac:dyDescent="0.25">
      <c r="A1927">
        <v>-63.6206636135054</v>
      </c>
      <c r="B1927">
        <v>44.637162290762397</v>
      </c>
      <c r="C1927">
        <v>577</v>
      </c>
      <c r="D1927" t="s">
        <v>29</v>
      </c>
      <c r="E1927" t="s">
        <v>12</v>
      </c>
      <c r="F1927" t="s">
        <v>13</v>
      </c>
      <c r="G1927" t="s">
        <v>19</v>
      </c>
      <c r="H1927">
        <v>6901</v>
      </c>
      <c r="I1927" t="s">
        <v>3895</v>
      </c>
      <c r="J1927" t="s">
        <v>3896</v>
      </c>
      <c r="K1927" t="s">
        <v>17</v>
      </c>
      <c r="L1927" t="str">
        <f t="shared" si="30"/>
        <v xml:space="preserve">{ longitude: -63.6206636135054, latitude: 44.6371622907624, stopType: 'Bus Stop Accessible', gotime: \'6901\', location: \'HERRING COVE RD NS MELWOOD AVE\' }, </v>
      </c>
    </row>
    <row r="1928" spans="1:12" x14ac:dyDescent="0.25">
      <c r="A1928">
        <v>-63.654090797431998</v>
      </c>
      <c r="B1928">
        <v>44.658024801526501</v>
      </c>
      <c r="C1928">
        <v>1840</v>
      </c>
      <c r="D1928" t="s">
        <v>29</v>
      </c>
      <c r="E1928" t="s">
        <v>12</v>
      </c>
      <c r="F1928" t="s">
        <v>13</v>
      </c>
      <c r="G1928" t="s">
        <v>14</v>
      </c>
      <c r="H1928">
        <v>8497</v>
      </c>
      <c r="I1928" t="s">
        <v>3897</v>
      </c>
      <c r="J1928" t="s">
        <v>3898</v>
      </c>
      <c r="K1928" t="s">
        <v>17</v>
      </c>
      <c r="L1928" t="str">
        <f t="shared" si="30"/>
        <v xml:space="preserve">{ longitude: -63.654090797432, latitude: 44.6580248015265, stopType: 'Bus Stop Accessible', gotime: \'8497\', location: \'WILLET ST OPP WESTRIDGE DR\' }, </v>
      </c>
    </row>
    <row r="1929" spans="1:12" x14ac:dyDescent="0.25">
      <c r="A1929">
        <v>-63.569466158716303</v>
      </c>
      <c r="B1929">
        <v>44.570778970568298</v>
      </c>
      <c r="C1929">
        <v>578</v>
      </c>
      <c r="D1929" t="s">
        <v>103</v>
      </c>
      <c r="E1929" t="s">
        <v>12</v>
      </c>
      <c r="F1929" t="s">
        <v>25</v>
      </c>
      <c r="G1929" t="s">
        <v>65</v>
      </c>
      <c r="H1929">
        <v>6902</v>
      </c>
      <c r="I1929" t="s">
        <v>3899</v>
      </c>
      <c r="J1929" t="s">
        <v>3900</v>
      </c>
      <c r="K1929" t="s">
        <v>17</v>
      </c>
      <c r="L1929" t="str">
        <f t="shared" si="30"/>
        <v xml:space="preserve">{ longitude: -63.5694661587163, latitude: 44.5707789705683, stopType: 'Bus Stop Inaccessible', gotime: \'6902\', location: \'HERRING COVE RD NS OCEANVIEW DR\' }, </v>
      </c>
    </row>
    <row r="1930" spans="1:12" x14ac:dyDescent="0.25">
      <c r="A1930">
        <v>-63.645593089826498</v>
      </c>
      <c r="B1930">
        <v>44.6527136911279</v>
      </c>
      <c r="C1930">
        <v>1841</v>
      </c>
      <c r="D1930" t="s">
        <v>18</v>
      </c>
      <c r="E1930" t="s">
        <v>12</v>
      </c>
      <c r="F1930" t="s">
        <v>13</v>
      </c>
      <c r="G1930" t="s">
        <v>19</v>
      </c>
      <c r="H1930">
        <v>8498</v>
      </c>
      <c r="I1930" t="s">
        <v>3901</v>
      </c>
      <c r="J1930" t="s">
        <v>3902</v>
      </c>
      <c r="K1930" t="s">
        <v>17</v>
      </c>
      <c r="L1930" t="str">
        <f t="shared" si="30"/>
        <v xml:space="preserve">{ longitude: -63.6455930898265, latitude: 44.6527136911279, stopType: 'Bus Stop Shelter Non-Standard', gotime: \'8498\', location: \'WILLET ST NS ADELAIDE AVE\' }, </v>
      </c>
    </row>
    <row r="1931" spans="1:12" x14ac:dyDescent="0.25">
      <c r="A1931">
        <v>-63.619980735336704</v>
      </c>
      <c r="B1931">
        <v>44.637984651123901</v>
      </c>
      <c r="C1931">
        <v>579</v>
      </c>
      <c r="D1931" t="s">
        <v>11</v>
      </c>
      <c r="E1931" t="s">
        <v>12</v>
      </c>
      <c r="F1931" t="s">
        <v>13</v>
      </c>
      <c r="G1931" t="s">
        <v>14</v>
      </c>
      <c r="H1931">
        <v>6903</v>
      </c>
      <c r="I1931" t="s">
        <v>3903</v>
      </c>
      <c r="J1931" t="s">
        <v>3904</v>
      </c>
      <c r="K1931" t="s">
        <v>17</v>
      </c>
      <c r="L1931" t="str">
        <f t="shared" si="30"/>
        <v xml:space="preserve">{ longitude: -63.6199807353367, latitude: 44.6379846511239, stopType: 'Bus Stop Non-Standard', gotime: \'6903\', location: \'HERRING COVE RD NS PURCELLS COVE RD\' }, </v>
      </c>
    </row>
    <row r="1932" spans="1:12" x14ac:dyDescent="0.25">
      <c r="A1932">
        <v>-63.647633241707602</v>
      </c>
      <c r="B1932">
        <v>44.654829031150697</v>
      </c>
      <c r="C1932">
        <v>1842</v>
      </c>
      <c r="D1932" t="s">
        <v>22</v>
      </c>
      <c r="E1932" t="s">
        <v>12</v>
      </c>
      <c r="F1932" t="s">
        <v>13</v>
      </c>
      <c r="G1932" t="s">
        <v>14</v>
      </c>
      <c r="H1932">
        <v>8499</v>
      </c>
      <c r="I1932" t="s">
        <v>3905</v>
      </c>
      <c r="J1932" t="s">
        <v>3906</v>
      </c>
      <c r="K1932" t="s">
        <v>17</v>
      </c>
      <c r="L1932" t="str">
        <f t="shared" si="30"/>
        <v xml:space="preserve">{ longitude: -63.6476332417076, latitude: 44.6548290311507, stopType: 'Bus Stop Shelter Accessible', gotime: \'8499\', location: \'WILLET ST NS APOLLO CT\' }, </v>
      </c>
    </row>
    <row r="1933" spans="1:12" x14ac:dyDescent="0.25">
      <c r="A1933">
        <v>-63.611245311626099</v>
      </c>
      <c r="B1933">
        <v>44.603398849692802</v>
      </c>
      <c r="C1933">
        <v>580</v>
      </c>
      <c r="D1933" t="s">
        <v>22</v>
      </c>
      <c r="E1933" t="s">
        <v>12</v>
      </c>
      <c r="F1933" t="s">
        <v>13</v>
      </c>
      <c r="G1933" t="s">
        <v>19</v>
      </c>
      <c r="H1933">
        <v>6904</v>
      </c>
      <c r="I1933" t="s">
        <v>3907</v>
      </c>
      <c r="J1933" t="s">
        <v>3908</v>
      </c>
      <c r="K1933" t="s">
        <v>17</v>
      </c>
      <c r="L1933" t="str">
        <f t="shared" si="30"/>
        <v xml:space="preserve">{ longitude: -63.6112453116261, latitude: 44.6033988496928, stopType: 'Bus Stop Shelter Accessible', gotime: \'6904\', location: \'HERRING COVE RD NS SYLVIA AVE\' }, </v>
      </c>
    </row>
    <row r="1934" spans="1:12" x14ac:dyDescent="0.25">
      <c r="A1934">
        <v>-63.644028109952799</v>
      </c>
      <c r="B1934">
        <v>44.650909128508601</v>
      </c>
      <c r="C1934">
        <v>1843</v>
      </c>
      <c r="D1934" t="s">
        <v>18</v>
      </c>
      <c r="E1934" t="s">
        <v>12</v>
      </c>
      <c r="F1934" t="s">
        <v>13</v>
      </c>
      <c r="G1934" t="s">
        <v>14</v>
      </c>
      <c r="H1934">
        <v>8500</v>
      </c>
      <c r="I1934" t="s">
        <v>3909</v>
      </c>
      <c r="J1934" t="s">
        <v>3910</v>
      </c>
      <c r="K1934" t="s">
        <v>17</v>
      </c>
      <c r="L1934" t="str">
        <f t="shared" si="30"/>
        <v xml:space="preserve">{ longitude: -63.6440281099528, latitude: 44.6509091285086, stopType: 'Bus Stop Shelter Non-Standard', gotime: \'8500\', location: \'WILLET ST NS FREDERICK AVE\' }, </v>
      </c>
    </row>
    <row r="1935" spans="1:12" x14ac:dyDescent="0.25">
      <c r="A1935">
        <v>-63.614799825378498</v>
      </c>
      <c r="B1935">
        <v>44.615955390177099</v>
      </c>
      <c r="C1935">
        <v>581</v>
      </c>
      <c r="D1935" t="s">
        <v>29</v>
      </c>
      <c r="E1935" t="s">
        <v>12</v>
      </c>
      <c r="F1935" t="s">
        <v>13</v>
      </c>
      <c r="G1935" t="s">
        <v>14</v>
      </c>
      <c r="H1935">
        <v>6905</v>
      </c>
      <c r="I1935" t="s">
        <v>3911</v>
      </c>
      <c r="J1935" t="s">
        <v>3912</v>
      </c>
      <c r="K1935" t="s">
        <v>17</v>
      </c>
      <c r="L1935" t="str">
        <f t="shared" si="30"/>
        <v xml:space="preserve">{ longitude: -63.6147998253785, latitude: 44.6159553901771, stopType: 'Bus Stop Accessible', gotime: \'6905\', location: \'HERRING COVE RD NS WILLIAMS LAKE RD\' }, </v>
      </c>
    </row>
    <row r="1936" spans="1:12" x14ac:dyDescent="0.25">
      <c r="A1936">
        <v>-63.6465525200285</v>
      </c>
      <c r="B1936">
        <v>44.6538259461419</v>
      </c>
      <c r="C1936">
        <v>1844</v>
      </c>
      <c r="D1936" t="s">
        <v>11</v>
      </c>
      <c r="E1936" t="s">
        <v>12</v>
      </c>
      <c r="F1936" t="s">
        <v>13</v>
      </c>
      <c r="G1936" t="s">
        <v>14</v>
      </c>
      <c r="H1936">
        <v>8501</v>
      </c>
      <c r="I1936" t="s">
        <v>3913</v>
      </c>
      <c r="J1936" t="s">
        <v>3914</v>
      </c>
      <c r="K1936" t="s">
        <v>17</v>
      </c>
      <c r="L1936" t="str">
        <f t="shared" si="30"/>
        <v xml:space="preserve">{ longitude: -63.6465525200285, latitude: 44.6538259461419, stopType: 'Bus Stop Non-Standard', gotime: \'8501\', location: \'WILLET ST NS MAIN AVE\' }, </v>
      </c>
    </row>
    <row r="1937" spans="1:12" x14ac:dyDescent="0.25">
      <c r="A1937">
        <v>-63.644076976121603</v>
      </c>
      <c r="B1937">
        <v>44.6507669384414</v>
      </c>
      <c r="C1937">
        <v>1845</v>
      </c>
      <c r="D1937" t="s">
        <v>22</v>
      </c>
      <c r="E1937" t="s">
        <v>12</v>
      </c>
      <c r="F1937" t="s">
        <v>13</v>
      </c>
      <c r="G1937" t="s">
        <v>14</v>
      </c>
      <c r="H1937">
        <v>8502</v>
      </c>
      <c r="I1937" t="s">
        <v>3915</v>
      </c>
      <c r="J1937" t="s">
        <v>3916</v>
      </c>
      <c r="K1937" t="s">
        <v>17</v>
      </c>
      <c r="L1937" t="str">
        <f t="shared" si="30"/>
        <v xml:space="preserve">{ longitude: -63.6440769761216, latitude: 44.6507669384414, stopType: 'Bus Stop Shelter Accessible', gotime: \'8502\', location: \'WILLET ST NS ROSEDALE AVE\' }, </v>
      </c>
    </row>
    <row r="1938" spans="1:12" x14ac:dyDescent="0.25">
      <c r="A1938">
        <v>-63.618377936958098</v>
      </c>
      <c r="B1938">
        <v>44.6325459550537</v>
      </c>
      <c r="C1938">
        <v>582</v>
      </c>
      <c r="D1938" t="s">
        <v>22</v>
      </c>
      <c r="E1938" t="s">
        <v>12</v>
      </c>
      <c r="F1938" t="s">
        <v>25</v>
      </c>
      <c r="G1938" t="s">
        <v>19</v>
      </c>
      <c r="H1938">
        <v>6906</v>
      </c>
      <c r="I1938" t="s">
        <v>3917</v>
      </c>
      <c r="J1938" t="s">
        <v>3918</v>
      </c>
      <c r="K1938" t="s">
        <v>17</v>
      </c>
      <c r="L1938" t="str">
        <f t="shared" si="30"/>
        <v xml:space="preserve">{ longitude: -63.6183779369581, latitude: 44.6325459550537, stopType: 'Bus Stop Shelter Accessible', gotime: \'6906\', location: \'HERRING COVE RD AT WINCHESTER AVE\' }, </v>
      </c>
    </row>
    <row r="1939" spans="1:12" x14ac:dyDescent="0.25">
      <c r="A1939">
        <v>-63.617176057683899</v>
      </c>
      <c r="B1939">
        <v>44.609970180457701</v>
      </c>
      <c r="C1939">
        <v>583</v>
      </c>
      <c r="D1939" t="s">
        <v>29</v>
      </c>
      <c r="E1939" t="s">
        <v>12</v>
      </c>
      <c r="F1939" t="s">
        <v>13</v>
      </c>
      <c r="G1939" t="s">
        <v>14</v>
      </c>
      <c r="H1939">
        <v>6907</v>
      </c>
      <c r="I1939" t="s">
        <v>3919</v>
      </c>
      <c r="J1939" t="s">
        <v>3920</v>
      </c>
      <c r="K1939" t="s">
        <v>17</v>
      </c>
      <c r="L1939" t="str">
        <f t="shared" si="30"/>
        <v xml:space="preserve">{ longitude: -63.6171760576839, latitude: 44.6099701804577, stopType: 'Bus Stop Accessible', gotime: \'6907\', location: \'HERRING COVE RD OPP 382\' }, </v>
      </c>
    </row>
    <row r="1940" spans="1:12" x14ac:dyDescent="0.25">
      <c r="A1940">
        <v>-63.654340827935599</v>
      </c>
      <c r="B1940">
        <v>44.658016933525197</v>
      </c>
      <c r="C1940">
        <v>1846</v>
      </c>
      <c r="D1940" t="s">
        <v>22</v>
      </c>
      <c r="E1940" t="s">
        <v>12</v>
      </c>
      <c r="F1940" t="s">
        <v>13</v>
      </c>
      <c r="G1940" t="s">
        <v>14</v>
      </c>
      <c r="H1940">
        <v>8503</v>
      </c>
      <c r="I1940" t="s">
        <v>3921</v>
      </c>
      <c r="J1940" t="s">
        <v>3922</v>
      </c>
      <c r="K1940" t="s">
        <v>17</v>
      </c>
      <c r="L1940" t="str">
        <f t="shared" si="30"/>
        <v xml:space="preserve">{ longitude: -63.6543408279356, latitude: 44.6580169335252, stopType: 'Bus Stop Shelter Accessible', gotime: \'8503\', location: \'WILLET ST NS WESTRIDGE DR\' }, </v>
      </c>
    </row>
    <row r="1941" spans="1:12" x14ac:dyDescent="0.25">
      <c r="A1941">
        <v>-63.6505869236602</v>
      </c>
      <c r="B1941">
        <v>44.657161456660603</v>
      </c>
      <c r="C1941">
        <v>1847</v>
      </c>
      <c r="D1941" t="s">
        <v>29</v>
      </c>
      <c r="E1941" t="s">
        <v>12</v>
      </c>
      <c r="F1941" t="s">
        <v>25</v>
      </c>
      <c r="G1941" t="s">
        <v>19</v>
      </c>
      <c r="H1941">
        <v>8504</v>
      </c>
      <c r="I1941" t="s">
        <v>3923</v>
      </c>
      <c r="J1941" t="s">
        <v>3924</v>
      </c>
      <c r="K1941" t="s">
        <v>17</v>
      </c>
      <c r="L1941" t="str">
        <f t="shared" si="30"/>
        <v xml:space="preserve">{ longitude: -63.6505869236602, latitude: 44.6571614566606, stopType: 'Bus Stop Accessible', gotime: \'8504\', location: \'DUNBRACK ST FS WILLET ST\' }, </v>
      </c>
    </row>
    <row r="1942" spans="1:12" x14ac:dyDescent="0.25">
      <c r="A1942">
        <v>-63.595766026962799</v>
      </c>
      <c r="B1942">
        <v>44.591185950276603</v>
      </c>
      <c r="C1942">
        <v>584</v>
      </c>
      <c r="D1942" t="s">
        <v>11</v>
      </c>
      <c r="E1942" t="s">
        <v>12</v>
      </c>
      <c r="F1942" t="s">
        <v>25</v>
      </c>
      <c r="G1942" t="s">
        <v>26</v>
      </c>
      <c r="H1942">
        <v>6908</v>
      </c>
      <c r="I1942" t="s">
        <v>3925</v>
      </c>
      <c r="J1942" t="s">
        <v>3926</v>
      </c>
      <c r="K1942" t="s">
        <v>17</v>
      </c>
      <c r="L1942" t="str">
        <f t="shared" si="30"/>
        <v xml:space="preserve">{ longitude: -63.5957660269628, latitude: 44.5911859502766, stopType: 'Bus Stop Non-Standard', gotime: \'6908\', location: \'HERRING COVE RD OPP BRONSON AVE\' }, </v>
      </c>
    </row>
    <row r="1943" spans="1:12" x14ac:dyDescent="0.25">
      <c r="A1943">
        <v>-63.617542067263798</v>
      </c>
      <c r="B1943">
        <v>44.6295760459248</v>
      </c>
      <c r="C1943">
        <v>585</v>
      </c>
      <c r="D1943" t="s">
        <v>22</v>
      </c>
      <c r="E1943" t="s">
        <v>12</v>
      </c>
      <c r="F1943" t="s">
        <v>13</v>
      </c>
      <c r="G1943" t="s">
        <v>19</v>
      </c>
      <c r="H1943">
        <v>6909</v>
      </c>
      <c r="I1943" t="s">
        <v>3927</v>
      </c>
      <c r="J1943" t="s">
        <v>3928</v>
      </c>
      <c r="K1943" t="s">
        <v>17</v>
      </c>
      <c r="L1943" t="str">
        <f t="shared" si="30"/>
        <v xml:space="preserve">{ longitude: -63.6175420672638, latitude: 44.6295760459248, stopType: 'Bus Stop Shelter Accessible', gotime: \'6909\', location: \'HERRING COVE RD OPP CIVIC 125\' }, </v>
      </c>
    </row>
    <row r="1944" spans="1:12" x14ac:dyDescent="0.25">
      <c r="A1944">
        <v>-63.621196604508803</v>
      </c>
      <c r="B1944">
        <v>44.634970354753598</v>
      </c>
      <c r="C1944">
        <v>586</v>
      </c>
      <c r="D1944" t="s">
        <v>29</v>
      </c>
      <c r="E1944" t="s">
        <v>12</v>
      </c>
      <c r="F1944" t="s">
        <v>13</v>
      </c>
      <c r="G1944" t="s">
        <v>14</v>
      </c>
      <c r="H1944">
        <v>6910</v>
      </c>
      <c r="I1944" t="s">
        <v>3929</v>
      </c>
      <c r="J1944" t="s">
        <v>3930</v>
      </c>
      <c r="K1944" t="s">
        <v>17</v>
      </c>
      <c r="L1944" t="str">
        <f t="shared" si="30"/>
        <v xml:space="preserve">{ longitude: -63.6211966045088, latitude: 44.6349703547536, stopType: 'Bus Stop Accessible', gotime: \'6910\', location: \'HERRING COVE RD OPP CIVIC 47\' }, </v>
      </c>
    </row>
    <row r="1945" spans="1:12" x14ac:dyDescent="0.25">
      <c r="A1945">
        <v>-63.598814603336898</v>
      </c>
      <c r="B1945">
        <v>44.662646254685299</v>
      </c>
      <c r="C1945">
        <v>1848</v>
      </c>
      <c r="D1945" t="s">
        <v>11</v>
      </c>
      <c r="E1945" t="s">
        <v>12</v>
      </c>
      <c r="F1945" t="s">
        <v>13</v>
      </c>
      <c r="G1945" t="s">
        <v>14</v>
      </c>
      <c r="H1945">
        <v>7366</v>
      </c>
      <c r="I1945" t="s">
        <v>3931</v>
      </c>
      <c r="J1945" t="s">
        <v>3932</v>
      </c>
      <c r="K1945" t="s">
        <v>17</v>
      </c>
      <c r="L1945" t="str">
        <f t="shared" si="30"/>
        <v xml:space="preserve">{ longitude: -63.5988146033369, latitude: 44.6626462546853, stopType: 'Bus Stop Non-Standard', gotime: \'7366\', location: \'NOVALEA DR FS YOUNG ST &lt;NB&gt;\' }, </v>
      </c>
    </row>
    <row r="1946" spans="1:12" x14ac:dyDescent="0.25">
      <c r="A1946">
        <v>-63.597602259588498</v>
      </c>
      <c r="B1946">
        <v>44.592982446004598</v>
      </c>
      <c r="C1946">
        <v>587</v>
      </c>
      <c r="D1946" t="s">
        <v>103</v>
      </c>
      <c r="E1946" t="s">
        <v>12</v>
      </c>
      <c r="F1946" t="s">
        <v>25</v>
      </c>
      <c r="G1946" t="s">
        <v>65</v>
      </c>
      <c r="H1946">
        <v>6911</v>
      </c>
      <c r="I1946" t="s">
        <v>3933</v>
      </c>
      <c r="J1946" t="s">
        <v>3934</v>
      </c>
      <c r="K1946" t="s">
        <v>17</v>
      </c>
      <c r="L1946" t="str">
        <f t="shared" si="30"/>
        <v xml:space="preserve">{ longitude: -63.5976022595885, latitude: 44.5929824460046, stopType: 'Bus Stop Inaccessible', gotime: \'6911\', location: \'HERRING COVE RD OPP CIVIC 636\' }, </v>
      </c>
    </row>
    <row r="1947" spans="1:12" x14ac:dyDescent="0.25">
      <c r="A1947">
        <v>-63.612212298125101</v>
      </c>
      <c r="B1947">
        <v>44.671418844282897</v>
      </c>
      <c r="C1947">
        <v>1849</v>
      </c>
      <c r="D1947" t="s">
        <v>22</v>
      </c>
      <c r="E1947" t="s">
        <v>12</v>
      </c>
      <c r="F1947" t="s">
        <v>13</v>
      </c>
      <c r="G1947" t="s">
        <v>19</v>
      </c>
      <c r="H1947">
        <v>7368</v>
      </c>
      <c r="I1947" t="s">
        <v>3935</v>
      </c>
      <c r="J1947" t="s">
        <v>3936</v>
      </c>
      <c r="K1947" t="s">
        <v>17</v>
      </c>
      <c r="L1947" t="str">
        <f t="shared" si="30"/>
        <v xml:space="preserve">{ longitude: -63.6122122981251, latitude: 44.6714188442829, stopType: 'Bus Stop Shelter Accessible', gotime: \'7368\', location: \'NOVALEA DR AT SAMUNEL PRINCE &lt;SB&gt; TO VIC MANOR\' }, </v>
      </c>
    </row>
    <row r="1948" spans="1:12" x14ac:dyDescent="0.25">
      <c r="A1948">
        <v>-63.524922351361099</v>
      </c>
      <c r="B1948">
        <v>44.669333262831998</v>
      </c>
      <c r="C1948">
        <v>588</v>
      </c>
      <c r="D1948" t="s">
        <v>11</v>
      </c>
      <c r="E1948" t="s">
        <v>12</v>
      </c>
      <c r="F1948" t="s">
        <v>25</v>
      </c>
      <c r="G1948" t="s">
        <v>26</v>
      </c>
      <c r="H1948">
        <v>6626</v>
      </c>
      <c r="I1948" t="s">
        <v>3937</v>
      </c>
      <c r="J1948" t="s">
        <v>3938</v>
      </c>
      <c r="K1948" t="s">
        <v>17</v>
      </c>
      <c r="L1948" t="str">
        <f t="shared" si="30"/>
        <v xml:space="preserve">{ longitude: -63.5249223513611, latitude: 44.669333262832, stopType: 'Bus Stop Non-Standard', gotime: \'6626\', location: \'EISENER BLVD OPP SUPERSTORE\' }, </v>
      </c>
    </row>
    <row r="1949" spans="1:12" x14ac:dyDescent="0.25">
      <c r="A1949">
        <v>-63.605777580085899</v>
      </c>
      <c r="B1949">
        <v>44.667332887473499</v>
      </c>
      <c r="C1949">
        <v>1850</v>
      </c>
      <c r="D1949" t="s">
        <v>29</v>
      </c>
      <c r="E1949" t="s">
        <v>12</v>
      </c>
      <c r="F1949" t="s">
        <v>13</v>
      </c>
      <c r="G1949" t="s">
        <v>19</v>
      </c>
      <c r="H1949">
        <v>7369</v>
      </c>
      <c r="I1949" t="s">
        <v>3939</v>
      </c>
      <c r="J1949" t="s">
        <v>3940</v>
      </c>
      <c r="K1949" t="s">
        <v>17</v>
      </c>
      <c r="L1949" t="str">
        <f t="shared" si="30"/>
        <v xml:space="preserve">{ longitude: -63.6057775800859, latitude: 44.6673328874735, stopType: 'Bus Stop Accessible', gotime: \'7369\', location: \'NOVALEA DR NB AT DUFFUS ST\' }, </v>
      </c>
    </row>
    <row r="1950" spans="1:12" x14ac:dyDescent="0.25">
      <c r="A1950">
        <v>-63.524755790453298</v>
      </c>
      <c r="B1950">
        <v>44.670240813724597</v>
      </c>
      <c r="C1950">
        <v>589</v>
      </c>
      <c r="D1950" t="s">
        <v>29</v>
      </c>
      <c r="E1950" t="s">
        <v>12</v>
      </c>
      <c r="F1950" t="s">
        <v>25</v>
      </c>
      <c r="G1950" t="s">
        <v>26</v>
      </c>
      <c r="H1950">
        <v>6627</v>
      </c>
      <c r="I1950" t="s">
        <v>3941</v>
      </c>
      <c r="J1950" t="s">
        <v>3942</v>
      </c>
      <c r="K1950" t="s">
        <v>17</v>
      </c>
      <c r="L1950" t="str">
        <f t="shared" si="30"/>
        <v xml:space="preserve">{ longitude: -63.5247557904533, latitude: 44.6702408137246, stopType: 'Bus Stop Accessible', gotime: \'6627\', location: \'EISENER BLVD FS SUPERSTORE ENTRANCE\' }, </v>
      </c>
    </row>
    <row r="1951" spans="1:12" x14ac:dyDescent="0.25">
      <c r="A1951">
        <v>-63.606479512198703</v>
      </c>
      <c r="B1951">
        <v>44.667432248935498</v>
      </c>
      <c r="C1951">
        <v>1851</v>
      </c>
      <c r="D1951" t="s">
        <v>22</v>
      </c>
      <c r="E1951" t="s">
        <v>12</v>
      </c>
      <c r="F1951" t="s">
        <v>13</v>
      </c>
      <c r="G1951" t="s">
        <v>19</v>
      </c>
      <c r="H1951">
        <v>7370</v>
      </c>
      <c r="I1951" t="s">
        <v>3943</v>
      </c>
      <c r="J1951" t="s">
        <v>3944</v>
      </c>
      <c r="K1951" t="s">
        <v>17</v>
      </c>
      <c r="L1951" t="str">
        <f t="shared" si="30"/>
        <v xml:space="preserve">{ longitude: -63.6064795121987, latitude: 44.6674322489355, stopType: 'Bus Stop Shelter Accessible', gotime: \'7370\', location: \'NOVALEA DR SB AT DUFFUS ST\' }, </v>
      </c>
    </row>
    <row r="1952" spans="1:12" x14ac:dyDescent="0.25">
      <c r="A1952">
        <v>-63.7383774015887</v>
      </c>
      <c r="B1952">
        <v>44.653783343700397</v>
      </c>
      <c r="C1952">
        <v>590</v>
      </c>
      <c r="D1952" t="s">
        <v>11</v>
      </c>
      <c r="E1952" t="s">
        <v>12</v>
      </c>
      <c r="F1952" t="s">
        <v>13</v>
      </c>
      <c r="G1952" t="s">
        <v>14</v>
      </c>
      <c r="H1952">
        <v>6628</v>
      </c>
      <c r="I1952" t="s">
        <v>3945</v>
      </c>
      <c r="J1952" t="s">
        <v>3946</v>
      </c>
      <c r="K1952" t="s">
        <v>17</v>
      </c>
      <c r="L1952" t="str">
        <f t="shared" si="30"/>
        <v xml:space="preserve">{ longitude: -63.7383774015887, latitude: 44.6537833437004, stopType: 'Bus Stop Non-Standard', gotime: \'6628\', location: \'EISENER FS WEDGEWOOD\' }, </v>
      </c>
    </row>
    <row r="1953" spans="1:12" x14ac:dyDescent="0.25">
      <c r="A1953">
        <v>-63.485994295151698</v>
      </c>
      <c r="B1953">
        <v>44.614086606694599</v>
      </c>
      <c r="C1953">
        <v>1852</v>
      </c>
      <c r="D1953" t="s">
        <v>11</v>
      </c>
      <c r="E1953" t="s">
        <v>12</v>
      </c>
      <c r="F1953" t="s">
        <v>25</v>
      </c>
      <c r="G1953" t="s">
        <v>199</v>
      </c>
      <c r="H1953">
        <v>8660</v>
      </c>
      <c r="I1953" t="s">
        <v>3947</v>
      </c>
      <c r="J1953" t="s">
        <v>3948</v>
      </c>
      <c r="K1953" t="s">
        <v>17</v>
      </c>
      <c r="L1953" t="str">
        <f t="shared" si="30"/>
        <v xml:space="preserve">{ longitude: -63.4859942951517, latitude: 44.6140866066946, stopType: 'Bus Stop Non-Standard', gotime: \'8660\', location: \'HORNES RD AT LIONS CLUB\' }, </v>
      </c>
    </row>
    <row r="1954" spans="1:12" x14ac:dyDescent="0.25">
      <c r="A1954">
        <v>-63.520460421846899</v>
      </c>
      <c r="B1954">
        <v>44.677412833221503</v>
      </c>
      <c r="C1954">
        <v>591</v>
      </c>
      <c r="D1954" t="s">
        <v>29</v>
      </c>
      <c r="E1954" t="s">
        <v>12</v>
      </c>
      <c r="F1954" t="s">
        <v>25</v>
      </c>
      <c r="G1954" t="s">
        <v>19</v>
      </c>
      <c r="H1954">
        <v>6629</v>
      </c>
      <c r="I1954" t="s">
        <v>3949</v>
      </c>
      <c r="J1954" t="s">
        <v>3950</v>
      </c>
      <c r="K1954" t="s">
        <v>17</v>
      </c>
      <c r="L1954" t="str">
        <f t="shared" si="30"/>
        <v xml:space="preserve">{ longitude: -63.5204604218469, latitude: 44.6774128332215, stopType: 'Bus Stop Accessible', gotime: \'6629\', location: \'ELLENVALE AVE AT CIVIC 54\' }, </v>
      </c>
    </row>
    <row r="1955" spans="1:12" x14ac:dyDescent="0.25">
      <c r="A1955">
        <v>-63.484279676876703</v>
      </c>
      <c r="B1955">
        <v>44.615592338472098</v>
      </c>
      <c r="C1955">
        <v>1853</v>
      </c>
      <c r="D1955" t="s">
        <v>11</v>
      </c>
      <c r="E1955" t="s">
        <v>12</v>
      </c>
      <c r="F1955" t="s">
        <v>25</v>
      </c>
      <c r="G1955" t="s">
        <v>199</v>
      </c>
      <c r="H1955">
        <v>8661</v>
      </c>
      <c r="I1955" t="s">
        <v>3951</v>
      </c>
      <c r="J1955" t="s">
        <v>3952</v>
      </c>
      <c r="K1955" t="s">
        <v>17</v>
      </c>
      <c r="L1955" t="str">
        <f t="shared" si="30"/>
        <v xml:space="preserve">{ longitude: -63.4842796768767, latitude: 44.6155923384721, stopType: 'Bus Stop Non-Standard', gotime: \'8661\', location: \'HORNES RD OPP CIVIC 42\' }, </v>
      </c>
    </row>
    <row r="1956" spans="1:12" x14ac:dyDescent="0.25">
      <c r="A1956">
        <v>-63.580740988678897</v>
      </c>
      <c r="B1956">
        <v>44.633269507534699</v>
      </c>
      <c r="C1956">
        <v>592</v>
      </c>
      <c r="D1956" t="s">
        <v>29</v>
      </c>
      <c r="E1956" t="s">
        <v>12</v>
      </c>
      <c r="F1956" t="s">
        <v>13</v>
      </c>
      <c r="G1956" t="s">
        <v>19</v>
      </c>
      <c r="H1956">
        <v>6960</v>
      </c>
      <c r="I1956" t="s">
        <v>3953</v>
      </c>
      <c r="J1956" t="s">
        <v>3954</v>
      </c>
      <c r="K1956" t="s">
        <v>17</v>
      </c>
      <c r="L1956" t="str">
        <f t="shared" si="30"/>
        <v xml:space="preserve">{ longitude: -63.5807409886789, latitude: 44.6332695075347, stopType: 'Bus Stop Accessible', gotime: \'6960\', location: \'INGLIS ST OPP SMU\' }, </v>
      </c>
    </row>
    <row r="1957" spans="1:12" x14ac:dyDescent="0.25">
      <c r="A1957">
        <v>-63.4806859172689</v>
      </c>
      <c r="B1957">
        <v>44.618629254614603</v>
      </c>
      <c r="C1957">
        <v>1854</v>
      </c>
      <c r="D1957" t="s">
        <v>103</v>
      </c>
      <c r="E1957" t="s">
        <v>12</v>
      </c>
      <c r="F1957" t="s">
        <v>25</v>
      </c>
      <c r="G1957" t="s">
        <v>65</v>
      </c>
      <c r="H1957">
        <v>8662</v>
      </c>
      <c r="I1957" t="s">
        <v>3955</v>
      </c>
      <c r="J1957" t="s">
        <v>3956</v>
      </c>
      <c r="K1957" t="s">
        <v>17</v>
      </c>
      <c r="L1957" t="str">
        <f t="shared" si="30"/>
        <v xml:space="preserve">{ longitude: -63.4806859172689, latitude: 44.6186292546146, stopType: 'Bus Stop Inaccessible', gotime: \'8662\', location: \'HORNES RD AT CIVIC 15\' }, </v>
      </c>
    </row>
    <row r="1958" spans="1:12" x14ac:dyDescent="0.25">
      <c r="A1958">
        <v>-63.585908544678901</v>
      </c>
      <c r="B1958">
        <v>44.6318758795055</v>
      </c>
      <c r="C1958">
        <v>593</v>
      </c>
      <c r="D1958" t="s">
        <v>11</v>
      </c>
      <c r="E1958" t="s">
        <v>12</v>
      </c>
      <c r="F1958" t="s">
        <v>13</v>
      </c>
      <c r="G1958" t="s">
        <v>14</v>
      </c>
      <c r="H1958">
        <v>6961</v>
      </c>
      <c r="I1958" t="s">
        <v>3957</v>
      </c>
      <c r="J1958" t="s">
        <v>3958</v>
      </c>
      <c r="K1958" t="s">
        <v>17</v>
      </c>
      <c r="L1958" t="str">
        <f t="shared" si="30"/>
        <v xml:space="preserve">{ longitude: -63.5859085446789, latitude: 44.6318758795055, stopType: 'Bus Stop Non-Standard', gotime: \'6961\', location: \'INGLIS ST FS BELLVUE AVE\' }, </v>
      </c>
    </row>
    <row r="1959" spans="1:12" x14ac:dyDescent="0.25">
      <c r="A1959">
        <v>-63.479329677187202</v>
      </c>
      <c r="B1959">
        <v>44.617645161440798</v>
      </c>
      <c r="C1959">
        <v>1855</v>
      </c>
      <c r="D1959" t="s">
        <v>11</v>
      </c>
      <c r="E1959" t="s">
        <v>12</v>
      </c>
      <c r="F1959" t="s">
        <v>25</v>
      </c>
      <c r="G1959" t="s">
        <v>19</v>
      </c>
      <c r="H1959">
        <v>8663</v>
      </c>
      <c r="I1959" t="s">
        <v>3959</v>
      </c>
      <c r="J1959" t="s">
        <v>3960</v>
      </c>
      <c r="K1959" t="s">
        <v>17</v>
      </c>
      <c r="L1959" t="str">
        <f t="shared" si="30"/>
        <v xml:space="preserve">{ longitude: -63.4793296771872, latitude: 44.6176451614408, stopType: 'Bus Stop Non-Standard', gotime: \'8663\', location: \'CALDWELL RD OPP CIVIC 1592\' }, </v>
      </c>
    </row>
    <row r="1960" spans="1:12" x14ac:dyDescent="0.25">
      <c r="A1960">
        <v>-63.582801477376798</v>
      </c>
      <c r="B1960">
        <v>44.632621440036502</v>
      </c>
      <c r="C1960">
        <v>594</v>
      </c>
      <c r="D1960" t="s">
        <v>22</v>
      </c>
      <c r="E1960" t="s">
        <v>12</v>
      </c>
      <c r="F1960" t="s">
        <v>13</v>
      </c>
      <c r="G1960" t="s">
        <v>14</v>
      </c>
      <c r="H1960">
        <v>6962</v>
      </c>
      <c r="I1960" t="s">
        <v>3961</v>
      </c>
      <c r="J1960" t="s">
        <v>3962</v>
      </c>
      <c r="K1960" t="s">
        <v>17</v>
      </c>
      <c r="L1960" t="str">
        <f t="shared" si="30"/>
        <v xml:space="preserve">{ longitude: -63.5828014773768, latitude: 44.6326214400365, stopType: 'Bus Stop Shelter Accessible', gotime: \'6962\', location: \'INGLIS ST FS ROBIE ST\' }, </v>
      </c>
    </row>
    <row r="1961" spans="1:12" x14ac:dyDescent="0.25">
      <c r="A1961">
        <v>-63.476848209383199</v>
      </c>
      <c r="B1961">
        <v>44.615445001042197</v>
      </c>
      <c r="C1961">
        <v>1856</v>
      </c>
      <c r="D1961" t="s">
        <v>11</v>
      </c>
      <c r="E1961" t="s">
        <v>12</v>
      </c>
      <c r="F1961" t="s">
        <v>25</v>
      </c>
      <c r="G1961" t="s">
        <v>19</v>
      </c>
      <c r="H1961">
        <v>8664</v>
      </c>
      <c r="I1961" t="s">
        <v>3963</v>
      </c>
      <c r="J1961" t="s">
        <v>3964</v>
      </c>
      <c r="K1961" t="s">
        <v>17</v>
      </c>
      <c r="L1961" t="str">
        <f t="shared" si="30"/>
        <v xml:space="preserve">{ longitude: -63.4768482093832, latitude: 44.6154450010422, stopType: 'Bus Stop Non-Standard', gotime: \'8664\', location: \'CALDWELL RD AT CIVIC 1627\' }, </v>
      </c>
    </row>
    <row r="1962" spans="1:12" x14ac:dyDescent="0.25">
      <c r="A1962">
        <v>-63.569837449101399</v>
      </c>
      <c r="B1962">
        <v>44.635929035283901</v>
      </c>
      <c r="C1962">
        <v>595</v>
      </c>
      <c r="D1962" t="s">
        <v>11</v>
      </c>
      <c r="E1962" t="s">
        <v>12</v>
      </c>
      <c r="F1962" t="s">
        <v>13</v>
      </c>
      <c r="G1962" t="s">
        <v>19</v>
      </c>
      <c r="H1962">
        <v>6963</v>
      </c>
      <c r="I1962" t="s">
        <v>3965</v>
      </c>
      <c r="J1962" t="s">
        <v>3966</v>
      </c>
      <c r="K1962" t="s">
        <v>17</v>
      </c>
      <c r="L1962" t="str">
        <f t="shared" si="30"/>
        <v xml:space="preserve">{ longitude: -63.5698374491014, latitude: 44.6359290352839, stopType: 'Bus Stop Non-Standard', gotime: \'6963\', location: \'INGLIS ST NS BARRINGTON ST\' }, </v>
      </c>
    </row>
    <row r="1963" spans="1:12" x14ac:dyDescent="0.25">
      <c r="A1963">
        <v>-63.474751981312899</v>
      </c>
      <c r="B1963">
        <v>44.6128432532647</v>
      </c>
      <c r="C1963">
        <v>1857</v>
      </c>
      <c r="D1963" t="s">
        <v>11</v>
      </c>
      <c r="E1963" t="s">
        <v>12</v>
      </c>
      <c r="F1963" t="s">
        <v>25</v>
      </c>
      <c r="G1963" t="s">
        <v>19</v>
      </c>
      <c r="H1963">
        <v>8665</v>
      </c>
      <c r="I1963" t="s">
        <v>3967</v>
      </c>
      <c r="J1963" t="s">
        <v>3968</v>
      </c>
      <c r="K1963" t="s">
        <v>17</v>
      </c>
      <c r="L1963" t="str">
        <f t="shared" si="30"/>
        <v xml:space="preserve">{ longitude: -63.4747519813129, latitude: 44.6128432532647, stopType: 'Bus Stop Non-Standard', gotime: \'8665\', location: \'CALDWELL RD FS CIVIC 1739\' }, </v>
      </c>
    </row>
    <row r="1964" spans="1:12" x14ac:dyDescent="0.25">
      <c r="A1964">
        <v>-63.5861352656338</v>
      </c>
      <c r="B1964">
        <v>44.631989471453501</v>
      </c>
      <c r="C1964">
        <v>596</v>
      </c>
      <c r="D1964" t="s">
        <v>29</v>
      </c>
      <c r="E1964" t="s">
        <v>12</v>
      </c>
      <c r="F1964" t="s">
        <v>13</v>
      </c>
      <c r="G1964" t="s">
        <v>14</v>
      </c>
      <c r="H1964">
        <v>6964</v>
      </c>
      <c r="I1964" t="s">
        <v>3969</v>
      </c>
      <c r="J1964" t="s">
        <v>3970</v>
      </c>
      <c r="K1964" t="s">
        <v>17</v>
      </c>
      <c r="L1964" t="str">
        <f t="shared" si="30"/>
        <v xml:space="preserve">{ longitude: -63.5861352656338, latitude: 44.6319894714535, stopType: 'Bus Stop Accessible', gotime: \'6964\', location: \'INGLIS ST NS BELLEVUE AVE\' }, </v>
      </c>
    </row>
    <row r="1965" spans="1:12" x14ac:dyDescent="0.25">
      <c r="A1965">
        <v>-63.472329551104998</v>
      </c>
      <c r="B1965">
        <v>44.612317489838901</v>
      </c>
      <c r="C1965">
        <v>1858</v>
      </c>
      <c r="D1965" t="s">
        <v>29</v>
      </c>
      <c r="E1965" t="s">
        <v>12</v>
      </c>
      <c r="F1965" t="s">
        <v>25</v>
      </c>
      <c r="G1965" t="s">
        <v>19</v>
      </c>
      <c r="H1965">
        <v>8666</v>
      </c>
      <c r="I1965" t="s">
        <v>3971</v>
      </c>
      <c r="J1965" t="s">
        <v>3972</v>
      </c>
      <c r="K1965" t="s">
        <v>17</v>
      </c>
      <c r="L1965" t="str">
        <f t="shared" si="30"/>
        <v xml:space="preserve">{ longitude: -63.472329551105, latitude: 44.6123174898389, stopType: 'Bus Stop Accessible', gotime: \'8666\', location: \'COW BAY RD FS CIVIC 385\' }, </v>
      </c>
    </row>
    <row r="1966" spans="1:12" x14ac:dyDescent="0.25">
      <c r="A1966">
        <v>-63.580673899401198</v>
      </c>
      <c r="B1966">
        <v>44.633128120725402</v>
      </c>
      <c r="C1966">
        <v>597</v>
      </c>
      <c r="D1966" t="s">
        <v>22</v>
      </c>
      <c r="E1966" t="s">
        <v>12</v>
      </c>
      <c r="F1966" t="s">
        <v>13</v>
      </c>
      <c r="G1966" t="s">
        <v>14</v>
      </c>
      <c r="H1966">
        <v>6965</v>
      </c>
      <c r="I1966" t="s">
        <v>3973</v>
      </c>
      <c r="J1966" t="s">
        <v>3974</v>
      </c>
      <c r="K1966" t="s">
        <v>17</v>
      </c>
      <c r="L1966" t="str">
        <f t="shared" si="30"/>
        <v xml:space="preserve">{ longitude: -63.5806738994012, latitude: 44.6331281207254, stopType: 'Bus Stop Shelter Accessible', gotime: \'6965\', location: \'INGLIS ST NS CAN MARTYRS CHURCH\' }, </v>
      </c>
    </row>
    <row r="1967" spans="1:12" x14ac:dyDescent="0.25">
      <c r="A1967">
        <v>-63.469286784028803</v>
      </c>
      <c r="B1967">
        <v>44.614099031408799</v>
      </c>
      <c r="C1967">
        <v>1859</v>
      </c>
      <c r="D1967" t="s">
        <v>29</v>
      </c>
      <c r="E1967" t="s">
        <v>12</v>
      </c>
      <c r="F1967" t="s">
        <v>25</v>
      </c>
      <c r="G1967" t="s">
        <v>19</v>
      </c>
      <c r="H1967">
        <v>8667</v>
      </c>
      <c r="I1967" t="s">
        <v>3975</v>
      </c>
      <c r="J1967" t="s">
        <v>3976</v>
      </c>
      <c r="K1967" t="s">
        <v>17</v>
      </c>
      <c r="L1967" t="str">
        <f t="shared" si="30"/>
        <v xml:space="preserve">{ longitude: -63.4692867840288, latitude: 44.6140990314088, stopType: 'Bus Stop Accessible', gotime: \'8667\', location: \'COW BAY RD NS CIVIC 443\' }, </v>
      </c>
    </row>
    <row r="1968" spans="1:12" x14ac:dyDescent="0.25">
      <c r="A1968">
        <v>-63.582972518554897</v>
      </c>
      <c r="B1968">
        <v>44.632748990718</v>
      </c>
      <c r="C1968">
        <v>598</v>
      </c>
      <c r="D1968" t="s">
        <v>29</v>
      </c>
      <c r="E1968" t="s">
        <v>12</v>
      </c>
      <c r="F1968" t="s">
        <v>13</v>
      </c>
      <c r="G1968" t="s">
        <v>14</v>
      </c>
      <c r="H1968">
        <v>6966</v>
      </c>
      <c r="I1968" t="s">
        <v>3977</v>
      </c>
      <c r="J1968" t="s">
        <v>3978</v>
      </c>
      <c r="K1968" t="s">
        <v>17</v>
      </c>
      <c r="L1968" t="str">
        <f t="shared" si="30"/>
        <v xml:space="preserve">{ longitude: -63.5829725185549, latitude: 44.632748990718, stopType: 'Bus Stop Accessible', gotime: \'6966\', location: \'INGLIS ST NS ROBIE ST\' }, </v>
      </c>
    </row>
    <row r="1969" spans="1:12" x14ac:dyDescent="0.25">
      <c r="A1969">
        <v>-63.466009399438803</v>
      </c>
      <c r="B1969">
        <v>44.616310358349402</v>
      </c>
      <c r="C1969">
        <v>1860</v>
      </c>
      <c r="D1969" t="s">
        <v>29</v>
      </c>
      <c r="E1969" t="s">
        <v>12</v>
      </c>
      <c r="F1969" t="s">
        <v>25</v>
      </c>
      <c r="G1969" t="s">
        <v>19</v>
      </c>
      <c r="H1969">
        <v>8668</v>
      </c>
      <c r="I1969" t="s">
        <v>3979</v>
      </c>
      <c r="J1969" t="s">
        <v>3980</v>
      </c>
      <c r="K1969" t="s">
        <v>17</v>
      </c>
      <c r="L1969" t="str">
        <f t="shared" si="30"/>
        <v xml:space="preserve">{ longitude: -63.4660093994388, latitude: 44.6163103583494, stopType: 'Bus Stop Accessible', gotime: \'8668\', location: \'COW BAY RD AT CIVIC 535\' }, </v>
      </c>
    </row>
    <row r="1970" spans="1:12" x14ac:dyDescent="0.25">
      <c r="A1970">
        <v>-63.572762220950104</v>
      </c>
      <c r="B1970">
        <v>44.635144008952899</v>
      </c>
      <c r="C1970">
        <v>599</v>
      </c>
      <c r="D1970" t="s">
        <v>29</v>
      </c>
      <c r="E1970" t="s">
        <v>12</v>
      </c>
      <c r="F1970" t="s">
        <v>13</v>
      </c>
      <c r="G1970" t="s">
        <v>14</v>
      </c>
      <c r="H1970">
        <v>6967</v>
      </c>
      <c r="I1970" t="s">
        <v>3981</v>
      </c>
      <c r="J1970" t="s">
        <v>3982</v>
      </c>
      <c r="K1970" t="s">
        <v>17</v>
      </c>
      <c r="L1970" t="str">
        <f t="shared" si="30"/>
        <v xml:space="preserve">{ longitude: -63.5727622209501, latitude: 44.6351440089529, stopType: 'Bus Stop Accessible', gotime: \'6967\', location: \'INGLIS ST NS SOUTH BLAND ST\' }, </v>
      </c>
    </row>
    <row r="1971" spans="1:12" x14ac:dyDescent="0.25">
      <c r="A1971">
        <v>-63.464003359959698</v>
      </c>
      <c r="B1971">
        <v>44.617165159433704</v>
      </c>
      <c r="C1971">
        <v>1861</v>
      </c>
      <c r="D1971" t="s">
        <v>29</v>
      </c>
      <c r="E1971" t="s">
        <v>12</v>
      </c>
      <c r="F1971" t="s">
        <v>25</v>
      </c>
      <c r="G1971" t="s">
        <v>199</v>
      </c>
      <c r="H1971">
        <v>8669</v>
      </c>
      <c r="I1971" t="s">
        <v>3983</v>
      </c>
      <c r="J1971" t="s">
        <v>3984</v>
      </c>
      <c r="K1971" t="s">
        <v>17</v>
      </c>
      <c r="L1971" t="str">
        <f t="shared" si="30"/>
        <v xml:space="preserve">{ longitude: -63.4640033599597, latitude: 44.6171651594337, stopType: 'Bus Stop Accessible', gotime: \'8669\', location: \'SAMUEL DANIEL DR FS COW BAY RD\' }, </v>
      </c>
    </row>
    <row r="1972" spans="1:12" x14ac:dyDescent="0.25">
      <c r="A1972">
        <v>-63.5756060665192</v>
      </c>
      <c r="B1972">
        <v>44.634537078395603</v>
      </c>
      <c r="C1972">
        <v>600</v>
      </c>
      <c r="D1972" t="s">
        <v>29</v>
      </c>
      <c r="E1972" t="s">
        <v>12</v>
      </c>
      <c r="F1972" t="s">
        <v>13</v>
      </c>
      <c r="G1972" t="s">
        <v>14</v>
      </c>
      <c r="H1972">
        <v>6968</v>
      </c>
      <c r="I1972" t="s">
        <v>3985</v>
      </c>
      <c r="J1972" t="s">
        <v>3986</v>
      </c>
      <c r="K1972" t="s">
        <v>17</v>
      </c>
      <c r="L1972" t="str">
        <f t="shared" si="30"/>
        <v xml:space="preserve">{ longitude: -63.5756060665192, latitude: 44.6345370783956, stopType: 'Bus Stop Accessible', gotime: \'6968\', location: \'INGLIS ST NS SOUTH PARK ST\' }, </v>
      </c>
    </row>
    <row r="1973" spans="1:12" x14ac:dyDescent="0.25">
      <c r="A1973">
        <v>-63.550725231485899</v>
      </c>
      <c r="B1973">
        <v>44.657787996700399</v>
      </c>
      <c r="C1973">
        <v>1862</v>
      </c>
      <c r="D1973" t="s">
        <v>11</v>
      </c>
      <c r="E1973" t="s">
        <v>12</v>
      </c>
      <c r="F1973" t="s">
        <v>25</v>
      </c>
      <c r="G1973" t="s">
        <v>199</v>
      </c>
      <c r="H1973">
        <v>8009</v>
      </c>
      <c r="I1973" t="s">
        <v>3987</v>
      </c>
      <c r="J1973" t="s">
        <v>3988</v>
      </c>
      <c r="K1973" t="s">
        <v>17</v>
      </c>
      <c r="L1973" t="str">
        <f t="shared" si="30"/>
        <v xml:space="preserve">{ longitude: -63.5507252314859, latitude: 44.6577879967004, stopType: 'Bus Stop Non-Standard', gotime: \'8009\', location: \'PLEASANT ST OPP CIVIC 243 &lt;SB&gt;\' }, </v>
      </c>
    </row>
    <row r="1974" spans="1:12" x14ac:dyDescent="0.25">
      <c r="A1974">
        <v>-63.5992616417875</v>
      </c>
      <c r="B1974">
        <v>44.642666706804498</v>
      </c>
      <c r="C1974">
        <v>601</v>
      </c>
      <c r="D1974" t="s">
        <v>29</v>
      </c>
      <c r="E1974" t="s">
        <v>12</v>
      </c>
      <c r="F1974" t="s">
        <v>13</v>
      </c>
      <c r="G1974" t="s">
        <v>14</v>
      </c>
      <c r="H1974">
        <v>7406</v>
      </c>
      <c r="I1974" t="s">
        <v>3989</v>
      </c>
      <c r="J1974" t="s">
        <v>3990</v>
      </c>
      <c r="K1974" t="s">
        <v>17</v>
      </c>
      <c r="L1974" t="str">
        <f t="shared" si="30"/>
        <v xml:space="preserve">{ longitude: -63.5992616417875, latitude: 44.6426667068045, stopType: 'Bus Stop Accessible', gotime: \'7406\', location: \'OXFORD ST AT NORWOOD &lt;NB&gt;\' }, </v>
      </c>
    </row>
    <row r="1975" spans="1:12" x14ac:dyDescent="0.25">
      <c r="A1975">
        <v>-63.548700802356102</v>
      </c>
      <c r="B1975">
        <v>44.653586263869002</v>
      </c>
      <c r="C1975">
        <v>1863</v>
      </c>
      <c r="D1975" t="s">
        <v>29</v>
      </c>
      <c r="E1975" t="s">
        <v>12</v>
      </c>
      <c r="F1975" t="s">
        <v>25</v>
      </c>
      <c r="G1975" t="s">
        <v>19</v>
      </c>
      <c r="H1975">
        <v>8010</v>
      </c>
      <c r="I1975" t="s">
        <v>3991</v>
      </c>
      <c r="J1975" t="s">
        <v>3992</v>
      </c>
      <c r="K1975" t="s">
        <v>17</v>
      </c>
      <c r="L1975" t="str">
        <f t="shared" si="30"/>
        <v xml:space="preserve">{ longitude: -63.5487008023561, latitude: 44.653586263869, stopType: 'Bus Stop Accessible', gotime: \'8010\', location: \'PLEASANT ST OPP DART GENERAL &lt;SB&gt;\' }, </v>
      </c>
    </row>
    <row r="1976" spans="1:12" x14ac:dyDescent="0.25">
      <c r="A1976">
        <v>-63.606472518048101</v>
      </c>
      <c r="B1976">
        <v>44.651919950247503</v>
      </c>
      <c r="C1976">
        <v>602</v>
      </c>
      <c r="D1976" t="s">
        <v>29</v>
      </c>
      <c r="E1976" t="s">
        <v>12</v>
      </c>
      <c r="F1976" t="s">
        <v>25</v>
      </c>
      <c r="G1976" t="s">
        <v>19</v>
      </c>
      <c r="H1976">
        <v>7407</v>
      </c>
      <c r="I1976" t="s">
        <v>3993</v>
      </c>
      <c r="J1976" t="s">
        <v>3994</v>
      </c>
      <c r="K1976" t="s">
        <v>17</v>
      </c>
      <c r="L1976" t="str">
        <f t="shared" si="30"/>
        <v xml:space="preserve">{ longitude: -63.6064725180481, latitude: 44.6519199502475, stopType: 'Bus Stop Accessible', gotime: \'7407\', location: \'OXFORD ST FS ALMON ST &lt;NB&gt;\' }, </v>
      </c>
    </row>
    <row r="1977" spans="1:12" x14ac:dyDescent="0.25">
      <c r="A1977">
        <v>-63.606051363953803</v>
      </c>
      <c r="B1977">
        <v>44.651430666977603</v>
      </c>
      <c r="C1977">
        <v>603</v>
      </c>
      <c r="D1977" t="s">
        <v>22</v>
      </c>
      <c r="E1977" t="s">
        <v>12</v>
      </c>
      <c r="F1977" t="s">
        <v>25</v>
      </c>
      <c r="G1977" t="s">
        <v>19</v>
      </c>
      <c r="H1977">
        <v>7408</v>
      </c>
      <c r="I1977" t="s">
        <v>3995</v>
      </c>
      <c r="J1977" t="s">
        <v>3996</v>
      </c>
      <c r="K1977" t="s">
        <v>17</v>
      </c>
      <c r="L1977" t="str">
        <f t="shared" si="30"/>
        <v xml:space="preserve">{ longitude: -63.6060513639538, latitude: 44.6514306669776, stopType: 'Bus Stop Shelter Accessible', gotime: \'7408\', location: \'OXFORD ST FS ALMON ST &lt;SB&gt;\' }, </v>
      </c>
    </row>
    <row r="1978" spans="1:12" x14ac:dyDescent="0.25">
      <c r="A1978">
        <v>-63.598331616950901</v>
      </c>
      <c r="B1978">
        <v>44.640580598365801</v>
      </c>
      <c r="C1978">
        <v>604</v>
      </c>
      <c r="D1978" t="s">
        <v>29</v>
      </c>
      <c r="E1978" t="s">
        <v>12</v>
      </c>
      <c r="F1978" t="s">
        <v>13</v>
      </c>
      <c r="G1978" t="s">
        <v>14</v>
      </c>
      <c r="H1978">
        <v>7409</v>
      </c>
      <c r="I1978" t="s">
        <v>3997</v>
      </c>
      <c r="J1978" t="s">
        <v>3998</v>
      </c>
      <c r="K1978" t="s">
        <v>17</v>
      </c>
      <c r="L1978" t="str">
        <f t="shared" si="30"/>
        <v xml:space="preserve">{ longitude: -63.5983316169509, latitude: 44.6405805983658, stopType: 'Bus Stop Accessible', gotime: \'7409\', location: \'OXFORD ST FS JUBILEE RD &lt;SB&gt;\' }, </v>
      </c>
    </row>
    <row r="1979" spans="1:12" x14ac:dyDescent="0.25">
      <c r="A1979">
        <v>-63.541286292835501</v>
      </c>
      <c r="B1979">
        <v>44.644452494165201</v>
      </c>
      <c r="C1979">
        <v>1864</v>
      </c>
      <c r="D1979" t="s">
        <v>11</v>
      </c>
      <c r="E1979" t="s">
        <v>12</v>
      </c>
      <c r="F1979" t="s">
        <v>25</v>
      </c>
      <c r="G1979" t="s">
        <v>199</v>
      </c>
      <c r="H1979">
        <v>8011</v>
      </c>
      <c r="I1979" t="s">
        <v>3999</v>
      </c>
      <c r="J1979" t="s">
        <v>4000</v>
      </c>
      <c r="K1979" t="s">
        <v>17</v>
      </c>
      <c r="L1979" t="str">
        <f t="shared" si="30"/>
        <v xml:space="preserve">{ longitude: -63.5412862928355, latitude: 44.6444524941652, stopType: 'Bus Stop Non-Standard', gotime: \'8011\', location: \'PLEASANT ST OPP EVERETTE ST &lt;SB&gt;\' }, </v>
      </c>
    </row>
    <row r="1980" spans="1:12" x14ac:dyDescent="0.25">
      <c r="A1980">
        <v>-63.598388000559602</v>
      </c>
      <c r="B1980">
        <v>44.641058391943602</v>
      </c>
      <c r="C1980">
        <v>605</v>
      </c>
      <c r="D1980" t="s">
        <v>29</v>
      </c>
      <c r="E1980" t="s">
        <v>12</v>
      </c>
      <c r="F1980" t="s">
        <v>13</v>
      </c>
      <c r="G1980" t="s">
        <v>14</v>
      </c>
      <c r="H1980">
        <v>7410</v>
      </c>
      <c r="I1980" t="s">
        <v>4001</v>
      </c>
      <c r="J1980" t="s">
        <v>4002</v>
      </c>
      <c r="K1980" t="s">
        <v>17</v>
      </c>
      <c r="L1980" t="str">
        <f t="shared" si="30"/>
        <v xml:space="preserve">{ longitude: -63.5983880005596, latitude: 44.6410583919436, stopType: 'Bus Stop Accessible', gotime: \'7410\', location: \'OXFORD ST FS JUBLILEE RD&lt;NB&gt;\' }, </v>
      </c>
    </row>
    <row r="1981" spans="1:12" x14ac:dyDescent="0.25">
      <c r="A1981">
        <v>-63.602919080438397</v>
      </c>
      <c r="B1981">
        <v>44.649336158572297</v>
      </c>
      <c r="C1981">
        <v>606</v>
      </c>
      <c r="D1981" t="s">
        <v>22</v>
      </c>
      <c r="E1981" t="s">
        <v>12</v>
      </c>
      <c r="F1981" t="s">
        <v>25</v>
      </c>
      <c r="G1981" t="s">
        <v>19</v>
      </c>
      <c r="H1981">
        <v>7411</v>
      </c>
      <c r="I1981" t="s">
        <v>4003</v>
      </c>
      <c r="J1981" t="s">
        <v>4004</v>
      </c>
      <c r="K1981" t="s">
        <v>17</v>
      </c>
      <c r="L1981" t="str">
        <f t="shared" si="30"/>
        <v xml:space="preserve">{ longitude: -63.6029190804384, latitude: 44.6493361585723, stopType: 'Bus Stop Shelter Accessible', gotime: \'7411\', location: \'OXFORD ST FS NORTH ST &lt;NB&gt;\' }, </v>
      </c>
    </row>
    <row r="1982" spans="1:12" x14ac:dyDescent="0.25">
      <c r="A1982">
        <v>-63.510187682909098</v>
      </c>
      <c r="B1982">
        <v>44.623271314613902</v>
      </c>
      <c r="C1982">
        <v>1865</v>
      </c>
      <c r="D1982" t="s">
        <v>22</v>
      </c>
      <c r="E1982" t="s">
        <v>12</v>
      </c>
      <c r="F1982" t="s">
        <v>13</v>
      </c>
      <c r="G1982" t="s">
        <v>19</v>
      </c>
      <c r="H1982">
        <v>8012</v>
      </c>
      <c r="I1982" t="s">
        <v>4005</v>
      </c>
      <c r="J1982" t="s">
        <v>4006</v>
      </c>
      <c r="K1982" t="s">
        <v>17</v>
      </c>
      <c r="L1982" t="str">
        <f t="shared" si="30"/>
        <v xml:space="preserve">{ longitude: -63.5101876829091, latitude: 44.6232713146139, stopType: 'Bus Stop Shelter Accessible', gotime: \'8012\', location: \'PLEASANT ST OPP HOWARD &lt;SB&gt;\' }, </v>
      </c>
    </row>
    <row r="1983" spans="1:12" x14ac:dyDescent="0.25">
      <c r="A1983">
        <v>-63.615311814216</v>
      </c>
      <c r="B1983">
        <v>44.633865193177101</v>
      </c>
      <c r="C1983">
        <v>607</v>
      </c>
      <c r="D1983" t="s">
        <v>22</v>
      </c>
      <c r="E1983" t="s">
        <v>12</v>
      </c>
      <c r="F1983" t="s">
        <v>13</v>
      </c>
      <c r="G1983" t="s">
        <v>14</v>
      </c>
      <c r="H1983">
        <v>8122</v>
      </c>
      <c r="I1983" t="s">
        <v>4007</v>
      </c>
      <c r="J1983" t="s">
        <v>4008</v>
      </c>
      <c r="K1983" t="s">
        <v>17</v>
      </c>
      <c r="L1983" t="str">
        <f t="shared" si="30"/>
        <v xml:space="preserve">{ longitude: -63.615311814216, latitude: 44.6338651931771, stopType: 'Bus Stop Shelter Accessible', gotime: \'8122\', location: \'PURCELLS COVE RD OPP CIVIC 85\' }, </v>
      </c>
    </row>
    <row r="1984" spans="1:12" x14ac:dyDescent="0.25">
      <c r="A1984">
        <v>-63.534054306822298</v>
      </c>
      <c r="B1984">
        <v>44.641169632405699</v>
      </c>
      <c r="C1984">
        <v>1866</v>
      </c>
      <c r="D1984" t="s">
        <v>29</v>
      </c>
      <c r="E1984" t="s">
        <v>12</v>
      </c>
      <c r="F1984" t="s">
        <v>25</v>
      </c>
      <c r="G1984" t="s">
        <v>26</v>
      </c>
      <c r="H1984">
        <v>8013</v>
      </c>
      <c r="I1984" t="s">
        <v>4009</v>
      </c>
      <c r="J1984" t="s">
        <v>4010</v>
      </c>
      <c r="K1984" t="s">
        <v>17</v>
      </c>
      <c r="L1984" t="str">
        <f t="shared" si="30"/>
        <v xml:space="preserve">{ longitude: -63.5340543068223, latitude: 44.6411696324057, stopType: 'Bus Stop Accessible', gotime: \'8013\', location: \'PLEASANT ST OPP IMPERIAL REFN &lt;EB&gt;\' }, </v>
      </c>
    </row>
    <row r="1985" spans="1:12" x14ac:dyDescent="0.25">
      <c r="A1985">
        <v>-63.561646079663198</v>
      </c>
      <c r="B1985">
        <v>44.6013955233704</v>
      </c>
      <c r="C1985">
        <v>608</v>
      </c>
      <c r="D1985" t="s">
        <v>103</v>
      </c>
      <c r="E1985" t="s">
        <v>12</v>
      </c>
      <c r="F1985" t="s">
        <v>25</v>
      </c>
      <c r="G1985" t="s">
        <v>65</v>
      </c>
      <c r="H1985">
        <v>8123</v>
      </c>
      <c r="I1985" t="s">
        <v>4011</v>
      </c>
      <c r="J1985" t="s">
        <v>4012</v>
      </c>
      <c r="K1985" t="s">
        <v>17</v>
      </c>
      <c r="L1985" t="str">
        <f t="shared" si="30"/>
        <v xml:space="preserve">{ longitude: -63.5616460796632, latitude: 44.6013955233704, stopType: 'Bus Stop Inaccessible', gotime: \'8123\', location: \'PURCELLS COVE RD OPP DEVILS HILL\' }, </v>
      </c>
    </row>
    <row r="1986" spans="1:12" x14ac:dyDescent="0.25">
      <c r="A1986">
        <v>-63.4974082606211</v>
      </c>
      <c r="B1986">
        <v>44.614169383602402</v>
      </c>
      <c r="C1986">
        <v>1867</v>
      </c>
      <c r="D1986" t="s">
        <v>29</v>
      </c>
      <c r="E1986" t="s">
        <v>12</v>
      </c>
      <c r="F1986" t="s">
        <v>25</v>
      </c>
      <c r="G1986" t="s">
        <v>199</v>
      </c>
      <c r="H1986">
        <v>8014</v>
      </c>
      <c r="I1986" t="s">
        <v>4013</v>
      </c>
      <c r="J1986" t="s">
        <v>4014</v>
      </c>
      <c r="K1986" t="s">
        <v>17</v>
      </c>
      <c r="L1986" t="str">
        <f t="shared" si="30"/>
        <v xml:space="preserve">{ longitude: -63.4974082606211, latitude: 44.6141693836024, stopType: 'Bus Stop Accessible', gotime: \'8014\', location: \'PLEASANT ST OPP LANGILLES LANE &lt;SB&gt;\' }, </v>
      </c>
    </row>
    <row r="1987" spans="1:12" x14ac:dyDescent="0.25">
      <c r="A1987">
        <v>-63.563893863009604</v>
      </c>
      <c r="B1987">
        <v>44.6068410520678</v>
      </c>
      <c r="C1987">
        <v>609</v>
      </c>
      <c r="D1987" t="s">
        <v>103</v>
      </c>
      <c r="E1987" t="s">
        <v>12</v>
      </c>
      <c r="F1987" t="s">
        <v>13</v>
      </c>
      <c r="G1987" t="s">
        <v>65</v>
      </c>
      <c r="H1987">
        <v>8124</v>
      </c>
      <c r="I1987" t="s">
        <v>4015</v>
      </c>
      <c r="J1987" t="s">
        <v>4016</v>
      </c>
      <c r="K1987" t="s">
        <v>17</v>
      </c>
      <c r="L1987" t="str">
        <f t="shared" ref="L1987:L2050" si="31">CONCATENATE( "{ longitude: ", A1987, ", latitude: ", B1987, ", stopType: '", D1987, "', gotime: \'", H1987, "\', location: \'", I1987, "\' }, ")</f>
        <v xml:space="preserve">{ longitude: -63.5638938630096, latitude: 44.6068410520678, stopType: 'Bus Stop Inaccessible', gotime: \'8124\', location: \'PURCELLS COVE RD OPP FERGUSON COVE RD\' }, </v>
      </c>
    </row>
    <row r="1988" spans="1:12" x14ac:dyDescent="0.25">
      <c r="A1988">
        <v>-63.572285618824701</v>
      </c>
      <c r="B1988">
        <v>44.6094470327224</v>
      </c>
      <c r="C1988">
        <v>1868</v>
      </c>
      <c r="D1988" t="s">
        <v>11</v>
      </c>
      <c r="E1988" t="s">
        <v>12</v>
      </c>
      <c r="F1988" t="s">
        <v>13</v>
      </c>
      <c r="G1988" t="s">
        <v>14</v>
      </c>
      <c r="H1988">
        <v>8103</v>
      </c>
      <c r="I1988" t="s">
        <v>4017</v>
      </c>
      <c r="J1988" t="s">
        <v>4018</v>
      </c>
      <c r="K1988" t="s">
        <v>17</v>
      </c>
      <c r="L1988" t="str">
        <f t="shared" si="31"/>
        <v xml:space="preserve">{ longitude: -63.5722856188247, latitude: 44.6094470327224, stopType: 'Bus Stop Non-Standard', gotime: \'8103\', location: \'PURCELLS COVE RD AT CIVIC 533\' }, </v>
      </c>
    </row>
    <row r="1989" spans="1:12" x14ac:dyDescent="0.25">
      <c r="A1989">
        <v>-63.5825754858949</v>
      </c>
      <c r="B1989">
        <v>44.620557188756599</v>
      </c>
      <c r="C1989">
        <v>610</v>
      </c>
      <c r="D1989" t="s">
        <v>29</v>
      </c>
      <c r="E1989" t="s">
        <v>12</v>
      </c>
      <c r="F1989" t="s">
        <v>13</v>
      </c>
      <c r="G1989" t="s">
        <v>19</v>
      </c>
      <c r="H1989">
        <v>8125</v>
      </c>
      <c r="I1989" t="s">
        <v>4019</v>
      </c>
      <c r="J1989" t="s">
        <v>4020</v>
      </c>
      <c r="K1989" t="s">
        <v>17</v>
      </c>
      <c r="L1989" t="str">
        <f t="shared" si="31"/>
        <v xml:space="preserve">{ longitude: -63.5825754858949, latitude: 44.6205571887566, stopType: 'Bus Stop Accessible', gotime: \'8125\', location: \'PURCELLS COVE RD OPP RNYS\' }, </v>
      </c>
    </row>
    <row r="1990" spans="1:12" x14ac:dyDescent="0.25">
      <c r="A1990">
        <v>-63.568960261633499</v>
      </c>
      <c r="B1990">
        <v>44.608889520992399</v>
      </c>
      <c r="C1990">
        <v>1869</v>
      </c>
      <c r="D1990" t="s">
        <v>18</v>
      </c>
      <c r="E1990" t="s">
        <v>12</v>
      </c>
      <c r="F1990" t="s">
        <v>13</v>
      </c>
      <c r="G1990" t="s">
        <v>19</v>
      </c>
      <c r="H1990">
        <v>8104</v>
      </c>
      <c r="I1990" t="s">
        <v>4021</v>
      </c>
      <c r="J1990" t="s">
        <v>4022</v>
      </c>
      <c r="K1990" t="s">
        <v>17</v>
      </c>
      <c r="L1990" t="str">
        <f t="shared" si="31"/>
        <v xml:space="preserve">{ longitude: -63.5689602616335, latitude: 44.6088895209924, stopType: 'Bus Stop Shelter Non-Standard', gotime: \'8104\', location: \'PURCELLS COVE RD AT CIVIC 558\' }, </v>
      </c>
    </row>
    <row r="1991" spans="1:12" x14ac:dyDescent="0.25">
      <c r="A1991">
        <v>-63.631326752467103</v>
      </c>
      <c r="B1991">
        <v>44.6364520958371</v>
      </c>
      <c r="C1991">
        <v>611</v>
      </c>
      <c r="D1991" t="s">
        <v>22</v>
      </c>
      <c r="E1991" t="s">
        <v>12</v>
      </c>
      <c r="F1991" t="s">
        <v>25</v>
      </c>
      <c r="G1991" t="s">
        <v>26</v>
      </c>
      <c r="H1991">
        <v>8126</v>
      </c>
      <c r="I1991" t="s">
        <v>4023</v>
      </c>
      <c r="J1991" t="s">
        <v>4024</v>
      </c>
      <c r="K1991" t="s">
        <v>17</v>
      </c>
      <c r="L1991" t="str">
        <f t="shared" si="31"/>
        <v xml:space="preserve">{ longitude: -63.6313267524671, latitude: 44.6364520958371, stopType: 'Bus Stop Shelter Accessible', gotime: \'8126\', location: \'QUARRY NS ST MARGARETS BAY RD\' }, </v>
      </c>
    </row>
    <row r="1992" spans="1:12" x14ac:dyDescent="0.25">
      <c r="A1992">
        <v>-63.566443688387899</v>
      </c>
      <c r="B1992">
        <v>44.607638609869703</v>
      </c>
      <c r="C1992">
        <v>1870</v>
      </c>
      <c r="D1992" t="s">
        <v>103</v>
      </c>
      <c r="E1992" t="s">
        <v>12</v>
      </c>
      <c r="F1992" t="s">
        <v>13</v>
      </c>
      <c r="G1992" t="s">
        <v>65</v>
      </c>
      <c r="H1992">
        <v>8105</v>
      </c>
      <c r="I1992" t="s">
        <v>4025</v>
      </c>
      <c r="J1992" t="s">
        <v>4026</v>
      </c>
      <c r="K1992" t="s">
        <v>17</v>
      </c>
      <c r="L1992" t="str">
        <f t="shared" si="31"/>
        <v xml:space="preserve">{ longitude: -63.5664436883879, latitude: 44.6076386098697, stopType: 'Bus Stop Inaccessible', gotime: \'8105\', location: \'PURCELLS COVE RD AT CIVIC 600\' }, </v>
      </c>
    </row>
    <row r="1993" spans="1:12" x14ac:dyDescent="0.25">
      <c r="A1993">
        <v>-63.5670129992697</v>
      </c>
      <c r="B1993">
        <v>44.6076549621231</v>
      </c>
      <c r="C1993">
        <v>1871</v>
      </c>
      <c r="D1993" t="s">
        <v>11</v>
      </c>
      <c r="E1993" t="s">
        <v>12</v>
      </c>
      <c r="F1993" t="s">
        <v>13</v>
      </c>
      <c r="G1993" t="s">
        <v>14</v>
      </c>
      <c r="H1993">
        <v>8106</v>
      </c>
      <c r="I1993" t="s">
        <v>4027</v>
      </c>
      <c r="J1993" t="s">
        <v>4028</v>
      </c>
      <c r="K1993" t="s">
        <v>17</v>
      </c>
      <c r="L1993" t="str">
        <f t="shared" si="31"/>
        <v xml:space="preserve">{ longitude: -63.5670129992697, latitude: 44.6076549621231, stopType: 'Bus Stop Non-Standard', gotime: \'8106\', location: \'PURCELLS COVE RD AT CIVIC 601\' }, </v>
      </c>
    </row>
    <row r="1994" spans="1:12" x14ac:dyDescent="0.25">
      <c r="A1994">
        <v>-63.613696598160402</v>
      </c>
      <c r="B1994">
        <v>44.640332156498197</v>
      </c>
      <c r="C1994">
        <v>612</v>
      </c>
      <c r="D1994" t="s">
        <v>22</v>
      </c>
      <c r="E1994" t="s">
        <v>12</v>
      </c>
      <c r="F1994" t="s">
        <v>13</v>
      </c>
      <c r="G1994" t="s">
        <v>14</v>
      </c>
      <c r="H1994">
        <v>8130</v>
      </c>
      <c r="I1994" t="s">
        <v>4029</v>
      </c>
      <c r="J1994" t="s">
        <v>4030</v>
      </c>
      <c r="K1994" t="s">
        <v>17</v>
      </c>
      <c r="L1994" t="str">
        <f t="shared" si="31"/>
        <v xml:space="preserve">{ longitude: -63.6136965981604, latitude: 44.6403321564982, stopType: 'Bus Stop Shelter Accessible', gotime: \'8130\', location: \'QUINPOOL RD AT HORSE SHOE ISLAND\' }, </v>
      </c>
    </row>
    <row r="1995" spans="1:12" x14ac:dyDescent="0.25">
      <c r="A1995">
        <v>-63.615045059938197</v>
      </c>
      <c r="B1995">
        <v>44.6337359593252</v>
      </c>
      <c r="C1995">
        <v>1872</v>
      </c>
      <c r="D1995" t="s">
        <v>11</v>
      </c>
      <c r="E1995" t="s">
        <v>12</v>
      </c>
      <c r="F1995" t="s">
        <v>13</v>
      </c>
      <c r="G1995" t="s">
        <v>19</v>
      </c>
      <c r="H1995">
        <v>8107</v>
      </c>
      <c r="I1995" t="s">
        <v>4031</v>
      </c>
      <c r="J1995" t="s">
        <v>4032</v>
      </c>
      <c r="K1995" t="s">
        <v>17</v>
      </c>
      <c r="L1995" t="str">
        <f t="shared" si="31"/>
        <v xml:space="preserve">{ longitude: -63.6150450599382, latitude: 44.6337359593252, stopType: 'Bus Stop Non-Standard', gotime: \'8107\', location: \'PURCELLS COVE RD AT CIVIC 87\' }, </v>
      </c>
    </row>
    <row r="1996" spans="1:12" x14ac:dyDescent="0.25">
      <c r="A1996">
        <v>-63.608861394999401</v>
      </c>
      <c r="B1996">
        <v>44.641962728308798</v>
      </c>
      <c r="C1996">
        <v>613</v>
      </c>
      <c r="D1996" t="s">
        <v>29</v>
      </c>
      <c r="E1996" t="s">
        <v>12</v>
      </c>
      <c r="F1996" t="s">
        <v>13</v>
      </c>
      <c r="G1996" t="s">
        <v>14</v>
      </c>
      <c r="H1996">
        <v>8131</v>
      </c>
      <c r="I1996" t="s">
        <v>4033</v>
      </c>
      <c r="J1996" t="s">
        <v>4034</v>
      </c>
      <c r="K1996" t="s">
        <v>17</v>
      </c>
      <c r="L1996" t="str">
        <f t="shared" si="31"/>
        <v xml:space="preserve">{ longitude: -63.6088613949994, latitude: 44.6419627283088, stopType: 'Bus Stop Accessible', gotime: \'8131\', location: \'QUINPOOL RD FS ARMCRESCENT\' }, </v>
      </c>
    </row>
    <row r="1997" spans="1:12" x14ac:dyDescent="0.25">
      <c r="A1997">
        <v>-63.619738349724997</v>
      </c>
      <c r="B1997">
        <v>44.641301993505003</v>
      </c>
      <c r="C1997">
        <v>614</v>
      </c>
      <c r="D1997" t="s">
        <v>22</v>
      </c>
      <c r="E1997" t="s">
        <v>12</v>
      </c>
      <c r="F1997" t="s">
        <v>13</v>
      </c>
      <c r="G1997" t="s">
        <v>14</v>
      </c>
      <c r="H1997">
        <v>8132</v>
      </c>
      <c r="I1997" t="s">
        <v>4035</v>
      </c>
      <c r="J1997" t="s">
        <v>4036</v>
      </c>
      <c r="K1997" t="s">
        <v>17</v>
      </c>
      <c r="L1997" t="str">
        <f t="shared" si="31"/>
        <v xml:space="preserve">{ longitude: -63.619738349725, latitude: 44.641301993505, stopType: 'Bus Stop Shelter Accessible', gotime: \'8132\', location: \'QUINPOOL RD FS ARMDALE ROTARY\' }, </v>
      </c>
    </row>
    <row r="1998" spans="1:12" x14ac:dyDescent="0.25">
      <c r="A1998">
        <v>-63.5827987727587</v>
      </c>
      <c r="B1998">
        <v>44.620909704958997</v>
      </c>
      <c r="C1998">
        <v>1873</v>
      </c>
      <c r="D1998" t="s">
        <v>11</v>
      </c>
      <c r="E1998" t="s">
        <v>12</v>
      </c>
      <c r="F1998" t="s">
        <v>13</v>
      </c>
      <c r="G1998" t="s">
        <v>14</v>
      </c>
      <c r="H1998">
        <v>8108</v>
      </c>
      <c r="I1998" t="s">
        <v>4037</v>
      </c>
      <c r="J1998" t="s">
        <v>4038</v>
      </c>
      <c r="K1998" t="s">
        <v>17</v>
      </c>
      <c r="L1998" t="str">
        <f t="shared" si="31"/>
        <v xml:space="preserve">{ longitude: -63.5827987727587, latitude: 44.620909704959, stopType: 'Bus Stop Non-Standard', gotime: \'8108\', location: \'PURCELLS COVE RD AT RNSYS\' }, </v>
      </c>
    </row>
    <row r="1999" spans="1:12" x14ac:dyDescent="0.25">
      <c r="A1999">
        <v>-63.602336149104801</v>
      </c>
      <c r="B1999">
        <v>44.643808507358301</v>
      </c>
      <c r="C1999">
        <v>615</v>
      </c>
      <c r="D1999" t="s">
        <v>29</v>
      </c>
      <c r="E1999" t="s">
        <v>12</v>
      </c>
      <c r="F1999" t="s">
        <v>13</v>
      </c>
      <c r="G1999" t="s">
        <v>19</v>
      </c>
      <c r="H1999">
        <v>8133</v>
      </c>
      <c r="I1999" t="s">
        <v>4039</v>
      </c>
      <c r="J1999" t="s">
        <v>4040</v>
      </c>
      <c r="K1999" t="s">
        <v>17</v>
      </c>
      <c r="L1999" t="str">
        <f t="shared" si="31"/>
        <v xml:space="preserve">{ longitude: -63.6023361491048, latitude: 44.6438085073583, stopType: 'Bus Stop Accessible', gotime: \'8133\', location: \'QUINPOOL RD NS BEECH &lt;EB&gt;\' }, </v>
      </c>
    </row>
    <row r="2000" spans="1:12" x14ac:dyDescent="0.25">
      <c r="A2000">
        <v>-63.568321503948397</v>
      </c>
      <c r="B2000">
        <v>44.608551047982999</v>
      </c>
      <c r="C2000">
        <v>1874</v>
      </c>
      <c r="D2000" t="s">
        <v>103</v>
      </c>
      <c r="E2000" t="s">
        <v>12</v>
      </c>
      <c r="F2000" t="s">
        <v>25</v>
      </c>
      <c r="G2000" t="s">
        <v>65</v>
      </c>
      <c r="H2000">
        <v>8109</v>
      </c>
      <c r="I2000" t="s">
        <v>4041</v>
      </c>
      <c r="J2000" t="s">
        <v>4042</v>
      </c>
      <c r="K2000" t="s">
        <v>17</v>
      </c>
      <c r="L2000" t="str">
        <f t="shared" si="31"/>
        <v xml:space="preserve">{ longitude: -63.5683215039484, latitude: 44.608551047983, stopType: 'Bus Stop Inaccessible', gotime: \'8109\', location: \'PURCELLS COVE RD NS BATTERY DR\' }, </v>
      </c>
    </row>
    <row r="2001" spans="1:12" x14ac:dyDescent="0.25">
      <c r="A2001">
        <v>-63.602632732239201</v>
      </c>
      <c r="B2001">
        <v>44.643901105987702</v>
      </c>
      <c r="C2001">
        <v>616</v>
      </c>
      <c r="D2001" t="s">
        <v>29</v>
      </c>
      <c r="E2001" t="s">
        <v>12</v>
      </c>
      <c r="F2001" t="s">
        <v>13</v>
      </c>
      <c r="G2001" t="s">
        <v>14</v>
      </c>
      <c r="H2001">
        <v>8134</v>
      </c>
      <c r="I2001" t="s">
        <v>4043</v>
      </c>
      <c r="J2001" t="s">
        <v>4044</v>
      </c>
      <c r="K2001" t="s">
        <v>17</v>
      </c>
      <c r="L2001" t="str">
        <f t="shared" si="31"/>
        <v xml:space="preserve">{ longitude: -63.6026327322392, latitude: 44.6439011059877, stopType: 'Bus Stop Accessible', gotime: \'8134\', location: \'QUINPOOL RD FS BEECH &lt;WB&gt;\' }, </v>
      </c>
    </row>
    <row r="2002" spans="1:12" x14ac:dyDescent="0.25">
      <c r="A2002">
        <v>-63.559831540039397</v>
      </c>
      <c r="B2002">
        <v>44.599868626112801</v>
      </c>
      <c r="C2002">
        <v>1875</v>
      </c>
      <c r="D2002" t="s">
        <v>11</v>
      </c>
      <c r="E2002" t="s">
        <v>12</v>
      </c>
      <c r="F2002" t="s">
        <v>25</v>
      </c>
      <c r="G2002" t="s">
        <v>26</v>
      </c>
      <c r="H2002">
        <v>8110</v>
      </c>
      <c r="I2002" t="s">
        <v>4045</v>
      </c>
      <c r="J2002" t="s">
        <v>4046</v>
      </c>
      <c r="K2002" t="s">
        <v>17</v>
      </c>
      <c r="L2002" t="str">
        <f t="shared" si="31"/>
        <v xml:space="preserve">{ longitude: -63.5598315400394, latitude: 44.5998686261128, stopType: 'Bus Stop Non-Standard', gotime: \'8110\', location: \'PURCELLS COVE RD NS COUNTRY CR\' }, </v>
      </c>
    </row>
    <row r="2003" spans="1:12" x14ac:dyDescent="0.25">
      <c r="A2003">
        <v>-63.558799083653298</v>
      </c>
      <c r="B2003">
        <v>44.599059135647103</v>
      </c>
      <c r="C2003">
        <v>1876</v>
      </c>
      <c r="D2003" t="s">
        <v>103</v>
      </c>
      <c r="E2003" t="s">
        <v>12</v>
      </c>
      <c r="F2003" t="s">
        <v>25</v>
      </c>
      <c r="G2003" t="s">
        <v>65</v>
      </c>
      <c r="H2003">
        <v>8111</v>
      </c>
      <c r="I2003" t="s">
        <v>4047</v>
      </c>
      <c r="J2003" t="s">
        <v>4048</v>
      </c>
      <c r="K2003" t="s">
        <v>17</v>
      </c>
      <c r="L2003" t="str">
        <f t="shared" si="31"/>
        <v xml:space="preserve">{ longitude: -63.5587990836533, latitude: 44.5990591356471, stopType: 'Bus Stop Inaccessible', gotime: \'8111\', location: \'PURCELLS COVE RD NS HOMESTEAD RD\' }, </v>
      </c>
    </row>
    <row r="2004" spans="1:12" x14ac:dyDescent="0.25">
      <c r="A2004">
        <v>-63.6041564695593</v>
      </c>
      <c r="B2004">
        <v>44.6432689549044</v>
      </c>
      <c r="C2004">
        <v>617</v>
      </c>
      <c r="D2004" t="s">
        <v>29</v>
      </c>
      <c r="E2004" t="s">
        <v>12</v>
      </c>
      <c r="F2004" t="s">
        <v>13</v>
      </c>
      <c r="G2004" t="s">
        <v>14</v>
      </c>
      <c r="H2004">
        <v>8135</v>
      </c>
      <c r="I2004" t="s">
        <v>4049</v>
      </c>
      <c r="J2004" t="s">
        <v>4050</v>
      </c>
      <c r="K2004" t="s">
        <v>17</v>
      </c>
      <c r="L2004" t="str">
        <f t="shared" si="31"/>
        <v xml:space="preserve">{ longitude: -63.6041564695593, latitude: 44.6432689549044, stopType: 'Bus Stop Accessible', gotime: \'8135\', location: \'QUINPOOL RD FS CONNAUGHT AVE &lt;EB&gt;\' }, </v>
      </c>
    </row>
    <row r="2005" spans="1:12" x14ac:dyDescent="0.25">
      <c r="A2005">
        <v>-63.575034960986599</v>
      </c>
      <c r="B2005">
        <v>44.612619543106497</v>
      </c>
      <c r="C2005">
        <v>1877</v>
      </c>
      <c r="D2005" t="s">
        <v>103</v>
      </c>
      <c r="E2005" t="s">
        <v>12</v>
      </c>
      <c r="F2005" t="s">
        <v>25</v>
      </c>
      <c r="G2005" t="s">
        <v>65</v>
      </c>
      <c r="H2005">
        <v>8112</v>
      </c>
      <c r="I2005" t="s">
        <v>4051</v>
      </c>
      <c r="J2005" t="s">
        <v>4052</v>
      </c>
      <c r="K2005" t="s">
        <v>17</v>
      </c>
      <c r="L2005" t="str">
        <f t="shared" si="31"/>
        <v xml:space="preserve">{ longitude: -63.5750349609866, latitude: 44.6126195431065, stopType: 'Bus Stop Inaccessible', gotime: \'8112\', location: \'PURCELLS COVE RD NS KEEFE DR\' }, </v>
      </c>
    </row>
    <row r="2006" spans="1:12" x14ac:dyDescent="0.25">
      <c r="A2006">
        <v>-63.599864097614699</v>
      </c>
      <c r="B2006">
        <v>44.644548630525797</v>
      </c>
      <c r="C2006">
        <v>618</v>
      </c>
      <c r="D2006" t="s">
        <v>29</v>
      </c>
      <c r="E2006" t="s">
        <v>12</v>
      </c>
      <c r="F2006" t="s">
        <v>13</v>
      </c>
      <c r="G2006" t="s">
        <v>14</v>
      </c>
      <c r="H2006">
        <v>8136</v>
      </c>
      <c r="I2006" t="s">
        <v>4053</v>
      </c>
      <c r="J2006" t="s">
        <v>4054</v>
      </c>
      <c r="K2006" t="s">
        <v>17</v>
      </c>
      <c r="L2006" t="str">
        <f t="shared" si="31"/>
        <v xml:space="preserve">{ longitude: -63.5998640976147, latitude: 44.6445486305258, stopType: 'Bus Stop Accessible', gotime: \'8136\', location: \'QUINPOOL RD FS OXFORD ST &lt;EB&gt;\' }, </v>
      </c>
    </row>
    <row r="2007" spans="1:12" x14ac:dyDescent="0.25">
      <c r="A2007">
        <v>-63.578161890981903</v>
      </c>
      <c r="B2007">
        <v>44.618457090164497</v>
      </c>
      <c r="C2007">
        <v>1878</v>
      </c>
      <c r="D2007" t="s">
        <v>11</v>
      </c>
      <c r="E2007" t="s">
        <v>12</v>
      </c>
      <c r="F2007" t="s">
        <v>13</v>
      </c>
      <c r="G2007" t="s">
        <v>14</v>
      </c>
      <c r="H2007">
        <v>8113</v>
      </c>
      <c r="I2007" t="s">
        <v>4055</v>
      </c>
      <c r="J2007" t="s">
        <v>4056</v>
      </c>
      <c r="K2007" t="s">
        <v>17</v>
      </c>
      <c r="L2007" t="str">
        <f t="shared" si="31"/>
        <v xml:space="preserve">{ longitude: -63.5781618909819, latitude: 44.6184570901645, stopType: 'Bus Stop Non-Standard', gotime: \'8113\', location: \'PURCELLS COVE RD NS MELVIN RD\' }, </v>
      </c>
    </row>
    <row r="2008" spans="1:12" x14ac:dyDescent="0.25">
      <c r="A2008">
        <v>-63.577749316077302</v>
      </c>
      <c r="B2008">
        <v>44.615219134558501</v>
      </c>
      <c r="C2008">
        <v>1879</v>
      </c>
      <c r="D2008" t="s">
        <v>29</v>
      </c>
      <c r="E2008" t="s">
        <v>12</v>
      </c>
      <c r="F2008" t="s">
        <v>13</v>
      </c>
      <c r="G2008" t="s">
        <v>19</v>
      </c>
      <c r="H2008">
        <v>8114</v>
      </c>
      <c r="I2008" t="s">
        <v>4057</v>
      </c>
      <c r="J2008" t="s">
        <v>4058</v>
      </c>
      <c r="K2008" t="s">
        <v>17</v>
      </c>
      <c r="L2008" t="str">
        <f t="shared" si="31"/>
        <v xml:space="preserve">{ longitude: -63.5777493160773, latitude: 44.6152191345585, stopType: 'Bus Stop Accessible', gotime: \'8114\', location: \'PURCELLS COVE RD NS OCEANVIEW DR\' }, </v>
      </c>
    </row>
    <row r="2009" spans="1:12" x14ac:dyDescent="0.25">
      <c r="A2009">
        <v>-63.600867513541999</v>
      </c>
      <c r="B2009">
        <v>44.644421358415599</v>
      </c>
      <c r="C2009">
        <v>619</v>
      </c>
      <c r="D2009" t="s">
        <v>29</v>
      </c>
      <c r="E2009" t="s">
        <v>12</v>
      </c>
      <c r="F2009" t="s">
        <v>13</v>
      </c>
      <c r="G2009" t="s">
        <v>14</v>
      </c>
      <c r="H2009">
        <v>8137</v>
      </c>
      <c r="I2009" t="s">
        <v>4059</v>
      </c>
      <c r="J2009" t="s">
        <v>4060</v>
      </c>
      <c r="K2009" t="s">
        <v>17</v>
      </c>
      <c r="L2009" t="str">
        <f t="shared" si="31"/>
        <v xml:space="preserve">{ longitude: -63.600867513542, latitude: 44.6444213584156, stopType: 'Bus Stop Accessible', gotime: \'8137\', location: \'QUINPOOL RD FS OXFORD ST &lt;WB&gt;\' }, </v>
      </c>
    </row>
    <row r="2010" spans="1:12" x14ac:dyDescent="0.25">
      <c r="A2010">
        <v>-63.577461692705803</v>
      </c>
      <c r="B2010">
        <v>44.615933107122103</v>
      </c>
      <c r="C2010">
        <v>1880</v>
      </c>
      <c r="D2010" t="s">
        <v>18</v>
      </c>
      <c r="E2010" t="s">
        <v>12</v>
      </c>
      <c r="F2010" t="s">
        <v>13</v>
      </c>
      <c r="G2010" t="s">
        <v>19</v>
      </c>
      <c r="H2010">
        <v>8115</v>
      </c>
      <c r="I2010" t="s">
        <v>4061</v>
      </c>
      <c r="J2010" t="s">
        <v>4062</v>
      </c>
      <c r="K2010" t="s">
        <v>17</v>
      </c>
      <c r="L2010" t="str">
        <f t="shared" si="31"/>
        <v xml:space="preserve">{ longitude: -63.5774616927058, latitude: 44.6159331071221, stopType: 'Bus Stop Shelter Non-Standard', gotime: \'8115\', location: \'PURCELLS COVE RD NS ROCKLYN RD\' }, </v>
      </c>
    </row>
    <row r="2011" spans="1:12" x14ac:dyDescent="0.25">
      <c r="A2011">
        <v>-63.593696486231202</v>
      </c>
      <c r="B2011">
        <v>44.646496270699402</v>
      </c>
      <c r="C2011">
        <v>620</v>
      </c>
      <c r="D2011" t="s">
        <v>22</v>
      </c>
      <c r="E2011" t="s">
        <v>12</v>
      </c>
      <c r="F2011" t="s">
        <v>13</v>
      </c>
      <c r="G2011" t="s">
        <v>19</v>
      </c>
      <c r="H2011">
        <v>8138</v>
      </c>
      <c r="I2011" t="s">
        <v>4063</v>
      </c>
      <c r="J2011" t="s">
        <v>4064</v>
      </c>
      <c r="K2011" t="s">
        <v>17</v>
      </c>
      <c r="L2011" t="str">
        <f t="shared" si="31"/>
        <v xml:space="preserve">{ longitude: -63.5936964862312, latitude: 44.6464962706994, stopType: 'Bus Stop Shelter Accessible', gotime: \'8138\', location: \'QUINPOOL RD FS VERNON &lt;WB&gt;\' }, </v>
      </c>
    </row>
    <row r="2012" spans="1:12" x14ac:dyDescent="0.25">
      <c r="A2012">
        <v>-63.601239828132599</v>
      </c>
      <c r="B2012">
        <v>44.623367474733499</v>
      </c>
      <c r="C2012">
        <v>1881</v>
      </c>
      <c r="D2012" t="s">
        <v>29</v>
      </c>
      <c r="E2012" t="s">
        <v>12</v>
      </c>
      <c r="F2012" t="s">
        <v>13</v>
      </c>
      <c r="G2012" t="s">
        <v>19</v>
      </c>
      <c r="H2012">
        <v>8093</v>
      </c>
      <c r="I2012" t="s">
        <v>4065</v>
      </c>
      <c r="J2012" t="s">
        <v>4066</v>
      </c>
      <c r="K2012" t="s">
        <v>17</v>
      </c>
      <c r="L2012" t="str">
        <f t="shared" si="31"/>
        <v xml:space="preserve">{ longitude: -63.6012398281326, latitude: 44.6233674747335, stopType: 'Bus Stop Accessible', gotime: \'8093\', location: \'PURCELLS COVE RD FS WILLAMS LAKE RD\' }, </v>
      </c>
    </row>
    <row r="2013" spans="1:12" x14ac:dyDescent="0.25">
      <c r="A2013">
        <v>-63.617157071754903</v>
      </c>
      <c r="B2013">
        <v>44.641419404639997</v>
      </c>
      <c r="C2013">
        <v>621</v>
      </c>
      <c r="D2013" t="s">
        <v>29</v>
      </c>
      <c r="E2013" t="s">
        <v>12</v>
      </c>
      <c r="F2013" t="s">
        <v>13</v>
      </c>
      <c r="G2013" t="s">
        <v>14</v>
      </c>
      <c r="H2013">
        <v>8139</v>
      </c>
      <c r="I2013" t="s">
        <v>4067</v>
      </c>
      <c r="J2013" t="s">
        <v>4068</v>
      </c>
      <c r="K2013" t="s">
        <v>17</v>
      </c>
      <c r="L2013" t="str">
        <f t="shared" si="31"/>
        <v xml:space="preserve">{ longitude: -63.6171570717549, latitude: 44.64141940464, stopType: 'Bus Stop Accessible', gotime: \'8139\', location: \'QUINPOOL RD AT CIVIC 7137\' }, </v>
      </c>
    </row>
    <row r="2014" spans="1:12" x14ac:dyDescent="0.25">
      <c r="A2014">
        <v>-63.557142665145598</v>
      </c>
      <c r="B2014">
        <v>44.597110505319698</v>
      </c>
      <c r="C2014">
        <v>1882</v>
      </c>
      <c r="D2014" t="s">
        <v>103</v>
      </c>
      <c r="E2014" t="s">
        <v>12</v>
      </c>
      <c r="F2014" t="s">
        <v>25</v>
      </c>
      <c r="G2014" t="s">
        <v>65</v>
      </c>
      <c r="H2014">
        <v>8094</v>
      </c>
      <c r="I2014" t="s">
        <v>4069</v>
      </c>
      <c r="J2014" t="s">
        <v>4070</v>
      </c>
      <c r="K2014" t="s">
        <v>17</v>
      </c>
      <c r="L2014" t="str">
        <f t="shared" si="31"/>
        <v xml:space="preserve">{ longitude: -63.5571426651456, latitude: 44.5971105053197, stopType: 'Bus Stop Inaccessible', gotime: \'8094\', location: \'PURCELLS COVE RD FS YORK REDOUBT\' }, </v>
      </c>
    </row>
    <row r="2015" spans="1:12" x14ac:dyDescent="0.25">
      <c r="A2015">
        <v>-63.499012663086702</v>
      </c>
      <c r="B2015">
        <v>44.672564992236097</v>
      </c>
      <c r="C2015">
        <v>622</v>
      </c>
      <c r="D2015" t="s">
        <v>11</v>
      </c>
      <c r="E2015" t="s">
        <v>12</v>
      </c>
      <c r="F2015" t="s">
        <v>25</v>
      </c>
      <c r="G2015" t="s">
        <v>26</v>
      </c>
      <c r="H2015">
        <v>7399</v>
      </c>
      <c r="I2015" t="s">
        <v>4071</v>
      </c>
      <c r="J2015" t="s">
        <v>4072</v>
      </c>
      <c r="K2015" t="s">
        <v>17</v>
      </c>
      <c r="L2015" t="str">
        <f t="shared" si="31"/>
        <v xml:space="preserve">{ longitude: -63.4990126630867, latitude: 44.6725649922361, stopType: 'Bus Stop Non-Standard', gotime: \'7399\', location: \'OTAGO DR OPP CIVIC 29 &lt;SB&gt;\' }, </v>
      </c>
    </row>
    <row r="2016" spans="1:12" x14ac:dyDescent="0.25">
      <c r="A2016">
        <v>-63.575217136167403</v>
      </c>
      <c r="B2016">
        <v>44.612898213048702</v>
      </c>
      <c r="C2016">
        <v>1883</v>
      </c>
      <c r="D2016" t="s">
        <v>11</v>
      </c>
      <c r="E2016" t="s">
        <v>12</v>
      </c>
      <c r="F2016" t="s">
        <v>13</v>
      </c>
      <c r="G2016" t="s">
        <v>14</v>
      </c>
      <c r="H2016">
        <v>8095</v>
      </c>
      <c r="I2016" t="s">
        <v>4073</v>
      </c>
      <c r="J2016" t="s">
        <v>4074</v>
      </c>
      <c r="K2016" t="s">
        <v>17</v>
      </c>
      <c r="L2016" t="str">
        <f t="shared" si="31"/>
        <v xml:space="preserve">{ longitude: -63.5752171361674, latitude: 44.6128982130487, stopType: 'Bus Stop Non-Standard', gotime: \'8095\', location: \'PURCELLS COVE RD AT ST CECELIA DR\' }, </v>
      </c>
    </row>
    <row r="2017" spans="1:12" x14ac:dyDescent="0.25">
      <c r="A2017">
        <v>-63.669458569312397</v>
      </c>
      <c r="B2017">
        <v>44.697187053888001</v>
      </c>
      <c r="C2017">
        <v>623</v>
      </c>
      <c r="D2017" t="s">
        <v>11</v>
      </c>
      <c r="E2017" t="s">
        <v>12</v>
      </c>
      <c r="F2017" t="s">
        <v>25</v>
      </c>
      <c r="G2017" t="s">
        <v>26</v>
      </c>
      <c r="H2017">
        <v>7400</v>
      </c>
      <c r="I2017" t="s">
        <v>4075</v>
      </c>
      <c r="J2017" t="s">
        <v>4076</v>
      </c>
      <c r="K2017" t="s">
        <v>17</v>
      </c>
      <c r="L2017" t="str">
        <f t="shared" si="31"/>
        <v xml:space="preserve">{ longitude: -63.6694585693124, latitude: 44.697187053888, stopType: 'Bus Stop Non-Standard', gotime: \'7400\', location: \'OUTRIGGER FS FLEETVIEW\' }, </v>
      </c>
    </row>
    <row r="2018" spans="1:12" x14ac:dyDescent="0.25">
      <c r="A2018">
        <v>-63.504543809899303</v>
      </c>
      <c r="B2018">
        <v>44.688838750463802</v>
      </c>
      <c r="C2018">
        <v>1884</v>
      </c>
      <c r="D2018" t="s">
        <v>29</v>
      </c>
      <c r="E2018" t="s">
        <v>12</v>
      </c>
      <c r="F2018" t="s">
        <v>25</v>
      </c>
      <c r="G2018" t="s">
        <v>4077</v>
      </c>
      <c r="H2018">
        <v>8868</v>
      </c>
      <c r="I2018" t="s">
        <v>4078</v>
      </c>
      <c r="J2018" t="s">
        <v>4079</v>
      </c>
      <c r="K2018" t="s">
        <v>17</v>
      </c>
      <c r="L2018" t="str">
        <f t="shared" si="31"/>
        <v xml:space="preserve">{ longitude: -63.5045438098993, latitude: 44.6888387504638, stopType: 'Bus Stop Accessible', gotime: \'8868\', location: \'CRANBERRY CR &lt;AT&gt; CIVIC 3\' }, </v>
      </c>
    </row>
    <row r="2019" spans="1:12" x14ac:dyDescent="0.25">
      <c r="A2019">
        <v>-63.5968232027626</v>
      </c>
      <c r="B2019">
        <v>44.6380238099255</v>
      </c>
      <c r="C2019">
        <v>624</v>
      </c>
      <c r="D2019" t="s">
        <v>29</v>
      </c>
      <c r="E2019" t="s">
        <v>12</v>
      </c>
      <c r="F2019" t="s">
        <v>13</v>
      </c>
      <c r="G2019" t="s">
        <v>14</v>
      </c>
      <c r="H2019">
        <v>7401</v>
      </c>
      <c r="I2019" t="s">
        <v>4080</v>
      </c>
      <c r="J2019" t="s">
        <v>4081</v>
      </c>
      <c r="K2019" t="s">
        <v>17</v>
      </c>
      <c r="L2019" t="str">
        <f t="shared" si="31"/>
        <v xml:space="preserve">{ longitude: -63.5968232027626, latitude: 44.6380238099255, stopType: 'Bus Stop Accessible', gotime: \'7401\', location: \'OXFORD ST AT CIVIC 1545 &lt;NB&gt;\' }, </v>
      </c>
    </row>
    <row r="2020" spans="1:12" x14ac:dyDescent="0.25">
      <c r="A2020">
        <v>-63.573547886209802</v>
      </c>
      <c r="B2020">
        <v>44.672834002421403</v>
      </c>
      <c r="C2020">
        <v>1885</v>
      </c>
      <c r="D2020" t="s">
        <v>29</v>
      </c>
      <c r="E2020" t="s">
        <v>12</v>
      </c>
      <c r="F2020" t="s">
        <v>25</v>
      </c>
      <c r="G2020" t="s">
        <v>19</v>
      </c>
      <c r="H2020">
        <v>8429</v>
      </c>
      <c r="I2020" t="s">
        <v>4082</v>
      </c>
      <c r="J2020" t="s">
        <v>4083</v>
      </c>
      <c r="K2020" t="s">
        <v>17</v>
      </c>
      <c r="L2020" t="str">
        <f t="shared" si="31"/>
        <v xml:space="preserve">{ longitude: -63.5735478862098, latitude: 44.6728340024214, stopType: 'Bus Stop Accessible', gotime: \'8429\', location: \'VICTORIA RD OPP CIVIC 108\' }, </v>
      </c>
    </row>
    <row r="2021" spans="1:12" x14ac:dyDescent="0.25">
      <c r="A2021">
        <v>-63.597456468243202</v>
      </c>
      <c r="B2021">
        <v>44.638910525390997</v>
      </c>
      <c r="C2021">
        <v>625</v>
      </c>
      <c r="D2021" t="s">
        <v>29</v>
      </c>
      <c r="E2021" t="s">
        <v>12</v>
      </c>
      <c r="F2021" t="s">
        <v>13</v>
      </c>
      <c r="G2021" t="s">
        <v>14</v>
      </c>
      <c r="H2021">
        <v>7402</v>
      </c>
      <c r="I2021" t="s">
        <v>4084</v>
      </c>
      <c r="J2021" t="s">
        <v>4085</v>
      </c>
      <c r="K2021" t="s">
        <v>17</v>
      </c>
      <c r="L2021" t="str">
        <f t="shared" si="31"/>
        <v xml:space="preserve">{ longitude: -63.5974564682432, latitude: 44.638910525391, stopType: 'Bus Stop Accessible', gotime: \'7402\', location: \'OXFORD ST AT CIVIC 1598 &lt;SB&gt;\' }, </v>
      </c>
    </row>
    <row r="2022" spans="1:12" x14ac:dyDescent="0.25">
      <c r="A2022">
        <v>-63.6969003122163</v>
      </c>
      <c r="B2022">
        <v>44.770368164934197</v>
      </c>
      <c r="C2022">
        <v>1886</v>
      </c>
      <c r="D2022" t="s">
        <v>29</v>
      </c>
      <c r="E2022" t="s">
        <v>12</v>
      </c>
      <c r="F2022" t="s">
        <v>13</v>
      </c>
      <c r="G2022" t="s">
        <v>19</v>
      </c>
      <c r="H2022">
        <v>8431</v>
      </c>
      <c r="I2022" t="s">
        <v>4086</v>
      </c>
      <c r="J2022" t="s">
        <v>4087</v>
      </c>
      <c r="K2022" t="s">
        <v>17</v>
      </c>
      <c r="L2022" t="str">
        <f t="shared" si="31"/>
        <v xml:space="preserve">{ longitude: -63.6969003122163, latitude: 44.7703681649342, stopType: 'Bus Stop Accessible', gotime: \'8431\', location: \'WALKER CON. FS OLD SACKVILLE RD\' }, </v>
      </c>
    </row>
    <row r="2023" spans="1:12" x14ac:dyDescent="0.25">
      <c r="A2023">
        <v>-63.597460202956199</v>
      </c>
      <c r="B2023">
        <v>44.639336334699401</v>
      </c>
      <c r="C2023">
        <v>626</v>
      </c>
      <c r="D2023" t="s">
        <v>29</v>
      </c>
      <c r="E2023" t="s">
        <v>12</v>
      </c>
      <c r="F2023" t="s">
        <v>13</v>
      </c>
      <c r="G2023" t="s">
        <v>14</v>
      </c>
      <c r="H2023">
        <v>7403</v>
      </c>
      <c r="I2023" t="s">
        <v>4088</v>
      </c>
      <c r="J2023" t="s">
        <v>4089</v>
      </c>
      <c r="K2023" t="s">
        <v>17</v>
      </c>
      <c r="L2023" t="str">
        <f t="shared" si="31"/>
        <v xml:space="preserve">{ longitude: -63.5974602029562, latitude: 44.6393363346994, stopType: 'Bus Stop Accessible', gotime: \'7403\', location: \'OXFORD ST AT CIVIC 1615 &lt;NB&gt;\' }, </v>
      </c>
    </row>
    <row r="2024" spans="1:12" x14ac:dyDescent="0.25">
      <c r="A2024">
        <v>-63.6967195142715</v>
      </c>
      <c r="B2024">
        <v>44.769676175238303</v>
      </c>
      <c r="C2024">
        <v>1887</v>
      </c>
      <c r="D2024" t="s">
        <v>103</v>
      </c>
      <c r="E2024" t="s">
        <v>12</v>
      </c>
      <c r="F2024" t="s">
        <v>25</v>
      </c>
      <c r="G2024" t="s">
        <v>65</v>
      </c>
      <c r="H2024">
        <v>8432</v>
      </c>
      <c r="I2024" t="s">
        <v>4090</v>
      </c>
      <c r="J2024" t="s">
        <v>4091</v>
      </c>
      <c r="K2024" t="s">
        <v>17</v>
      </c>
      <c r="L2024" t="str">
        <f t="shared" si="31"/>
        <v xml:space="preserve">{ longitude: -63.6967195142715, latitude: 44.7696761752383, stopType: 'Bus Stop Inaccessible', gotime: \'8432\', location: \'WALKER CON. NS OLD SACKVILLE RD\' }, </v>
      </c>
    </row>
    <row r="2025" spans="1:12" x14ac:dyDescent="0.25">
      <c r="A2025">
        <v>-63.6014461255021</v>
      </c>
      <c r="B2025">
        <v>44.6469539490773</v>
      </c>
      <c r="C2025">
        <v>627</v>
      </c>
      <c r="D2025" t="s">
        <v>29</v>
      </c>
      <c r="E2025" t="s">
        <v>12</v>
      </c>
      <c r="F2025" t="s">
        <v>13</v>
      </c>
      <c r="G2025" t="s">
        <v>14</v>
      </c>
      <c r="H2025">
        <v>7404</v>
      </c>
      <c r="I2025" t="s">
        <v>4092</v>
      </c>
      <c r="J2025" t="s">
        <v>4093</v>
      </c>
      <c r="K2025" t="s">
        <v>17</v>
      </c>
      <c r="L2025" t="str">
        <f t="shared" si="31"/>
        <v xml:space="preserve">{ longitude: -63.6014461255021, latitude: 44.6469539490773, stopType: 'Bus Stop Accessible', gotime: \'7404\', location: \'OXFORD ST AT CIVIC 2505 &lt;NB&gt;\' }, </v>
      </c>
    </row>
    <row r="2026" spans="1:12" x14ac:dyDescent="0.25">
      <c r="A2026">
        <v>-63.692929389737799</v>
      </c>
      <c r="B2026">
        <v>44.771494367252501</v>
      </c>
      <c r="C2026">
        <v>1888</v>
      </c>
      <c r="D2026" t="s">
        <v>11</v>
      </c>
      <c r="E2026" t="s">
        <v>12</v>
      </c>
      <c r="F2026" t="s">
        <v>25</v>
      </c>
      <c r="G2026" t="s">
        <v>26</v>
      </c>
      <c r="H2026">
        <v>8433</v>
      </c>
      <c r="I2026" t="s">
        <v>4094</v>
      </c>
      <c r="J2026" t="s">
        <v>4095</v>
      </c>
      <c r="K2026" t="s">
        <v>17</v>
      </c>
      <c r="L2026" t="str">
        <f t="shared" si="31"/>
        <v xml:space="preserve">{ longitude: -63.6929293897378, latitude: 44.7714943672525, stopType: 'Bus Stop Non-Standard', gotime: \'8433\', location: \'DOWNSVIEW AT WENDYS\' }, </v>
      </c>
    </row>
    <row r="2027" spans="1:12" x14ac:dyDescent="0.25">
      <c r="A2027">
        <v>-63.6053003794541</v>
      </c>
      <c r="B2027">
        <v>44.651073795054998</v>
      </c>
      <c r="C2027">
        <v>628</v>
      </c>
      <c r="D2027" t="s">
        <v>29</v>
      </c>
      <c r="E2027" t="s">
        <v>12</v>
      </c>
      <c r="F2027" t="s">
        <v>25</v>
      </c>
      <c r="G2027" t="s">
        <v>19</v>
      </c>
      <c r="H2027">
        <v>7405</v>
      </c>
      <c r="I2027" t="s">
        <v>4096</v>
      </c>
      <c r="J2027" t="s">
        <v>4097</v>
      </c>
      <c r="K2027" t="s">
        <v>17</v>
      </c>
      <c r="L2027" t="str">
        <f t="shared" si="31"/>
        <v xml:space="preserve">{ longitude: -63.6053003794541, latitude: 44.651073795055, stopType: 'Bus Stop Accessible', gotime: \'7405\', location: \'OXFORD ST AT CIVICIC 2749 &lt;NB&gt;\' }, </v>
      </c>
    </row>
    <row r="2028" spans="1:12" x14ac:dyDescent="0.25">
      <c r="A2028">
        <v>-63.572863555327601</v>
      </c>
      <c r="B2028">
        <v>44.6493031033623</v>
      </c>
      <c r="C2028">
        <v>1889</v>
      </c>
      <c r="D2028" t="s">
        <v>1573</v>
      </c>
      <c r="E2028" t="s">
        <v>12</v>
      </c>
      <c r="F2028" t="s">
        <v>25</v>
      </c>
      <c r="G2028" t="s">
        <v>19</v>
      </c>
      <c r="H2028">
        <v>8435</v>
      </c>
      <c r="I2028" t="s">
        <v>4098</v>
      </c>
      <c r="J2028" t="s">
        <v>4099</v>
      </c>
      <c r="K2028" t="s">
        <v>17</v>
      </c>
      <c r="L2028" t="str">
        <f t="shared" si="31"/>
        <v xml:space="preserve">{ longitude: -63.5728635553276, latitude: 44.6493031033623, stopType: 'Bus Terminal Accessible', gotime: \'8435\', location: \'WATER ST TRANSIT TERMINAL\' }, </v>
      </c>
    </row>
    <row r="2029" spans="1:12" x14ac:dyDescent="0.25">
      <c r="A2029">
        <v>-63.5913032757243</v>
      </c>
      <c r="B2029">
        <v>44.657504664072199</v>
      </c>
      <c r="C2029">
        <v>629</v>
      </c>
      <c r="D2029" t="s">
        <v>22</v>
      </c>
      <c r="E2029" t="s">
        <v>12</v>
      </c>
      <c r="F2029" t="s">
        <v>13</v>
      </c>
      <c r="G2029" t="s">
        <v>19</v>
      </c>
      <c r="H2029">
        <v>6769</v>
      </c>
      <c r="I2029" t="s">
        <v>4100</v>
      </c>
      <c r="J2029" t="s">
        <v>4101</v>
      </c>
      <c r="K2029" t="s">
        <v>17</v>
      </c>
      <c r="L2029" t="str">
        <f t="shared" si="31"/>
        <v xml:space="preserve">{ longitude: -63.5913032757243, latitude: 44.6575046640722, stopType: 'Bus Stop Shelter Accessible', gotime: \'6769\', location: \'GOTTINGEN ST EB FS NORTH ST\' }, </v>
      </c>
    </row>
    <row r="2030" spans="1:12" x14ac:dyDescent="0.25">
      <c r="A2030">
        <v>-63.546715484025</v>
      </c>
      <c r="B2030">
        <v>44.688560671586004</v>
      </c>
      <c r="C2030">
        <v>1890</v>
      </c>
      <c r="D2030" t="s">
        <v>11</v>
      </c>
      <c r="E2030" t="s">
        <v>12</v>
      </c>
      <c r="F2030" t="s">
        <v>25</v>
      </c>
      <c r="G2030" t="s">
        <v>26</v>
      </c>
      <c r="H2030">
        <v>8436</v>
      </c>
      <c r="I2030" t="s">
        <v>4102</v>
      </c>
      <c r="J2030" t="s">
        <v>4103</v>
      </c>
      <c r="K2030" t="s">
        <v>17</v>
      </c>
      <c r="L2030" t="str">
        <f t="shared" si="31"/>
        <v xml:space="preserve">{ longitude: -63.546715484025, latitude: 44.688560671586, stopType: 'Bus Stop Non-Standard', gotime: \'8436\', location: \'BRAEMAR DR AT SUTHERLAND TERR\' }, </v>
      </c>
    </row>
    <row r="2031" spans="1:12" x14ac:dyDescent="0.25">
      <c r="A2031">
        <v>-63.598443192653498</v>
      </c>
      <c r="B2031">
        <v>44.662193065779299</v>
      </c>
      <c r="C2031">
        <v>630</v>
      </c>
      <c r="D2031" t="s">
        <v>22</v>
      </c>
      <c r="E2031" t="s">
        <v>12</v>
      </c>
      <c r="F2031" t="s">
        <v>13</v>
      </c>
      <c r="G2031" t="s">
        <v>19</v>
      </c>
      <c r="H2031">
        <v>6770</v>
      </c>
      <c r="I2031" t="s">
        <v>4104</v>
      </c>
      <c r="J2031" t="s">
        <v>4105</v>
      </c>
      <c r="K2031" t="s">
        <v>17</v>
      </c>
      <c r="L2031" t="str">
        <f t="shared" si="31"/>
        <v xml:space="preserve">{ longitude: -63.5984431926535, latitude: 44.6621930657793, stopType: 'Bus Stop Shelter Accessible', gotime: \'6770\', location: \'GOTTINGEN ST SB FS YOUNG ST\' }, </v>
      </c>
    </row>
    <row r="2032" spans="1:12" x14ac:dyDescent="0.25">
      <c r="A2032">
        <v>-63.647315557129502</v>
      </c>
      <c r="B2032">
        <v>44.748663897343199</v>
      </c>
      <c r="C2032">
        <v>1891</v>
      </c>
      <c r="D2032" t="s">
        <v>29</v>
      </c>
      <c r="E2032" t="s">
        <v>12</v>
      </c>
      <c r="F2032" t="s">
        <v>25</v>
      </c>
      <c r="G2032" t="s">
        <v>19</v>
      </c>
      <c r="H2032">
        <v>8505</v>
      </c>
      <c r="I2032" t="s">
        <v>4106</v>
      </c>
      <c r="J2032" t="s">
        <v>4107</v>
      </c>
      <c r="K2032" t="s">
        <v>17</v>
      </c>
      <c r="L2032" t="str">
        <f t="shared" si="31"/>
        <v xml:space="preserve">{ longitude: -63.6473155571295, latitude: 44.7486638973432, stopType: 'Bus Stop Accessible', gotime: \'8505\', location: \'DAMASCUS AT TURNING LOOP\' }, </v>
      </c>
    </row>
    <row r="2033" spans="1:12" x14ac:dyDescent="0.25">
      <c r="A2033">
        <v>-63.581824559623399</v>
      </c>
      <c r="B2033">
        <v>44.6507864850226</v>
      </c>
      <c r="C2033">
        <v>631</v>
      </c>
      <c r="D2033" t="s">
        <v>29</v>
      </c>
      <c r="E2033" t="s">
        <v>12</v>
      </c>
      <c r="F2033" t="s">
        <v>13</v>
      </c>
      <c r="G2033" t="s">
        <v>19</v>
      </c>
      <c r="H2033">
        <v>6771</v>
      </c>
      <c r="I2033" t="s">
        <v>4108</v>
      </c>
      <c r="J2033" s="1" t="s">
        <v>4109</v>
      </c>
      <c r="K2033" t="s">
        <v>17</v>
      </c>
      <c r="L2033" t="str">
        <f t="shared" si="31"/>
        <v xml:space="preserve">{ longitude: -63.5818245596234, latitude: 44.6507864850226, stopType: 'Bus Stop Accessible', gotime: \'6771\', location: \'GOTTINGEN ST AT 2034 NS COGSWELL ST\' }, </v>
      </c>
    </row>
    <row r="2034" spans="1:12" x14ac:dyDescent="0.25">
      <c r="A2034">
        <v>-63.466961396597299</v>
      </c>
      <c r="B2034">
        <v>44.7436829653902</v>
      </c>
      <c r="C2034">
        <v>1892</v>
      </c>
      <c r="D2034" t="s">
        <v>11</v>
      </c>
      <c r="E2034" t="s">
        <v>12</v>
      </c>
      <c r="F2034" t="s">
        <v>25</v>
      </c>
      <c r="G2034" t="s">
        <v>26</v>
      </c>
      <c r="H2034">
        <v>8506</v>
      </c>
      <c r="I2034" t="s">
        <v>4110</v>
      </c>
      <c r="J2034" t="s">
        <v>4111</v>
      </c>
      <c r="K2034" t="s">
        <v>17</v>
      </c>
      <c r="L2034" t="str">
        <f t="shared" si="31"/>
        <v xml:space="preserve">{ longitude: -63.4669613965973, latitude: 44.7436829653902, stopType: 'Bus Stop Non-Standard', gotime: \'8506\', location: \'CLARENCE ST AT CIVIC 32\' }, </v>
      </c>
    </row>
    <row r="2035" spans="1:12" x14ac:dyDescent="0.25">
      <c r="A2035">
        <v>-63.586598189126498</v>
      </c>
      <c r="B2035">
        <v>44.6542984038729</v>
      </c>
      <c r="C2035">
        <v>632</v>
      </c>
      <c r="D2035" t="s">
        <v>29</v>
      </c>
      <c r="E2035" t="s">
        <v>12</v>
      </c>
      <c r="F2035" t="s">
        <v>13</v>
      </c>
      <c r="G2035" t="s">
        <v>14</v>
      </c>
      <c r="H2035">
        <v>6772</v>
      </c>
      <c r="I2035" t="s">
        <v>4112</v>
      </c>
      <c r="J2035" t="s">
        <v>4113</v>
      </c>
      <c r="K2035" t="s">
        <v>17</v>
      </c>
      <c r="L2035" t="str">
        <f t="shared" si="31"/>
        <v xml:space="preserve">{ longitude: -63.5865981891265, latitude: 44.6542984038729, stopType: 'Bus Stop Accessible', gotime: \'6772\', location: \'GOTTINGEN ST &lt;EB&gt; NS AHERN MANOR\' }, </v>
      </c>
    </row>
    <row r="2036" spans="1:12" x14ac:dyDescent="0.25">
      <c r="A2036">
        <v>-63.468004242043698</v>
      </c>
      <c r="B2036">
        <v>44.743269412332999</v>
      </c>
      <c r="C2036">
        <v>1893</v>
      </c>
      <c r="D2036" t="s">
        <v>103</v>
      </c>
      <c r="E2036" t="s">
        <v>12</v>
      </c>
      <c r="F2036" t="s">
        <v>25</v>
      </c>
      <c r="G2036" t="s">
        <v>65</v>
      </c>
      <c r="H2036">
        <v>8507</v>
      </c>
      <c r="I2036" t="s">
        <v>4114</v>
      </c>
      <c r="J2036" t="s">
        <v>4115</v>
      </c>
      <c r="K2036" t="s">
        <v>17</v>
      </c>
      <c r="L2036" t="str">
        <f t="shared" si="31"/>
        <v xml:space="preserve">{ longitude: -63.4680042420437, latitude: 44.743269412333, stopType: 'Bus Stop Inaccessible', gotime: \'8507\', location: \'CLARENCE ST AT CIVIC 6\' }, </v>
      </c>
    </row>
    <row r="2037" spans="1:12" x14ac:dyDescent="0.25">
      <c r="A2037">
        <v>-63.581590700978701</v>
      </c>
      <c r="B2037">
        <v>44.6508414830747</v>
      </c>
      <c r="C2037">
        <v>633</v>
      </c>
      <c r="D2037" t="s">
        <v>29</v>
      </c>
      <c r="E2037" t="s">
        <v>12</v>
      </c>
      <c r="F2037" t="s">
        <v>13</v>
      </c>
      <c r="G2037" t="s">
        <v>4116</v>
      </c>
      <c r="H2037">
        <v>6773</v>
      </c>
      <c r="I2037" t="s">
        <v>4117</v>
      </c>
      <c r="J2037" t="s">
        <v>4118</v>
      </c>
      <c r="K2037" t="s">
        <v>17</v>
      </c>
      <c r="L2037" t="str">
        <f t="shared" si="31"/>
        <v xml:space="preserve">{ longitude: -63.5815907009787, latitude: 44.6508414830747, stopType: 'Bus Stop Accessible', gotime: \'6773\', location: \'GOTTINGEN ST NB AT COGSWELL ST\' }, </v>
      </c>
    </row>
    <row r="2038" spans="1:12" x14ac:dyDescent="0.25">
      <c r="A2038">
        <v>-63.612265338265303</v>
      </c>
      <c r="B2038">
        <v>44.703641098288301</v>
      </c>
      <c r="C2038">
        <v>1894</v>
      </c>
      <c r="D2038" t="s">
        <v>22</v>
      </c>
      <c r="E2038" t="s">
        <v>12</v>
      </c>
      <c r="F2038" t="s">
        <v>13</v>
      </c>
      <c r="G2038" t="s">
        <v>19</v>
      </c>
      <c r="H2038">
        <v>8508</v>
      </c>
      <c r="I2038" t="s">
        <v>4119</v>
      </c>
      <c r="J2038" s="1" t="s">
        <v>4120</v>
      </c>
      <c r="K2038" t="s">
        <v>17</v>
      </c>
      <c r="L2038" t="str">
        <f t="shared" si="31"/>
        <v xml:space="preserve">{ longitude: -63.6122653382653, latitude: 44.7036410982883, stopType: 'Bus Stop Shelter Accessible', gotime: \'8508\', location: \'WINDMILL RD  RD FS AKERLEY BLVD\' }, </v>
      </c>
    </row>
    <row r="2039" spans="1:12" x14ac:dyDescent="0.25">
      <c r="A2039">
        <v>-63.583341749401299</v>
      </c>
      <c r="B2039">
        <v>44.652036500822298</v>
      </c>
      <c r="C2039">
        <v>634</v>
      </c>
      <c r="D2039" t="s">
        <v>22</v>
      </c>
      <c r="E2039" t="s">
        <v>12</v>
      </c>
      <c r="F2039" t="s">
        <v>13</v>
      </c>
      <c r="G2039" t="s">
        <v>19</v>
      </c>
      <c r="H2039">
        <v>6778</v>
      </c>
      <c r="I2039" t="s">
        <v>4121</v>
      </c>
      <c r="J2039" t="s">
        <v>4122</v>
      </c>
      <c r="K2039" t="s">
        <v>17</v>
      </c>
      <c r="L2039" t="str">
        <f t="shared" si="31"/>
        <v xml:space="preserve">{ longitude: -63.5833417494013, latitude: 44.6520365008223, stopType: 'Bus Stop Shelter Accessible', gotime: \'6778\', location: \'GOTTINGEN ST NS CORNWALLIS ST &lt;NB&gt;\' }, </v>
      </c>
    </row>
    <row r="2040" spans="1:12" x14ac:dyDescent="0.25">
      <c r="A2040">
        <v>-63.590566427162301</v>
      </c>
      <c r="B2040">
        <v>44.675898769998</v>
      </c>
      <c r="C2040">
        <v>1895</v>
      </c>
      <c r="D2040" t="s">
        <v>22</v>
      </c>
      <c r="E2040" t="s">
        <v>12</v>
      </c>
      <c r="F2040" t="s">
        <v>13</v>
      </c>
      <c r="G2040" t="s">
        <v>19</v>
      </c>
      <c r="H2040">
        <v>8509</v>
      </c>
      <c r="I2040" t="s">
        <v>4123</v>
      </c>
      <c r="J2040" t="s">
        <v>4124</v>
      </c>
      <c r="K2040" t="s">
        <v>17</v>
      </c>
      <c r="L2040" t="str">
        <f t="shared" si="31"/>
        <v xml:space="preserve">{ longitude: -63.5905664271623, latitude: 44.675898769998, stopType: 'Bus Stop Shelter Accessible', gotime: \'8509\', location: \'WINDMILL RD  FS ALBRO LAKE RD\' }, </v>
      </c>
    </row>
    <row r="2041" spans="1:12" x14ac:dyDescent="0.25">
      <c r="A2041">
        <v>-63.585236184892999</v>
      </c>
      <c r="B2041">
        <v>44.653306258181701</v>
      </c>
      <c r="C2041">
        <v>635</v>
      </c>
      <c r="D2041" t="s">
        <v>29</v>
      </c>
      <c r="E2041" t="s">
        <v>12</v>
      </c>
      <c r="F2041" t="s">
        <v>13</v>
      </c>
      <c r="G2041" t="s">
        <v>14</v>
      </c>
      <c r="H2041">
        <v>6779</v>
      </c>
      <c r="I2041" t="s">
        <v>4125</v>
      </c>
      <c r="J2041" t="s">
        <v>4126</v>
      </c>
      <c r="K2041" t="s">
        <v>17</v>
      </c>
      <c r="L2041" t="str">
        <f t="shared" si="31"/>
        <v xml:space="preserve">{ longitude: -63.585236184893, latitude: 44.6533062581817, stopType: 'Bus Stop Accessible', gotime: \'6779\', location: \'GOTTINGEN ST NS CUNARD ST &lt;NB&gt;\' }, </v>
      </c>
    </row>
    <row r="2042" spans="1:12" x14ac:dyDescent="0.25">
      <c r="A2042">
        <v>-63.582709236969301</v>
      </c>
      <c r="B2042">
        <v>44.6685638747865</v>
      </c>
      <c r="C2042">
        <v>1896</v>
      </c>
      <c r="D2042" t="s">
        <v>29</v>
      </c>
      <c r="E2042" t="s">
        <v>12</v>
      </c>
      <c r="F2042" t="s">
        <v>13</v>
      </c>
      <c r="G2042" t="s">
        <v>19</v>
      </c>
      <c r="H2042">
        <v>8510</v>
      </c>
      <c r="I2042" t="s">
        <v>4127</v>
      </c>
      <c r="J2042" t="s">
        <v>4128</v>
      </c>
      <c r="K2042" t="s">
        <v>17</v>
      </c>
      <c r="L2042" t="str">
        <f t="shared" si="31"/>
        <v xml:space="preserve">{ longitude: -63.5827092369693, latitude: 44.6685638747865, stopType: 'Bus Stop Accessible', gotime: \'8510\', location: \'WINDMILL RD  FS DAWSON ST\' }, </v>
      </c>
    </row>
    <row r="2043" spans="1:12" x14ac:dyDescent="0.25">
      <c r="A2043">
        <v>-63.587422599321201</v>
      </c>
      <c r="B2043">
        <v>44.654623676218399</v>
      </c>
      <c r="C2043">
        <v>636</v>
      </c>
      <c r="D2043" t="s">
        <v>29</v>
      </c>
      <c r="E2043" t="s">
        <v>12</v>
      </c>
      <c r="F2043" t="s">
        <v>13</v>
      </c>
      <c r="G2043" t="s">
        <v>19</v>
      </c>
      <c r="H2043">
        <v>6780</v>
      </c>
      <c r="I2043" t="s">
        <v>4129</v>
      </c>
      <c r="J2043" t="s">
        <v>4130</v>
      </c>
      <c r="K2043" t="s">
        <v>17</v>
      </c>
      <c r="L2043" t="str">
        <f t="shared" si="31"/>
        <v xml:space="preserve">{ longitude: -63.5874225993212, latitude: 44.6546236762184, stopType: 'Bus Stop Accessible', gotime: \'6780\', location: \'GOTTINGEN ST NS GERRISH ST&lt;SB&gt;\' }, </v>
      </c>
    </row>
    <row r="2044" spans="1:12" x14ac:dyDescent="0.25">
      <c r="A2044">
        <v>-63.599113841079003</v>
      </c>
      <c r="B2044">
        <v>44.687482467384797</v>
      </c>
      <c r="C2044">
        <v>1897</v>
      </c>
      <c r="D2044" t="s">
        <v>11</v>
      </c>
      <c r="E2044" t="s">
        <v>12</v>
      </c>
      <c r="F2044" t="s">
        <v>13</v>
      </c>
      <c r="G2044" t="s">
        <v>19</v>
      </c>
      <c r="H2044">
        <v>8511</v>
      </c>
      <c r="I2044" t="s">
        <v>4131</v>
      </c>
      <c r="J2044" t="s">
        <v>4132</v>
      </c>
      <c r="K2044" t="s">
        <v>17</v>
      </c>
      <c r="L2044" t="str">
        <f t="shared" si="31"/>
        <v xml:space="preserve">{ longitude: -63.599113841079, latitude: 44.6874824673848, stopType: 'Bus Stop Non-Standard', gotime: \'8511\', location: \'WINDMILL RD  FS PRINCESS MARGARET BLVD\' }, </v>
      </c>
    </row>
    <row r="2045" spans="1:12" x14ac:dyDescent="0.25">
      <c r="A2045">
        <v>-63.608253562086396</v>
      </c>
      <c r="B2045">
        <v>44.663483258295301</v>
      </c>
      <c r="C2045">
        <v>637</v>
      </c>
      <c r="D2045" t="s">
        <v>22</v>
      </c>
      <c r="E2045" t="s">
        <v>12</v>
      </c>
      <c r="F2045" t="s">
        <v>13</v>
      </c>
      <c r="G2045" t="s">
        <v>19</v>
      </c>
      <c r="H2045">
        <v>8203</v>
      </c>
      <c r="I2045" t="s">
        <v>4133</v>
      </c>
      <c r="J2045" t="s">
        <v>4134</v>
      </c>
      <c r="K2045" t="s">
        <v>17</v>
      </c>
      <c r="L2045" t="str">
        <f t="shared" si="31"/>
        <v xml:space="preserve">{ longitude: -63.6082535620864, latitude: 44.6634832582953, stopType: 'Bus Stop Shelter Accessible', gotime: \'8203\', location: \'ROBIE ST NS CABOT &lt;SB&gt;\' }, </v>
      </c>
    </row>
    <row r="2046" spans="1:12" x14ac:dyDescent="0.25">
      <c r="A2046">
        <v>-63.598567961364601</v>
      </c>
      <c r="B2046">
        <v>44.6843753290864</v>
      </c>
      <c r="C2046">
        <v>1898</v>
      </c>
      <c r="D2046" t="s">
        <v>29</v>
      </c>
      <c r="E2046" t="s">
        <v>12</v>
      </c>
      <c r="F2046" t="s">
        <v>13</v>
      </c>
      <c r="G2046" t="s">
        <v>19</v>
      </c>
      <c r="H2046">
        <v>8512</v>
      </c>
      <c r="I2046" t="s">
        <v>4135</v>
      </c>
      <c r="J2046" t="s">
        <v>4136</v>
      </c>
      <c r="K2046" t="s">
        <v>17</v>
      </c>
      <c r="L2046" t="str">
        <f t="shared" si="31"/>
        <v xml:space="preserve">{ longitude: -63.5985679613646, latitude: 44.6843753290864, stopType: 'Bus Stop Accessible', gotime: \'8512\', location: \'WINDMILL RD  FS SHANNON PLAZA\' }, </v>
      </c>
    </row>
    <row r="2047" spans="1:12" x14ac:dyDescent="0.25">
      <c r="A2047">
        <v>-63.607934446464299</v>
      </c>
      <c r="B2047">
        <v>44.663422087658098</v>
      </c>
      <c r="C2047">
        <v>638</v>
      </c>
      <c r="D2047" t="s">
        <v>29</v>
      </c>
      <c r="E2047" t="s">
        <v>12</v>
      </c>
      <c r="F2047" t="s">
        <v>13</v>
      </c>
      <c r="G2047" t="s">
        <v>19</v>
      </c>
      <c r="H2047">
        <v>8204</v>
      </c>
      <c r="I2047" t="s">
        <v>4137</v>
      </c>
      <c r="J2047" t="s">
        <v>4138</v>
      </c>
      <c r="K2047" t="s">
        <v>17</v>
      </c>
      <c r="L2047" t="str">
        <f t="shared" si="31"/>
        <v xml:space="preserve">{ longitude: -63.6079344464643, latitude: 44.6634220876581, stopType: 'Bus Stop Accessible', gotime: \'8204\', location: \'ROBIE ST NS CABOT &lt;NB&gt;\' }, </v>
      </c>
    </row>
    <row r="2048" spans="1:12" x14ac:dyDescent="0.25">
      <c r="A2048">
        <v>-63.594546444893801</v>
      </c>
      <c r="B2048">
        <v>44.6795960733523</v>
      </c>
      <c r="C2048">
        <v>1899</v>
      </c>
      <c r="D2048" t="s">
        <v>29</v>
      </c>
      <c r="E2048" t="s">
        <v>12</v>
      </c>
      <c r="F2048" t="s">
        <v>13</v>
      </c>
      <c r="G2048" t="s">
        <v>19</v>
      </c>
      <c r="H2048">
        <v>8513</v>
      </c>
      <c r="I2048" t="s">
        <v>4139</v>
      </c>
      <c r="J2048" t="s">
        <v>4140</v>
      </c>
      <c r="K2048" t="s">
        <v>17</v>
      </c>
      <c r="L2048" t="str">
        <f t="shared" si="31"/>
        <v xml:space="preserve">{ longitude: -63.5945464448938, latitude: 44.6795960733523, stopType: 'Bus Stop Accessible', gotime: \'8513\', location: \'WINDMILL RD  FS TRINITY AVE\' }, </v>
      </c>
    </row>
    <row r="2049" spans="1:12" x14ac:dyDescent="0.25">
      <c r="A2049">
        <v>-63.592329588006301</v>
      </c>
      <c r="B2049">
        <v>44.650307976977501</v>
      </c>
      <c r="C2049">
        <v>639</v>
      </c>
      <c r="D2049" t="s">
        <v>22</v>
      </c>
      <c r="E2049" t="s">
        <v>12</v>
      </c>
      <c r="F2049" t="s">
        <v>13</v>
      </c>
      <c r="G2049" t="s">
        <v>19</v>
      </c>
      <c r="H2049">
        <v>8205</v>
      </c>
      <c r="I2049" t="s">
        <v>4141</v>
      </c>
      <c r="J2049" t="s">
        <v>4142</v>
      </c>
      <c r="K2049" t="s">
        <v>17</v>
      </c>
      <c r="L2049" t="str">
        <f t="shared" si="31"/>
        <v xml:space="preserve">{ longitude: -63.5923295880063, latitude: 44.6503079769775, stopType: 'Bus Stop Shelter Accessible', gotime: \'8205\', location: \'ROBIE ST NS COMPTON &lt;SB&gt;\' }, </v>
      </c>
    </row>
    <row r="2050" spans="1:12" x14ac:dyDescent="0.25">
      <c r="A2050">
        <v>-63.6011787536792</v>
      </c>
      <c r="B2050">
        <v>44.695493624781399</v>
      </c>
      <c r="C2050">
        <v>1900</v>
      </c>
      <c r="D2050" t="s">
        <v>11</v>
      </c>
      <c r="E2050" t="s">
        <v>12</v>
      </c>
      <c r="F2050" t="s">
        <v>13</v>
      </c>
      <c r="G2050" t="s">
        <v>14</v>
      </c>
      <c r="H2050">
        <v>8514</v>
      </c>
      <c r="I2050" t="s">
        <v>4143</v>
      </c>
      <c r="J2050" t="s">
        <v>4144</v>
      </c>
      <c r="K2050" t="s">
        <v>17</v>
      </c>
      <c r="L2050" t="str">
        <f t="shared" si="31"/>
        <v xml:space="preserve">{ longitude: -63.6011787536792, latitude: 44.6954936247814, stopType: 'Bus Stop Non-Standard', gotime: \'8514\', location: \'WINDMILL RD  FS VICTORIA RD\' }, </v>
      </c>
    </row>
    <row r="2051" spans="1:12" x14ac:dyDescent="0.25">
      <c r="A2051">
        <v>-63.661410278273401</v>
      </c>
      <c r="B2051">
        <v>44.702303061248401</v>
      </c>
      <c r="C2051">
        <v>640</v>
      </c>
      <c r="D2051" t="s">
        <v>103</v>
      </c>
      <c r="E2051" t="s">
        <v>12</v>
      </c>
      <c r="F2051" t="s">
        <v>25</v>
      </c>
      <c r="G2051" t="s">
        <v>65</v>
      </c>
      <c r="H2051">
        <v>6220</v>
      </c>
      <c r="I2051" t="s">
        <v>4145</v>
      </c>
      <c r="J2051" t="s">
        <v>4146</v>
      </c>
      <c r="K2051" t="s">
        <v>17</v>
      </c>
      <c r="L2051" t="str">
        <f t="shared" ref="L2051:L2114" si="32">CONCATENATE( "{ longitude: ", A2051, ", latitude: ", B2051, ", stopType: '", D2051, "', gotime: \'", H2051, "\', location: \'", I2051, "\' }, ")</f>
        <v xml:space="preserve">{ longitude: -63.6614102782734, latitude: 44.7023030612484, stopType: 'Bus Stop Inaccessible', gotime: \'6220\', location: \'BEDFORD HWY OPP LARRY UTECK BLVD\' }, </v>
      </c>
    </row>
    <row r="2052" spans="1:12" x14ac:dyDescent="0.25">
      <c r="A2052">
        <v>-63.605204673211503</v>
      </c>
      <c r="B2052">
        <v>44.698691692940898</v>
      </c>
      <c r="C2052">
        <v>1901</v>
      </c>
      <c r="D2052" t="s">
        <v>29</v>
      </c>
      <c r="E2052" t="s">
        <v>12</v>
      </c>
      <c r="F2052" t="s">
        <v>13</v>
      </c>
      <c r="G2052" t="s">
        <v>19</v>
      </c>
      <c r="H2052">
        <v>8515</v>
      </c>
      <c r="I2052" t="s">
        <v>4147</v>
      </c>
      <c r="J2052" t="s">
        <v>4148</v>
      </c>
      <c r="K2052" t="s">
        <v>17</v>
      </c>
      <c r="L2052" t="str">
        <f t="shared" si="32"/>
        <v xml:space="preserve">{ longitude: -63.6052046732115, latitude: 44.6986916929409, stopType: 'Bus Stop Accessible', gotime: \'8515\', location: \'WINDMILL RD  FS WRIGHT AVE\' }, </v>
      </c>
    </row>
    <row r="2053" spans="1:12" x14ac:dyDescent="0.25">
      <c r="A2053">
        <v>-63.663103489660202</v>
      </c>
      <c r="B2053">
        <v>44.7047723966216</v>
      </c>
      <c r="C2053">
        <v>641</v>
      </c>
      <c r="D2053" t="s">
        <v>103</v>
      </c>
      <c r="E2053" t="s">
        <v>12</v>
      </c>
      <c r="F2053" t="s">
        <v>25</v>
      </c>
      <c r="G2053" t="s">
        <v>65</v>
      </c>
      <c r="H2053">
        <v>6221</v>
      </c>
      <c r="I2053" t="s">
        <v>4149</v>
      </c>
      <c r="J2053" t="s">
        <v>4150</v>
      </c>
      <c r="K2053" t="s">
        <v>17</v>
      </c>
      <c r="L2053" t="str">
        <f t="shared" si="32"/>
        <v xml:space="preserve">{ longitude: -63.6631034896602, latitude: 44.7047723966216, stopType: 'Bus Stop Inaccessible', gotime: \'6221\', location: \'BEDFORD HWY OPP FERN AVE\' }, </v>
      </c>
    </row>
    <row r="2054" spans="1:12" x14ac:dyDescent="0.25">
      <c r="A2054">
        <v>-63.596046420170701</v>
      </c>
      <c r="B2054">
        <v>44.681385671061498</v>
      </c>
      <c r="C2054">
        <v>1902</v>
      </c>
      <c r="D2054" t="s">
        <v>29</v>
      </c>
      <c r="E2054" t="s">
        <v>12</v>
      </c>
      <c r="F2054" t="s">
        <v>13</v>
      </c>
      <c r="G2054" t="s">
        <v>19</v>
      </c>
      <c r="H2054">
        <v>8516</v>
      </c>
      <c r="I2054" t="s">
        <v>4151</v>
      </c>
      <c r="J2054" t="s">
        <v>4152</v>
      </c>
      <c r="K2054" t="s">
        <v>17</v>
      </c>
      <c r="L2054" t="str">
        <f t="shared" si="32"/>
        <v xml:space="preserve">{ longitude: -63.5960464201707, latitude: 44.6813856710615, stopType: 'Bus Stop Accessible', gotime: \'8516\', location: \'WINDMILL RD AT CIVIC 370\' }, </v>
      </c>
    </row>
    <row r="2055" spans="1:12" x14ac:dyDescent="0.25">
      <c r="A2055">
        <v>-63.659849814480197</v>
      </c>
      <c r="B2055">
        <v>44.690663982674799</v>
      </c>
      <c r="C2055">
        <v>642</v>
      </c>
      <c r="D2055" t="s">
        <v>103</v>
      </c>
      <c r="E2055" t="s">
        <v>12</v>
      </c>
      <c r="F2055" t="s">
        <v>25</v>
      </c>
      <c r="G2055" t="s">
        <v>65</v>
      </c>
      <c r="H2055">
        <v>6222</v>
      </c>
      <c r="I2055" t="s">
        <v>4153</v>
      </c>
      <c r="J2055" t="s">
        <v>4154</v>
      </c>
      <c r="K2055" t="s">
        <v>17</v>
      </c>
      <c r="L2055" t="str">
        <f t="shared" si="32"/>
        <v xml:space="preserve">{ longitude: -63.6598498144802, latitude: 44.6906639826748, stopType: 'Bus Stop Inaccessible', gotime: \'6222\', location: \'BEDFORD HWY OPP KENT AVE\' }, </v>
      </c>
    </row>
    <row r="2056" spans="1:12" x14ac:dyDescent="0.25">
      <c r="A2056">
        <v>-63.6043582420793</v>
      </c>
      <c r="B2056">
        <v>44.6977755487138</v>
      </c>
      <c r="C2056">
        <v>1903</v>
      </c>
      <c r="D2056" t="s">
        <v>29</v>
      </c>
      <c r="E2056" t="s">
        <v>12</v>
      </c>
      <c r="F2056" t="s">
        <v>13</v>
      </c>
      <c r="G2056" t="s">
        <v>19</v>
      </c>
      <c r="H2056">
        <v>8517</v>
      </c>
      <c r="I2056" t="s">
        <v>4155</v>
      </c>
      <c r="J2056" s="1" t="s">
        <v>4156</v>
      </c>
      <c r="K2056" t="s">
        <v>17</v>
      </c>
      <c r="L2056" t="str">
        <f t="shared" si="32"/>
        <v xml:space="preserve">{ longitude: -63.6043582420793, latitude: 44.6977755487138, stopType: 'Bus Stop Accessible', gotime: \'8517\', location: \'WINDMILL RD AT CIVIC 623\' }, </v>
      </c>
    </row>
    <row r="2057" spans="1:12" x14ac:dyDescent="0.25">
      <c r="A2057">
        <v>-63.660342585709103</v>
      </c>
      <c r="B2057">
        <v>44.6923595514019</v>
      </c>
      <c r="C2057">
        <v>643</v>
      </c>
      <c r="D2057" t="s">
        <v>103</v>
      </c>
      <c r="E2057" t="s">
        <v>12</v>
      </c>
      <c r="F2057" t="s">
        <v>25</v>
      </c>
      <c r="G2057" t="s">
        <v>65</v>
      </c>
      <c r="H2057">
        <v>6223</v>
      </c>
      <c r="I2057" t="s">
        <v>4157</v>
      </c>
      <c r="J2057" t="s">
        <v>4158</v>
      </c>
      <c r="K2057" t="s">
        <v>17</v>
      </c>
      <c r="L2057" t="str">
        <f t="shared" si="32"/>
        <v xml:space="preserve">{ longitude: -63.6603425857091, latitude: 44.6923595514019, stopType: 'Bus Stop Inaccessible', gotime: \'6223\', location: \'BEDFORD HWY OPP LODGE DR\' }, </v>
      </c>
    </row>
    <row r="2058" spans="1:12" x14ac:dyDescent="0.25">
      <c r="A2058">
        <v>-63.599945356442198</v>
      </c>
      <c r="B2058">
        <v>44.691089986641003</v>
      </c>
      <c r="C2058">
        <v>1904</v>
      </c>
      <c r="D2058" t="s">
        <v>18</v>
      </c>
      <c r="E2058" t="s">
        <v>12</v>
      </c>
      <c r="F2058" t="s">
        <v>13</v>
      </c>
      <c r="G2058" t="s">
        <v>65</v>
      </c>
      <c r="H2058">
        <v>8518</v>
      </c>
      <c r="I2058" t="s">
        <v>4159</v>
      </c>
      <c r="J2058" t="s">
        <v>4160</v>
      </c>
      <c r="K2058" t="s">
        <v>17</v>
      </c>
      <c r="L2058" t="str">
        <f t="shared" si="32"/>
        <v xml:space="preserve">{ longitude: -63.5999453564422, latitude: 44.691089986641, stopType: 'Bus Stop Shelter Non-Standard', gotime: \'8518\', location: \'WINDMILL RD  AT CIVIC 520\' }, </v>
      </c>
    </row>
    <row r="2059" spans="1:12" x14ac:dyDescent="0.25">
      <c r="A2059">
        <v>-63.664740739198699</v>
      </c>
      <c r="B2059">
        <v>44.706755313778203</v>
      </c>
      <c r="C2059">
        <v>644</v>
      </c>
      <c r="D2059" t="s">
        <v>11</v>
      </c>
      <c r="E2059" t="s">
        <v>12</v>
      </c>
      <c r="F2059" t="s">
        <v>25</v>
      </c>
      <c r="G2059" t="s">
        <v>26</v>
      </c>
      <c r="H2059">
        <v>6224</v>
      </c>
      <c r="I2059" t="s">
        <v>4161</v>
      </c>
      <c r="J2059" t="s">
        <v>4162</v>
      </c>
      <c r="K2059" t="s">
        <v>17</v>
      </c>
      <c r="L2059" t="str">
        <f t="shared" si="32"/>
        <v xml:space="preserve">{ longitude: -63.6647407391987, latitude: 44.7067553137782, stopType: 'Bus Stop Non-Standard', gotime: \'6224\', location: \'BEDFORD HWY AT CIVIC 748\' }, </v>
      </c>
    </row>
    <row r="2060" spans="1:12" x14ac:dyDescent="0.25">
      <c r="A2060">
        <v>-63.600497753258203</v>
      </c>
      <c r="B2060">
        <v>44.693450461033599</v>
      </c>
      <c r="C2060">
        <v>1905</v>
      </c>
      <c r="D2060" t="s">
        <v>11</v>
      </c>
      <c r="E2060" t="s">
        <v>12</v>
      </c>
      <c r="F2060" t="s">
        <v>13</v>
      </c>
      <c r="G2060" t="s">
        <v>14</v>
      </c>
      <c r="H2060">
        <v>8519</v>
      </c>
      <c r="I2060" t="s">
        <v>4163</v>
      </c>
      <c r="J2060" t="s">
        <v>4164</v>
      </c>
      <c r="K2060" t="s">
        <v>17</v>
      </c>
      <c r="L2060" t="str">
        <f t="shared" si="32"/>
        <v xml:space="preserve">{ longitude: -63.6004977532582, latitude: 44.6934504610336, stopType: 'Bus Stop Non-Standard', gotime: \'8519\', location: \'WINDMILL RD  AT CIVIC 552\' }, </v>
      </c>
    </row>
    <row r="2061" spans="1:12" x14ac:dyDescent="0.25">
      <c r="A2061">
        <v>-63.595299581578701</v>
      </c>
      <c r="B2061">
        <v>44.699080557385997</v>
      </c>
      <c r="C2061">
        <v>645</v>
      </c>
      <c r="D2061" t="s">
        <v>11</v>
      </c>
      <c r="E2061" t="s">
        <v>12</v>
      </c>
      <c r="F2061" t="s">
        <v>25</v>
      </c>
      <c r="G2061" t="s">
        <v>26</v>
      </c>
      <c r="H2061">
        <v>6225</v>
      </c>
      <c r="I2061" t="s">
        <v>4165</v>
      </c>
      <c r="J2061" t="s">
        <v>4166</v>
      </c>
      <c r="K2061" t="s">
        <v>17</v>
      </c>
      <c r="L2061" t="str">
        <f t="shared" si="32"/>
        <v xml:space="preserve">{ longitude: -63.5952995815787, latitude: 44.699080557386, stopType: 'Bus Stop Non-Standard', gotime: \'6225\', location: \'MACDONALD AVE AT NSCSA\' }, </v>
      </c>
    </row>
    <row r="2062" spans="1:12" x14ac:dyDescent="0.25">
      <c r="A2062">
        <v>-63.6036845705733</v>
      </c>
      <c r="B2062">
        <v>44.697612048654399</v>
      </c>
      <c r="C2062">
        <v>1906</v>
      </c>
      <c r="D2062" t="s">
        <v>11</v>
      </c>
      <c r="E2062" t="s">
        <v>12</v>
      </c>
      <c r="F2062" t="s">
        <v>13</v>
      </c>
      <c r="G2062" t="s">
        <v>14</v>
      </c>
      <c r="H2062">
        <v>8520</v>
      </c>
      <c r="I2062" t="s">
        <v>4167</v>
      </c>
      <c r="J2062" t="s">
        <v>4168</v>
      </c>
      <c r="K2062" t="s">
        <v>17</v>
      </c>
      <c r="L2062" t="str">
        <f t="shared" si="32"/>
        <v xml:space="preserve">{ longitude: -63.6036845705733, latitude: 44.6976120486544, stopType: 'Bus Stop Non-Standard', gotime: \'8520\', location: \'WINDMILL RD AT CIVIC 618\' }, </v>
      </c>
    </row>
    <row r="2063" spans="1:12" x14ac:dyDescent="0.25">
      <c r="A2063">
        <v>-63.655763687251103</v>
      </c>
      <c r="B2063">
        <v>44.734107038465403</v>
      </c>
      <c r="C2063">
        <v>646</v>
      </c>
      <c r="D2063" t="s">
        <v>22</v>
      </c>
      <c r="E2063" t="s">
        <v>12</v>
      </c>
      <c r="F2063" t="s">
        <v>13</v>
      </c>
      <c r="G2063" t="s">
        <v>14</v>
      </c>
      <c r="H2063">
        <v>6226</v>
      </c>
      <c r="I2063" t="s">
        <v>4169</v>
      </c>
      <c r="J2063" t="s">
        <v>4170</v>
      </c>
      <c r="K2063" t="s">
        <v>17</v>
      </c>
      <c r="L2063" t="str">
        <f t="shared" si="32"/>
        <v xml:space="preserve">{ longitude: -63.6557636872511, latitude: 44.7341070384654, stopType: 'Bus Stop Shelter Accessible', gotime: \'6226\', location: \'BEDFORD HWY OPP ROCKY LAKE DR\' }, </v>
      </c>
    </row>
    <row r="2064" spans="1:12" x14ac:dyDescent="0.25">
      <c r="A2064">
        <v>-63.597387615042699</v>
      </c>
      <c r="B2064">
        <v>44.682577492454598</v>
      </c>
      <c r="C2064">
        <v>1907</v>
      </c>
      <c r="D2064" t="s">
        <v>22</v>
      </c>
      <c r="E2064" t="s">
        <v>12</v>
      </c>
      <c r="F2064" t="s">
        <v>13</v>
      </c>
      <c r="G2064" t="s">
        <v>19</v>
      </c>
      <c r="H2064">
        <v>8521</v>
      </c>
      <c r="I2064" t="s">
        <v>4171</v>
      </c>
      <c r="J2064" t="s">
        <v>4172</v>
      </c>
      <c r="K2064" t="s">
        <v>17</v>
      </c>
      <c r="L2064" t="str">
        <f t="shared" si="32"/>
        <v xml:space="preserve">{ longitude: -63.5973876150427, latitude: 44.6825774924546, stopType: 'Bus Stop Shelter Accessible', gotime: \'8521\', location: \'WINDMILL RD  NS CIVIC 395\' }, </v>
      </c>
    </row>
    <row r="2065" spans="1:12" x14ac:dyDescent="0.25">
      <c r="A2065">
        <v>-63.666051888183702</v>
      </c>
      <c r="B2065">
        <v>44.726565602086502</v>
      </c>
      <c r="C2065">
        <v>647</v>
      </c>
      <c r="D2065" t="s">
        <v>11</v>
      </c>
      <c r="E2065" t="s">
        <v>12</v>
      </c>
      <c r="F2065" t="s">
        <v>13</v>
      </c>
      <c r="G2065" t="s">
        <v>19</v>
      </c>
      <c r="H2065">
        <v>6227</v>
      </c>
      <c r="I2065" t="s">
        <v>4173</v>
      </c>
      <c r="J2065" t="s">
        <v>4174</v>
      </c>
      <c r="K2065" t="s">
        <v>17</v>
      </c>
      <c r="L2065" t="str">
        <f t="shared" si="32"/>
        <v xml:space="preserve">{ longitude: -63.6660518881837, latitude: 44.7265656020865, stopType: 'Bus Stop Non-Standard', gotime: \'6227\', location: \'BEDFORD HWY OPP SPRING AVE\' }, </v>
      </c>
    </row>
    <row r="2066" spans="1:12" x14ac:dyDescent="0.25">
      <c r="A2066">
        <v>-63.608172032238002</v>
      </c>
      <c r="B2066">
        <v>44.702204084481401</v>
      </c>
      <c r="C2066">
        <v>1908</v>
      </c>
      <c r="D2066" t="s">
        <v>22</v>
      </c>
      <c r="E2066" t="s">
        <v>12</v>
      </c>
      <c r="F2066" t="s">
        <v>13</v>
      </c>
      <c r="G2066" t="s">
        <v>19</v>
      </c>
      <c r="H2066">
        <v>8522</v>
      </c>
      <c r="I2066" t="s">
        <v>4175</v>
      </c>
      <c r="J2066" t="s">
        <v>4176</v>
      </c>
      <c r="K2066" t="s">
        <v>17</v>
      </c>
      <c r="L2066" t="str">
        <f t="shared" si="32"/>
        <v xml:space="preserve">{ longitude: -63.608172032238, latitude: 44.7022040844814, stopType: 'Bus Stop Shelter Accessible', gotime: \'8522\', location: \'WINDMILL RD  NS DAWN DR\' }, </v>
      </c>
    </row>
    <row r="2067" spans="1:12" x14ac:dyDescent="0.25">
      <c r="A2067">
        <v>-63.659462854935498</v>
      </c>
      <c r="B2067">
        <v>44.7313576657602</v>
      </c>
      <c r="C2067">
        <v>648</v>
      </c>
      <c r="D2067" t="s">
        <v>22</v>
      </c>
      <c r="E2067" t="s">
        <v>12</v>
      </c>
      <c r="F2067" t="s">
        <v>25</v>
      </c>
      <c r="G2067" t="s">
        <v>19</v>
      </c>
      <c r="H2067">
        <v>6228</v>
      </c>
      <c r="I2067" t="s">
        <v>4177</v>
      </c>
      <c r="J2067" t="s">
        <v>4178</v>
      </c>
      <c r="K2067" t="s">
        <v>17</v>
      </c>
      <c r="L2067" t="str">
        <f t="shared" si="32"/>
        <v xml:space="preserve">{ longitude: -63.6594628549355, latitude: 44.7313576657602, stopType: 'Bus Stop Shelter Accessible', gotime: \'6228\', location: \'BEDFORD HWY AT BEDFORD TOWER\' }, </v>
      </c>
    </row>
    <row r="2068" spans="1:12" x14ac:dyDescent="0.25">
      <c r="A2068">
        <v>-63.590269230925699</v>
      </c>
      <c r="B2068">
        <v>44.650986724588698</v>
      </c>
      <c r="C2068">
        <v>1909</v>
      </c>
      <c r="D2068" t="s">
        <v>29</v>
      </c>
      <c r="E2068" t="s">
        <v>12</v>
      </c>
      <c r="F2068" t="s">
        <v>13</v>
      </c>
      <c r="G2068" t="s">
        <v>14</v>
      </c>
      <c r="H2068">
        <v>6546</v>
      </c>
      <c r="I2068" t="s">
        <v>4179</v>
      </c>
      <c r="J2068" t="s">
        <v>4180</v>
      </c>
      <c r="K2068" t="s">
        <v>17</v>
      </c>
      <c r="L2068" t="str">
        <f t="shared" si="32"/>
        <v xml:space="preserve">{ longitude: -63.5902692309257, latitude: 44.6509867245887, stopType: 'Bus Stop Accessible', gotime: \'6546\', location: \'CUNARD ST FS ROBIE ST\' }, </v>
      </c>
    </row>
    <row r="2069" spans="1:12" x14ac:dyDescent="0.25">
      <c r="A2069">
        <v>-63.672075067023101</v>
      </c>
      <c r="B2069">
        <v>44.720145154509503</v>
      </c>
      <c r="C2069">
        <v>649</v>
      </c>
      <c r="D2069" t="s">
        <v>103</v>
      </c>
      <c r="E2069" t="s">
        <v>12</v>
      </c>
      <c r="F2069" t="s">
        <v>13</v>
      </c>
      <c r="G2069" t="s">
        <v>65</v>
      </c>
      <c r="H2069">
        <v>6229</v>
      </c>
      <c r="I2069" t="s">
        <v>4181</v>
      </c>
      <c r="J2069" t="s">
        <v>4182</v>
      </c>
      <c r="K2069" t="s">
        <v>17</v>
      </c>
      <c r="L2069" t="str">
        <f t="shared" si="32"/>
        <v xml:space="preserve">{ longitude: -63.6720750670231, latitude: 44.7201451545095, stopType: 'Bus Stop Inaccessible', gotime: \'6229\', location: \'BEDFORD HWY AT CIVIC 1157\' }, </v>
      </c>
    </row>
    <row r="2070" spans="1:12" x14ac:dyDescent="0.25">
      <c r="A2070">
        <v>-63.671874812847904</v>
      </c>
      <c r="B2070">
        <v>44.695863645793203</v>
      </c>
      <c r="C2070">
        <v>1910</v>
      </c>
      <c r="D2070" t="s">
        <v>11</v>
      </c>
      <c r="E2070" t="s">
        <v>12</v>
      </c>
      <c r="F2070" t="s">
        <v>25</v>
      </c>
      <c r="G2070" t="s">
        <v>19</v>
      </c>
      <c r="H2070">
        <v>6547</v>
      </c>
      <c r="I2070" t="s">
        <v>4183</v>
      </c>
      <c r="J2070" t="s">
        <v>4184</v>
      </c>
      <c r="K2070" t="s">
        <v>17</v>
      </c>
      <c r="L2070" t="str">
        <f t="shared" si="32"/>
        <v xml:space="preserve">{ longitude: -63.6718748128479, latitude: 44.6958636457932, stopType: 'Bus Stop Non-Standard', gotime: \'6547\', location: \'CUTTER DR NS STARBOARD DR\' }, </v>
      </c>
    </row>
    <row r="2071" spans="1:12" x14ac:dyDescent="0.25">
      <c r="A2071">
        <v>-63.671382645737701</v>
      </c>
      <c r="B2071">
        <v>44.710907552749099</v>
      </c>
      <c r="C2071">
        <v>650</v>
      </c>
      <c r="D2071" t="s">
        <v>64</v>
      </c>
      <c r="E2071" t="s">
        <v>12</v>
      </c>
      <c r="F2071" t="s">
        <v>25</v>
      </c>
      <c r="G2071" t="s">
        <v>65</v>
      </c>
      <c r="H2071">
        <v>6230</v>
      </c>
      <c r="I2071" t="s">
        <v>4185</v>
      </c>
      <c r="J2071" t="s">
        <v>4186</v>
      </c>
      <c r="K2071" t="s">
        <v>17</v>
      </c>
      <c r="L2071" t="str">
        <f t="shared" si="32"/>
        <v xml:space="preserve">{ longitude: -63.6713826457377, latitude: 44.7109075527491, stopType: 'Bus Stop Shelter Inaccessible', gotime: \'6230\', location: \'BEDFORD HWY AT CIVIC 836\' }, </v>
      </c>
    </row>
    <row r="2072" spans="1:12" x14ac:dyDescent="0.25">
      <c r="A2072">
        <v>-63.643575520869803</v>
      </c>
      <c r="B2072">
        <v>44.726550810057397</v>
      </c>
      <c r="C2072">
        <v>1911</v>
      </c>
      <c r="D2072" t="s">
        <v>103</v>
      </c>
      <c r="E2072" t="s">
        <v>12</v>
      </c>
      <c r="F2072" t="s">
        <v>25</v>
      </c>
      <c r="G2072" t="s">
        <v>65</v>
      </c>
      <c r="H2072">
        <v>6550</v>
      </c>
      <c r="I2072" t="s">
        <v>4187</v>
      </c>
      <c r="J2072" t="s">
        <v>4188</v>
      </c>
      <c r="K2072" t="s">
        <v>17</v>
      </c>
      <c r="L2072" t="str">
        <f t="shared" si="32"/>
        <v xml:space="preserve">{ longitude: -63.6435755208698, latitude: 44.7265508100574, stopType: 'Bus Stop Inaccessible', gotime: \'6550\', location: \'DARTMOUTH RD FS CIVIC 128\' }, </v>
      </c>
    </row>
    <row r="2073" spans="1:12" x14ac:dyDescent="0.25">
      <c r="A2073">
        <v>-63.666285932682797</v>
      </c>
      <c r="B2073">
        <v>44.7081255566032</v>
      </c>
      <c r="C2073">
        <v>651</v>
      </c>
      <c r="D2073" t="s">
        <v>103</v>
      </c>
      <c r="E2073" t="s">
        <v>12</v>
      </c>
      <c r="F2073" t="s">
        <v>25</v>
      </c>
      <c r="G2073" t="s">
        <v>65</v>
      </c>
      <c r="H2073">
        <v>6232</v>
      </c>
      <c r="I2073" t="s">
        <v>4189</v>
      </c>
      <c r="J2073" t="s">
        <v>4190</v>
      </c>
      <c r="K2073" t="s">
        <v>17</v>
      </c>
      <c r="L2073" t="str">
        <f t="shared" si="32"/>
        <v xml:space="preserve">{ longitude: -63.6662859326828, latitude: 44.7081255566032, stopType: 'Bus Stop Inaccessible', gotime: \'6232\', location: \'BEDFORD HWY AT ESQUIRE MOTEL\' }, </v>
      </c>
    </row>
    <row r="2074" spans="1:12" x14ac:dyDescent="0.25">
      <c r="A2074">
        <v>-63.646403255112901</v>
      </c>
      <c r="B2074">
        <v>44.7282729149495</v>
      </c>
      <c r="C2074">
        <v>1912</v>
      </c>
      <c r="D2074" t="s">
        <v>11</v>
      </c>
      <c r="E2074" t="s">
        <v>12</v>
      </c>
      <c r="F2074" t="s">
        <v>25</v>
      </c>
      <c r="G2074" t="s">
        <v>26</v>
      </c>
      <c r="H2074">
        <v>6551</v>
      </c>
      <c r="I2074" t="s">
        <v>4191</v>
      </c>
      <c r="J2074" t="s">
        <v>4192</v>
      </c>
      <c r="K2074" t="s">
        <v>17</v>
      </c>
      <c r="L2074" t="str">
        <f t="shared" si="32"/>
        <v xml:space="preserve">{ longitude: -63.6464032551129, latitude: 44.7282729149495, stopType: 'Bus Stop Non-Standard', gotime: \'6551\', location: \'DARTMOUTH RD FS CIVIC 94\' }, </v>
      </c>
    </row>
    <row r="2075" spans="1:12" x14ac:dyDescent="0.25">
      <c r="A2075">
        <v>-63.660580068383297</v>
      </c>
      <c r="B2075">
        <v>44.692514292200698</v>
      </c>
      <c r="C2075">
        <v>652</v>
      </c>
      <c r="D2075" t="s">
        <v>103</v>
      </c>
      <c r="E2075" t="s">
        <v>12</v>
      </c>
      <c r="F2075" t="s">
        <v>25</v>
      </c>
      <c r="G2075" t="s">
        <v>65</v>
      </c>
      <c r="H2075">
        <v>6233</v>
      </c>
      <c r="I2075" t="s">
        <v>4193</v>
      </c>
      <c r="J2075" t="s">
        <v>4194</v>
      </c>
      <c r="K2075" t="s">
        <v>17</v>
      </c>
      <c r="L2075" t="str">
        <f t="shared" si="32"/>
        <v xml:space="preserve">{ longitude: -63.6605800683833, latitude: 44.6925142922007, stopType: 'Bus Stop Inaccessible', gotime: \'6233\', location: \'BEDFORD HWY AT LODGE DR\' }, </v>
      </c>
    </row>
    <row r="2076" spans="1:12" x14ac:dyDescent="0.25">
      <c r="A2076">
        <v>-63.643678494631096</v>
      </c>
      <c r="B2076">
        <v>44.726416587488103</v>
      </c>
      <c r="C2076">
        <v>1913</v>
      </c>
      <c r="D2076" t="s">
        <v>103</v>
      </c>
      <c r="E2076" t="s">
        <v>12</v>
      </c>
      <c r="F2076" t="s">
        <v>25</v>
      </c>
      <c r="G2076" t="s">
        <v>65</v>
      </c>
      <c r="H2076">
        <v>6552</v>
      </c>
      <c r="I2076" t="s">
        <v>4195</v>
      </c>
      <c r="J2076" t="s">
        <v>4196</v>
      </c>
      <c r="K2076" t="s">
        <v>17</v>
      </c>
      <c r="L2076" t="str">
        <f t="shared" si="32"/>
        <v xml:space="preserve">{ longitude: -63.6436784946311, latitude: 44.7264165874881, stopType: 'Bus Stop Inaccessible', gotime: \'6552\', location: \'DARTMOUTH RD FS EAGLEWOOD DR\' }, </v>
      </c>
    </row>
    <row r="2077" spans="1:12" x14ac:dyDescent="0.25">
      <c r="A2077">
        <v>-63.660871562015501</v>
      </c>
      <c r="B2077">
        <v>44.695918321423903</v>
      </c>
      <c r="C2077">
        <v>653</v>
      </c>
      <c r="D2077" t="s">
        <v>18</v>
      </c>
      <c r="E2077" t="s">
        <v>12</v>
      </c>
      <c r="F2077" t="s">
        <v>25</v>
      </c>
      <c r="G2077" t="s">
        <v>26</v>
      </c>
      <c r="H2077">
        <v>6234</v>
      </c>
      <c r="I2077" t="s">
        <v>4197</v>
      </c>
      <c r="J2077" t="s">
        <v>4198</v>
      </c>
      <c r="K2077" t="s">
        <v>17</v>
      </c>
      <c r="L2077" t="str">
        <f t="shared" si="32"/>
        <v xml:space="preserve">{ longitude: -63.6608715620155, latitude: 44.6959183214239, stopType: 'Bus Stop Shelter Non-Standard', gotime: \'6234\', location: \'BEDFORD HWY AT SHAUNSLIEVE DR\' }, </v>
      </c>
    </row>
    <row r="2078" spans="1:12" x14ac:dyDescent="0.25">
      <c r="A2078">
        <v>-63.655663672809098</v>
      </c>
      <c r="B2078">
        <v>44.730420675652603</v>
      </c>
      <c r="C2078">
        <v>1914</v>
      </c>
      <c r="D2078" t="s">
        <v>29</v>
      </c>
      <c r="E2078" t="s">
        <v>12</v>
      </c>
      <c r="F2078" t="s">
        <v>25</v>
      </c>
      <c r="G2078" t="s">
        <v>19</v>
      </c>
      <c r="H2078">
        <v>6553</v>
      </c>
      <c r="I2078" t="s">
        <v>4199</v>
      </c>
      <c r="J2078" t="s">
        <v>4200</v>
      </c>
      <c r="K2078" t="s">
        <v>17</v>
      </c>
      <c r="L2078" t="str">
        <f t="shared" si="32"/>
        <v xml:space="preserve">{ longitude: -63.6556636728091, latitude: 44.7304206756526, stopType: 'Bus Stop Accessible', gotime: \'6553\', location: \'DARTMOUTH RD FS NORTH ST\' }, </v>
      </c>
    </row>
    <row r="2079" spans="1:12" x14ac:dyDescent="0.25">
      <c r="A2079">
        <v>-63.674615711156797</v>
      </c>
      <c r="B2079">
        <v>44.718241217326302</v>
      </c>
      <c r="C2079">
        <v>654</v>
      </c>
      <c r="D2079" t="s">
        <v>22</v>
      </c>
      <c r="E2079" t="s">
        <v>12</v>
      </c>
      <c r="F2079" t="s">
        <v>13</v>
      </c>
      <c r="G2079" t="s">
        <v>19</v>
      </c>
      <c r="H2079">
        <v>6235</v>
      </c>
      <c r="I2079" t="s">
        <v>4201</v>
      </c>
      <c r="J2079" t="s">
        <v>4202</v>
      </c>
      <c r="K2079" t="s">
        <v>17</v>
      </c>
      <c r="L2079" t="str">
        <f t="shared" si="32"/>
        <v xml:space="preserve">{ longitude: -63.6746157111568, latitude: 44.7182412173263, stopType: 'Bus Stop Shelter Accessible', gotime: \'6235\', location: \'BEDFORD HWY AT CONVOY RUN\' }, </v>
      </c>
    </row>
    <row r="2080" spans="1:12" x14ac:dyDescent="0.25">
      <c r="A2080">
        <v>-63.649408755497298</v>
      </c>
      <c r="B2080">
        <v>44.728214343462803</v>
      </c>
      <c r="C2080">
        <v>1915</v>
      </c>
      <c r="D2080" t="s">
        <v>29</v>
      </c>
      <c r="E2080" t="s">
        <v>12</v>
      </c>
      <c r="F2080" t="s">
        <v>25</v>
      </c>
      <c r="G2080" t="s">
        <v>19</v>
      </c>
      <c r="H2080">
        <v>6554</v>
      </c>
      <c r="I2080" t="s">
        <v>4203</v>
      </c>
      <c r="J2080" t="s">
        <v>4204</v>
      </c>
      <c r="K2080" t="s">
        <v>17</v>
      </c>
      <c r="L2080" t="str">
        <f t="shared" si="32"/>
        <v xml:space="preserve">{ longitude: -63.6494087554973, latitude: 44.7282143434628, stopType: 'Bus Stop Accessible', gotime: \'6554\', location: \'DARTMOUTH RD FS OBRINE ST\' }, </v>
      </c>
    </row>
    <row r="2081" spans="1:12" x14ac:dyDescent="0.25">
      <c r="A2081">
        <v>-63.6567039671042</v>
      </c>
      <c r="B2081">
        <v>44.732514839625303</v>
      </c>
      <c r="C2081">
        <v>655</v>
      </c>
      <c r="D2081" t="s">
        <v>22</v>
      </c>
      <c r="E2081" t="s">
        <v>12</v>
      </c>
      <c r="F2081" t="s">
        <v>13</v>
      </c>
      <c r="G2081" t="s">
        <v>19</v>
      </c>
      <c r="H2081">
        <v>6236</v>
      </c>
      <c r="I2081" t="s">
        <v>913</v>
      </c>
      <c r="J2081" t="s">
        <v>4205</v>
      </c>
      <c r="K2081" t="s">
        <v>17</v>
      </c>
      <c r="L2081" t="str">
        <f t="shared" si="32"/>
        <v xml:space="preserve">{ longitude: -63.6567039671042, latitude: 44.7325148396253, stopType: 'Bus Stop Shelter Accessible', gotime: \'6236\', location: \'BEDFORD HWY IB AT DART. RD\' }, </v>
      </c>
    </row>
    <row r="2082" spans="1:12" x14ac:dyDescent="0.25">
      <c r="A2082">
        <v>-63.646367900516999</v>
      </c>
      <c r="B2082">
        <v>44.728101657368804</v>
      </c>
      <c r="C2082">
        <v>1916</v>
      </c>
      <c r="D2082" t="s">
        <v>29</v>
      </c>
      <c r="E2082" t="s">
        <v>12</v>
      </c>
      <c r="F2082" t="s">
        <v>25</v>
      </c>
      <c r="G2082" t="s">
        <v>19</v>
      </c>
      <c r="H2082">
        <v>6555</v>
      </c>
      <c r="I2082" t="s">
        <v>4206</v>
      </c>
      <c r="J2082" t="s">
        <v>4207</v>
      </c>
      <c r="K2082" t="s">
        <v>17</v>
      </c>
      <c r="L2082" t="str">
        <f t="shared" si="32"/>
        <v xml:space="preserve">{ longitude: -63.646367900517, latitude: 44.7281016573688, stopType: 'Bus Stop Accessible', gotime: \'6555\', location: \'DARTMOUTH RD NS DARTMOUR CR\' }, </v>
      </c>
    </row>
    <row r="2083" spans="1:12" x14ac:dyDescent="0.25">
      <c r="A2083">
        <v>-63.658689121937002</v>
      </c>
      <c r="B2083">
        <v>44.731326949279399</v>
      </c>
      <c r="C2083">
        <v>656</v>
      </c>
      <c r="D2083" t="s">
        <v>29</v>
      </c>
      <c r="E2083" t="s">
        <v>12</v>
      </c>
      <c r="F2083" t="s">
        <v>13</v>
      </c>
      <c r="G2083" t="s">
        <v>14</v>
      </c>
      <c r="H2083">
        <v>6237</v>
      </c>
      <c r="I2083" t="s">
        <v>4208</v>
      </c>
      <c r="J2083" t="s">
        <v>4209</v>
      </c>
      <c r="K2083" t="s">
        <v>17</v>
      </c>
      <c r="L2083" t="str">
        <f t="shared" si="32"/>
        <v xml:space="preserve">{ longitude: -63.658689121937, latitude: 44.7313269492794, stopType: 'Bus Stop Accessible', gotime: \'6237\', location: \'BEDFORD HWY AT SUNNYSIDE ESSO\' }, </v>
      </c>
    </row>
    <row r="2084" spans="1:12" x14ac:dyDescent="0.25">
      <c r="A2084">
        <v>-63.649557727880101</v>
      </c>
      <c r="B2084">
        <v>44.7283864462648</v>
      </c>
      <c r="C2084">
        <v>1917</v>
      </c>
      <c r="D2084" t="s">
        <v>103</v>
      </c>
      <c r="E2084" t="s">
        <v>12</v>
      </c>
      <c r="F2084" t="s">
        <v>25</v>
      </c>
      <c r="G2084" t="s">
        <v>65</v>
      </c>
      <c r="H2084">
        <v>6556</v>
      </c>
      <c r="I2084" t="s">
        <v>4210</v>
      </c>
      <c r="J2084" t="s">
        <v>4211</v>
      </c>
      <c r="K2084" t="s">
        <v>17</v>
      </c>
      <c r="L2084" t="str">
        <f t="shared" si="32"/>
        <v xml:space="preserve">{ longitude: -63.6495577278801, latitude: 44.7283864462648, stopType: 'Bus Stop Inaccessible', gotime: \'6556\', location: \'DARTMOUTH RD NS RIDGEVALE DR\' }, </v>
      </c>
    </row>
    <row r="2085" spans="1:12" x14ac:dyDescent="0.25">
      <c r="A2085">
        <v>-63.656147483630498</v>
      </c>
      <c r="B2085">
        <v>44.732667862719303</v>
      </c>
      <c r="C2085">
        <v>657</v>
      </c>
      <c r="D2085" t="s">
        <v>22</v>
      </c>
      <c r="E2085" t="s">
        <v>12</v>
      </c>
      <c r="F2085" t="s">
        <v>13</v>
      </c>
      <c r="G2085" t="s">
        <v>19</v>
      </c>
      <c r="H2085">
        <v>6238</v>
      </c>
      <c r="I2085" t="s">
        <v>4212</v>
      </c>
      <c r="J2085" t="s">
        <v>4213</v>
      </c>
      <c r="K2085" t="s">
        <v>17</v>
      </c>
      <c r="L2085" t="str">
        <f t="shared" si="32"/>
        <v xml:space="preserve">{ longitude: -63.6561474836305, latitude: 44.7326678627193, stopType: 'Bus Stop Shelter Accessible', gotime: \'6238\', location: \'BEDFORD HWY OB AT DART. RD\' }, </v>
      </c>
    </row>
    <row r="2086" spans="1:12" x14ac:dyDescent="0.25">
      <c r="A2086">
        <v>-63.655842760241697</v>
      </c>
      <c r="B2086">
        <v>44.730260005984498</v>
      </c>
      <c r="C2086">
        <v>1918</v>
      </c>
      <c r="D2086" t="s">
        <v>11</v>
      </c>
      <c r="E2086" t="s">
        <v>12</v>
      </c>
      <c r="F2086" t="s">
        <v>25</v>
      </c>
      <c r="G2086" t="s">
        <v>26</v>
      </c>
      <c r="H2086">
        <v>6557</v>
      </c>
      <c r="I2086" t="s">
        <v>4214</v>
      </c>
      <c r="J2086" t="s">
        <v>4215</v>
      </c>
      <c r="K2086" t="s">
        <v>17</v>
      </c>
      <c r="L2086" t="str">
        <f t="shared" si="32"/>
        <v xml:space="preserve">{ longitude: -63.6558427602417, latitude: 44.7302600059845, stopType: 'Bus Stop Non-Standard', gotime: \'6557\', location: \'DARTMOUTH RD NS WARDOOR ST\' }, </v>
      </c>
    </row>
    <row r="2087" spans="1:12" x14ac:dyDescent="0.25">
      <c r="A2087">
        <v>-63.660982020922198</v>
      </c>
      <c r="B2087">
        <v>44.698754037322701</v>
      </c>
      <c r="C2087">
        <v>658</v>
      </c>
      <c r="D2087" t="s">
        <v>11</v>
      </c>
      <c r="E2087" t="s">
        <v>12</v>
      </c>
      <c r="F2087" t="s">
        <v>25</v>
      </c>
      <c r="G2087" t="s">
        <v>26</v>
      </c>
      <c r="H2087">
        <v>6239</v>
      </c>
      <c r="I2087" t="s">
        <v>4216</v>
      </c>
      <c r="J2087" t="s">
        <v>4217</v>
      </c>
      <c r="K2087" t="s">
        <v>17</v>
      </c>
      <c r="L2087" t="str">
        <f t="shared" si="32"/>
        <v xml:space="preserve">{ longitude: -63.6609820209222, latitude: 44.6987540373227, stopType: 'Bus Stop Non-Standard', gotime: \'6239\', location: \'BEDFORD HWY NS LARRY UTECK BLVD\' }, </v>
      </c>
    </row>
    <row r="2088" spans="1:12" x14ac:dyDescent="0.25">
      <c r="A2088">
        <v>-63.619578962916997</v>
      </c>
      <c r="B2088">
        <v>44.613994823329399</v>
      </c>
      <c r="C2088">
        <v>1919</v>
      </c>
      <c r="D2088" t="s">
        <v>29</v>
      </c>
      <c r="E2088" t="s">
        <v>12</v>
      </c>
      <c r="F2088" t="s">
        <v>13</v>
      </c>
      <c r="G2088" t="s">
        <v>14</v>
      </c>
      <c r="H2088">
        <v>6558</v>
      </c>
      <c r="I2088" t="s">
        <v>4218</v>
      </c>
      <c r="J2088" t="s">
        <v>4219</v>
      </c>
      <c r="K2088" t="s">
        <v>17</v>
      </c>
      <c r="L2088" t="str">
        <f t="shared" si="32"/>
        <v xml:space="preserve">{ longitude: -63.619578962917, latitude: 44.6139948233294, stopType: 'Bus Stop Accessible', gotime: \'6558\', location: \'DENIITH AT PARK N RIDE\' }, </v>
      </c>
    </row>
    <row r="2089" spans="1:12" x14ac:dyDescent="0.25">
      <c r="A2089">
        <v>-63.674657989699803</v>
      </c>
      <c r="B2089">
        <v>44.718436995590601</v>
      </c>
      <c r="C2089">
        <v>659</v>
      </c>
      <c r="D2089" t="s">
        <v>22</v>
      </c>
      <c r="E2089" t="s">
        <v>12</v>
      </c>
      <c r="F2089" t="s">
        <v>25</v>
      </c>
      <c r="G2089" t="s">
        <v>19</v>
      </c>
      <c r="H2089">
        <v>6240</v>
      </c>
      <c r="I2089" t="s">
        <v>4220</v>
      </c>
      <c r="J2089" t="s">
        <v>4221</v>
      </c>
      <c r="K2089" t="s">
        <v>17</v>
      </c>
      <c r="L2089" t="str">
        <f t="shared" si="32"/>
        <v xml:space="preserve">{ longitude: -63.6746579896998, latitude: 44.7184369955906, stopType: 'Bus Stop Shelter Accessible', gotime: \'6240\', location: \'BEDFORD HWY AT HOLLAND AVE\' }, </v>
      </c>
    </row>
    <row r="2090" spans="1:12" x14ac:dyDescent="0.25">
      <c r="A2090">
        <v>-63.677236692356203</v>
      </c>
      <c r="B2090">
        <v>44.6528780113184</v>
      </c>
      <c r="C2090">
        <v>1920</v>
      </c>
      <c r="D2090" t="s">
        <v>29</v>
      </c>
      <c r="E2090" t="s">
        <v>12</v>
      </c>
      <c r="F2090" t="s">
        <v>13</v>
      </c>
      <c r="G2090" t="s">
        <v>14</v>
      </c>
      <c r="H2090">
        <v>6394</v>
      </c>
      <c r="I2090" t="s">
        <v>4222</v>
      </c>
      <c r="J2090" t="s">
        <v>4223</v>
      </c>
      <c r="K2090" t="s">
        <v>17</v>
      </c>
      <c r="L2090" t="str">
        <f t="shared" si="32"/>
        <v xml:space="preserve">{ longitude: -63.6772366923562, latitude: 44.6528780113184, stopType: 'Bus Stop Accessible', gotime: \'6394\', location: \'CHAIN LAKE DR [OB] AT SUBWAY\' }, </v>
      </c>
    </row>
    <row r="2091" spans="1:12" x14ac:dyDescent="0.25">
      <c r="A2091">
        <v>-63.675092442980599</v>
      </c>
      <c r="B2091">
        <v>44.712734344875003</v>
      </c>
      <c r="C2091">
        <v>660</v>
      </c>
      <c r="D2091" t="s">
        <v>22</v>
      </c>
      <c r="E2091" t="s">
        <v>12</v>
      </c>
      <c r="F2091" t="s">
        <v>25</v>
      </c>
      <c r="G2091" t="s">
        <v>19</v>
      </c>
      <c r="H2091">
        <v>6241</v>
      </c>
      <c r="I2091" t="s">
        <v>4224</v>
      </c>
      <c r="J2091" t="s">
        <v>4225</v>
      </c>
      <c r="K2091" t="s">
        <v>17</v>
      </c>
      <c r="L2091" t="str">
        <f t="shared" si="32"/>
        <v xml:space="preserve">{ longitude: -63.6750924429806, latitude: 44.712734344875, stopType: 'Bus Stop Shelter Accessible', gotime: \'6241\', location: \'BEDFORD HWY AT NELSONS LANDING BLVD\' }, </v>
      </c>
    </row>
    <row r="2092" spans="1:12" x14ac:dyDescent="0.25">
      <c r="A2092">
        <v>-63.672398786763402</v>
      </c>
      <c r="B2092">
        <v>44.641442950361501</v>
      </c>
      <c r="C2092">
        <v>1921</v>
      </c>
      <c r="D2092" t="s">
        <v>103</v>
      </c>
      <c r="E2092" t="s">
        <v>12</v>
      </c>
      <c r="F2092" t="s">
        <v>13</v>
      </c>
      <c r="G2092" t="s">
        <v>65</v>
      </c>
      <c r="H2092">
        <v>6395</v>
      </c>
      <c r="I2092" t="s">
        <v>4226</v>
      </c>
      <c r="J2092" t="s">
        <v>4227</v>
      </c>
      <c r="K2092" t="s">
        <v>17</v>
      </c>
      <c r="L2092" t="str">
        <f t="shared" si="32"/>
        <v xml:space="preserve">{ longitude: -63.6723987867634, latitude: 44.6414429503615, stopType: 'Bus Stop Inaccessible', gotime: \'6395\', location: \'CHAIN LAKE DR OPP ALTANTIC TENNIS COURTS\' }, </v>
      </c>
    </row>
    <row r="2093" spans="1:12" x14ac:dyDescent="0.25">
      <c r="A2093">
        <v>-63.659403896458201</v>
      </c>
      <c r="B2093">
        <v>44.6883477762468</v>
      </c>
      <c r="C2093">
        <v>661</v>
      </c>
      <c r="D2093" t="s">
        <v>11</v>
      </c>
      <c r="E2093" t="s">
        <v>12</v>
      </c>
      <c r="F2093" t="s">
        <v>25</v>
      </c>
      <c r="G2093" t="s">
        <v>26</v>
      </c>
      <c r="H2093">
        <v>6242</v>
      </c>
      <c r="I2093" t="s">
        <v>4228</v>
      </c>
      <c r="J2093" t="s">
        <v>4229</v>
      </c>
      <c r="K2093" t="s">
        <v>17</v>
      </c>
      <c r="L2093" t="str">
        <f t="shared" si="32"/>
        <v xml:space="preserve">{ longitude: -63.6594038964582, latitude: 44.6883477762468, stopType: 'Bus Stop Non-Standard', gotime: \'6242\', location: \'BEDFORD HWY AT TALL TREES LANE\' }, </v>
      </c>
    </row>
    <row r="2094" spans="1:12" x14ac:dyDescent="0.25">
      <c r="A2094">
        <v>-63.655052631004402</v>
      </c>
      <c r="B2094">
        <v>44.7411707219551</v>
      </c>
      <c r="C2094">
        <v>662</v>
      </c>
      <c r="D2094" t="s">
        <v>103</v>
      </c>
      <c r="E2094" t="s">
        <v>12</v>
      </c>
      <c r="F2094" t="s">
        <v>25</v>
      </c>
      <c r="G2094" t="s">
        <v>65</v>
      </c>
      <c r="H2094">
        <v>6243</v>
      </c>
      <c r="I2094" t="s">
        <v>4230</v>
      </c>
      <c r="J2094" t="s">
        <v>4231</v>
      </c>
      <c r="K2094" t="s">
        <v>17</v>
      </c>
      <c r="L2094" t="str">
        <f t="shared" si="32"/>
        <v xml:space="preserve">{ longitude: -63.6550526310044, latitude: 44.7411707219551, stopType: 'Bus Stop Inaccessible', gotime: \'6243\', location: \'BEDFORD HWY AT CIVIC 1749\' }, </v>
      </c>
    </row>
    <row r="2095" spans="1:12" x14ac:dyDescent="0.25">
      <c r="A2095">
        <v>-63.602805365344999</v>
      </c>
      <c r="B2095">
        <v>44.6486898918062</v>
      </c>
      <c r="C2095">
        <v>1922</v>
      </c>
      <c r="D2095" t="s">
        <v>29</v>
      </c>
      <c r="E2095" t="s">
        <v>12</v>
      </c>
      <c r="F2095" t="s">
        <v>13</v>
      </c>
      <c r="G2095" t="s">
        <v>19</v>
      </c>
      <c r="H2095">
        <v>6396</v>
      </c>
      <c r="I2095" t="s">
        <v>4232</v>
      </c>
      <c r="J2095" t="s">
        <v>4233</v>
      </c>
      <c r="K2095" t="s">
        <v>17</v>
      </c>
      <c r="L2095" t="str">
        <f t="shared" si="32"/>
        <v xml:space="preserve">{ longitude: -63.602805365345, latitude: 44.6486898918062, stopType: 'Bus Stop Accessible', gotime: \'6396\', location: \'CHEBUCTO RD &lt;WB&gt; FS OXFORD ST\' }, </v>
      </c>
    </row>
    <row r="2096" spans="1:12" x14ac:dyDescent="0.25">
      <c r="A2096">
        <v>-63.670623075732699</v>
      </c>
      <c r="B2096">
        <v>44.722556607014603</v>
      </c>
      <c r="C2096">
        <v>663</v>
      </c>
      <c r="D2096" t="s">
        <v>11</v>
      </c>
      <c r="E2096" t="s">
        <v>12</v>
      </c>
      <c r="F2096" t="s">
        <v>25</v>
      </c>
      <c r="G2096" t="s">
        <v>26</v>
      </c>
      <c r="H2096">
        <v>6244</v>
      </c>
      <c r="I2096" t="s">
        <v>4234</v>
      </c>
      <c r="J2096" t="s">
        <v>4235</v>
      </c>
      <c r="K2096" t="s">
        <v>17</v>
      </c>
      <c r="L2096" t="str">
        <f t="shared" si="32"/>
        <v xml:space="preserve">{ longitude: -63.6706230757327, latitude: 44.7225566070146, stopType: 'Bus Stop Non-Standard', gotime: \'6244\', location: \'BEDFORD HWY AT CIVIC 1189\' }, </v>
      </c>
    </row>
    <row r="2097" spans="1:12" x14ac:dyDescent="0.25">
      <c r="A2097">
        <v>-63.602082015623097</v>
      </c>
      <c r="B2097">
        <v>44.648743515171802</v>
      </c>
      <c r="C2097">
        <v>1923</v>
      </c>
      <c r="D2097" t="s">
        <v>29</v>
      </c>
      <c r="E2097" t="s">
        <v>12</v>
      </c>
      <c r="F2097" t="s">
        <v>13</v>
      </c>
      <c r="G2097" t="s">
        <v>14</v>
      </c>
      <c r="H2097">
        <v>6397</v>
      </c>
      <c r="I2097" t="s">
        <v>4236</v>
      </c>
      <c r="J2097" t="s">
        <v>4237</v>
      </c>
      <c r="K2097" t="s">
        <v>17</v>
      </c>
      <c r="L2097" t="str">
        <f t="shared" si="32"/>
        <v xml:space="preserve">{ longitude: -63.6020820156231, latitude: 44.6487435151718, stopType: 'Bus Stop Accessible', gotime: \'6397\', location: \'CHEBUCTO RD &lt;EB&gt; FS OXFORD ST\' }, </v>
      </c>
    </row>
    <row r="2098" spans="1:12" x14ac:dyDescent="0.25">
      <c r="A2098">
        <v>-63.655275979408898</v>
      </c>
      <c r="B2098">
        <v>44.735319283106001</v>
      </c>
      <c r="C2098">
        <v>664</v>
      </c>
      <c r="D2098" t="s">
        <v>22</v>
      </c>
      <c r="E2098" t="s">
        <v>12</v>
      </c>
      <c r="F2098" t="s">
        <v>13</v>
      </c>
      <c r="G2098" t="s">
        <v>19</v>
      </c>
      <c r="H2098">
        <v>6245</v>
      </c>
      <c r="I2098" t="s">
        <v>4238</v>
      </c>
      <c r="J2098" t="s">
        <v>4239</v>
      </c>
      <c r="K2098" t="s">
        <v>17</v>
      </c>
      <c r="L2098" t="str">
        <f t="shared" si="32"/>
        <v xml:space="preserve">{ longitude: -63.6552759794089, latitude: 44.735319283106, stopType: 'Bus Stop Shelter Accessible', gotime: \'6245\', location: \'BEDFORD HWY AT BEDFORD PLACE MALL\' }, </v>
      </c>
    </row>
    <row r="2099" spans="1:12" x14ac:dyDescent="0.25">
      <c r="A2099">
        <v>-63.617772591592697</v>
      </c>
      <c r="B2099">
        <v>44.644422977677699</v>
      </c>
      <c r="C2099">
        <v>1924</v>
      </c>
      <c r="D2099" t="s">
        <v>29</v>
      </c>
      <c r="E2099" t="s">
        <v>12</v>
      </c>
      <c r="F2099" t="s">
        <v>13</v>
      </c>
      <c r="G2099" t="s">
        <v>19</v>
      </c>
      <c r="H2099">
        <v>6398</v>
      </c>
      <c r="I2099" t="s">
        <v>4240</v>
      </c>
      <c r="J2099" t="s">
        <v>4241</v>
      </c>
      <c r="K2099" t="s">
        <v>17</v>
      </c>
      <c r="L2099" t="str">
        <f t="shared" si="32"/>
        <v xml:space="preserve">{ longitude: -63.6177725915927, latitude: 44.6444229776777, stopType: 'Bus Stop Accessible', gotime: \'6398\', location: \'CHEBUCTO RD FS PHILLIPS ST [OB]\' }, </v>
      </c>
    </row>
    <row r="2100" spans="1:12" x14ac:dyDescent="0.25">
      <c r="A2100">
        <v>-63.619899888913899</v>
      </c>
      <c r="B2100">
        <v>44.641939973043698</v>
      </c>
      <c r="C2100">
        <v>1925</v>
      </c>
      <c r="D2100" t="s">
        <v>29</v>
      </c>
      <c r="E2100" t="s">
        <v>12</v>
      </c>
      <c r="F2100" t="s">
        <v>13</v>
      </c>
      <c r="G2100" t="s">
        <v>14</v>
      </c>
      <c r="H2100">
        <v>6399</v>
      </c>
      <c r="I2100" t="s">
        <v>4242</v>
      </c>
      <c r="J2100" t="s">
        <v>4243</v>
      </c>
      <c r="K2100" t="s">
        <v>17</v>
      </c>
      <c r="L2100" t="str">
        <f t="shared" si="32"/>
        <v xml:space="preserve">{ longitude: -63.6198998889139, latitude: 44.6419399730437, stopType: 'Bus Stop Accessible', gotime: \'6399\', location: \'CHEBUCTO RD FS ARMDALE ROUNDABOUT\' }, </v>
      </c>
    </row>
    <row r="2101" spans="1:12" x14ac:dyDescent="0.25">
      <c r="A2101">
        <v>-63.6216156480534</v>
      </c>
      <c r="B2101">
        <v>44.652557704663501</v>
      </c>
      <c r="C2101">
        <v>665</v>
      </c>
      <c r="D2101" t="s">
        <v>22</v>
      </c>
      <c r="E2101" t="s">
        <v>12</v>
      </c>
      <c r="F2101" t="s">
        <v>13</v>
      </c>
      <c r="G2101" t="s">
        <v>19</v>
      </c>
      <c r="H2101">
        <v>6197</v>
      </c>
      <c r="I2101" t="s">
        <v>4244</v>
      </c>
      <c r="J2101" t="s">
        <v>4245</v>
      </c>
      <c r="K2101" t="s">
        <v>17</v>
      </c>
      <c r="L2101" t="str">
        <f t="shared" si="32"/>
        <v xml:space="preserve">{ longitude: -63.6216156480534, latitude: 44.6525577046635, stopType: 'Bus Stop Shelter Accessible', gotime: \'6197\', location: \'BAYERS RD &lt;EB&gt; AT ROMANS AVE\' }, </v>
      </c>
    </row>
    <row r="2102" spans="1:12" x14ac:dyDescent="0.25">
      <c r="A2102">
        <v>-63.622944909064501</v>
      </c>
      <c r="B2102">
        <v>44.653143995869002</v>
      </c>
      <c r="C2102">
        <v>666</v>
      </c>
      <c r="D2102" t="s">
        <v>29</v>
      </c>
      <c r="E2102" t="s">
        <v>12</v>
      </c>
      <c r="F2102" t="s">
        <v>13</v>
      </c>
      <c r="G2102" t="s">
        <v>19</v>
      </c>
      <c r="H2102">
        <v>6198</v>
      </c>
      <c r="I2102" t="s">
        <v>4246</v>
      </c>
      <c r="J2102" t="s">
        <v>4247</v>
      </c>
      <c r="K2102" t="s">
        <v>17</v>
      </c>
      <c r="L2102" t="str">
        <f t="shared" si="32"/>
        <v xml:space="preserve">{ longitude: -63.6229449090645, latitude: 44.653143995869, stopType: 'Bus Stop Accessible', gotime: \'6198\', location: \'BAYERS RD &lt;WB&gt; AT ROMANS AVE\' }, </v>
      </c>
    </row>
    <row r="2103" spans="1:12" x14ac:dyDescent="0.25">
      <c r="A2103">
        <v>-63.597061076158703</v>
      </c>
      <c r="B2103">
        <v>44.650073871899203</v>
      </c>
      <c r="C2103">
        <v>1926</v>
      </c>
      <c r="D2103" t="s">
        <v>29</v>
      </c>
      <c r="E2103" t="s">
        <v>12</v>
      </c>
      <c r="F2103" t="s">
        <v>13</v>
      </c>
      <c r="G2103" t="s">
        <v>14</v>
      </c>
      <c r="H2103">
        <v>6400</v>
      </c>
      <c r="I2103" t="s">
        <v>4248</v>
      </c>
      <c r="J2103" t="s">
        <v>4249</v>
      </c>
      <c r="K2103" t="s">
        <v>17</v>
      </c>
      <c r="L2103" t="str">
        <f t="shared" si="32"/>
        <v xml:space="preserve">{ longitude: -63.5970610761587, latitude: 44.6500738718992, stopType: 'Bus Stop Accessible', gotime: \'6400\', location: \'CHEBUCTO RD FS ST MATTHIAS\' }, </v>
      </c>
    </row>
    <row r="2104" spans="1:12" x14ac:dyDescent="0.25">
      <c r="A2104">
        <v>-63.618916684228502</v>
      </c>
      <c r="B2104">
        <v>44.652087915339401</v>
      </c>
      <c r="C2104">
        <v>667</v>
      </c>
      <c r="D2104" t="s">
        <v>29</v>
      </c>
      <c r="E2104" t="s">
        <v>12</v>
      </c>
      <c r="F2104" t="s">
        <v>13</v>
      </c>
      <c r="G2104" t="s">
        <v>19</v>
      </c>
      <c r="H2104">
        <v>6199</v>
      </c>
      <c r="I2104" t="s">
        <v>4250</v>
      </c>
      <c r="J2104" t="s">
        <v>4251</v>
      </c>
      <c r="K2104" t="s">
        <v>17</v>
      </c>
      <c r="L2104" t="str">
        <f t="shared" si="32"/>
        <v xml:space="preserve">{ longitude: -63.6189166842285, latitude: 44.6520879153394, stopType: 'Bus Stop Accessible', gotime: \'6199\', location: \'BAYERS RD &lt;WB&gt; AT CIVIC 6779\' }, </v>
      </c>
    </row>
    <row r="2105" spans="1:12" x14ac:dyDescent="0.25">
      <c r="A2105">
        <v>-63.5993587569547</v>
      </c>
      <c r="B2105">
        <v>44.649400833387098</v>
      </c>
      <c r="C2105">
        <v>1927</v>
      </c>
      <c r="D2105" t="s">
        <v>29</v>
      </c>
      <c r="E2105" t="s">
        <v>12</v>
      </c>
      <c r="F2105" t="s">
        <v>13</v>
      </c>
      <c r="G2105" t="s">
        <v>14</v>
      </c>
      <c r="H2105">
        <v>6401</v>
      </c>
      <c r="I2105" t="s">
        <v>4252</v>
      </c>
      <c r="J2105" t="s">
        <v>4253</v>
      </c>
      <c r="K2105" t="s">
        <v>17</v>
      </c>
      <c r="L2105" t="str">
        <f t="shared" si="32"/>
        <v xml:space="preserve">{ longitude: -63.5993587569547, latitude: 44.6494008333871, stopType: 'Bus Stop Accessible', gotime: \'6401\', location: \'CHEBUCTO RD &lt;EB&gt; FS OPP DUBLIN ST\' }, </v>
      </c>
    </row>
    <row r="2106" spans="1:12" x14ac:dyDescent="0.25">
      <c r="A2106">
        <v>-63.612686699039301</v>
      </c>
      <c r="B2106">
        <v>44.653550920305896</v>
      </c>
      <c r="C2106">
        <v>668</v>
      </c>
      <c r="D2106" t="s">
        <v>29</v>
      </c>
      <c r="E2106" t="s">
        <v>12</v>
      </c>
      <c r="F2106" t="s">
        <v>13</v>
      </c>
      <c r="G2106" t="s">
        <v>19</v>
      </c>
      <c r="H2106">
        <v>6201</v>
      </c>
      <c r="I2106" t="s">
        <v>4254</v>
      </c>
      <c r="J2106" t="s">
        <v>4255</v>
      </c>
      <c r="K2106" t="s">
        <v>17</v>
      </c>
      <c r="L2106" t="str">
        <f t="shared" si="32"/>
        <v xml:space="preserve">{ longitude: -63.6126866990393, latitude: 44.6535509203059, stopType: 'Bus Stop Accessible', gotime: \'6201\', location: \'BAYERS RD &lt;WB&gt; AT CONNOLLY ST\' }, </v>
      </c>
    </row>
    <row r="2107" spans="1:12" x14ac:dyDescent="0.25">
      <c r="A2107">
        <v>-63.600558025562897</v>
      </c>
      <c r="B2107">
        <v>44.649226239791297</v>
      </c>
      <c r="C2107">
        <v>1928</v>
      </c>
      <c r="D2107" t="s">
        <v>29</v>
      </c>
      <c r="E2107" t="s">
        <v>12</v>
      </c>
      <c r="F2107" t="s">
        <v>13</v>
      </c>
      <c r="G2107" t="s">
        <v>14</v>
      </c>
      <c r="H2107">
        <v>6402</v>
      </c>
      <c r="I2107" t="s">
        <v>4256</v>
      </c>
      <c r="J2107" t="s">
        <v>4257</v>
      </c>
      <c r="K2107" t="s">
        <v>17</v>
      </c>
      <c r="L2107" t="str">
        <f t="shared" si="32"/>
        <v xml:space="preserve">{ longitude: -63.6005580255629, latitude: 44.6492262397913, stopType: 'Bus Stop Accessible', gotime: \'6402\', location: \'CHEBUCTO RD AT CIVIC 6361\' }, </v>
      </c>
    </row>
    <row r="2108" spans="1:12" x14ac:dyDescent="0.25">
      <c r="A2108">
        <v>-63.583897419466602</v>
      </c>
      <c r="B2108">
        <v>44.634645470216597</v>
      </c>
      <c r="C2108">
        <v>669</v>
      </c>
      <c r="D2108" t="s">
        <v>29</v>
      </c>
      <c r="E2108" t="s">
        <v>12</v>
      </c>
      <c r="F2108" t="s">
        <v>13</v>
      </c>
      <c r="G2108" t="s">
        <v>19</v>
      </c>
      <c r="H2108">
        <v>6202</v>
      </c>
      <c r="I2108" t="s">
        <v>4258</v>
      </c>
      <c r="J2108" t="s">
        <v>4259</v>
      </c>
      <c r="K2108" t="s">
        <v>17</v>
      </c>
      <c r="L2108" t="str">
        <f t="shared" si="32"/>
        <v xml:space="preserve">{ longitude: -63.5838974194666, latitude: 44.6346454702166, stopType: 'Bus Stop Accessible', gotime: \'6202\', location: \'ROBIE ST NS OPP OAKLAND\' }, </v>
      </c>
    </row>
    <row r="2109" spans="1:12" x14ac:dyDescent="0.25">
      <c r="A2109">
        <v>-63.610762773064998</v>
      </c>
      <c r="B2109">
        <v>44.645928811529501</v>
      </c>
      <c r="C2109">
        <v>1929</v>
      </c>
      <c r="D2109" t="s">
        <v>29</v>
      </c>
      <c r="E2109" t="s">
        <v>12</v>
      </c>
      <c r="F2109" t="s">
        <v>13</v>
      </c>
      <c r="G2109" t="s">
        <v>19</v>
      </c>
      <c r="H2109">
        <v>6403</v>
      </c>
      <c r="I2109" t="s">
        <v>4260</v>
      </c>
      <c r="J2109" t="s">
        <v>4261</v>
      </c>
      <c r="K2109" t="s">
        <v>17</v>
      </c>
      <c r="L2109" t="str">
        <f t="shared" si="32"/>
        <v xml:space="preserve">{ longitude: -63.610762773065, latitude: 44.6459288115295, stopType: 'Bus Stop Accessible', gotime: \'6403\', location: \'CHEBUCTO RD &lt;EB&gt; NS ARMCRESCENT\' }, </v>
      </c>
    </row>
    <row r="2110" spans="1:12" x14ac:dyDescent="0.25">
      <c r="A2110">
        <v>-63.612841736485002</v>
      </c>
      <c r="B2110">
        <v>44.653289241731898</v>
      </c>
      <c r="C2110">
        <v>670</v>
      </c>
      <c r="D2110" t="s">
        <v>22</v>
      </c>
      <c r="E2110" t="s">
        <v>12</v>
      </c>
      <c r="F2110" t="s">
        <v>13</v>
      </c>
      <c r="G2110" t="s">
        <v>19</v>
      </c>
      <c r="H2110">
        <v>6203</v>
      </c>
      <c r="I2110" t="s">
        <v>4262</v>
      </c>
      <c r="J2110" t="s">
        <v>4263</v>
      </c>
      <c r="K2110" t="s">
        <v>17</v>
      </c>
      <c r="L2110" t="str">
        <f t="shared" si="32"/>
        <v xml:space="preserve">{ longitude: -63.612841736485, latitude: 44.6532892417319, stopType: 'Bus Stop Shelter Accessible', gotime: \'6203\', location: \'BAYERS RD &lt;EB&gt; AT CONNOLLY ST\' }, </v>
      </c>
    </row>
    <row r="2111" spans="1:12" x14ac:dyDescent="0.25">
      <c r="A2111">
        <v>-63.607536982790798</v>
      </c>
      <c r="B2111">
        <v>44.647482388301498</v>
      </c>
      <c r="C2111">
        <v>1930</v>
      </c>
      <c r="D2111" t="s">
        <v>29</v>
      </c>
      <c r="E2111" t="s">
        <v>12</v>
      </c>
      <c r="F2111" t="s">
        <v>13</v>
      </c>
      <c r="G2111" t="s">
        <v>14</v>
      </c>
      <c r="H2111">
        <v>6404</v>
      </c>
      <c r="I2111" t="s">
        <v>4264</v>
      </c>
      <c r="J2111" t="s">
        <v>4265</v>
      </c>
      <c r="K2111" t="s">
        <v>17</v>
      </c>
      <c r="L2111" t="str">
        <f t="shared" si="32"/>
        <v xml:space="preserve">{ longitude: -63.6075369827908, latitude: 44.6474823883015, stopType: 'Bus Stop Accessible', gotime: \'6404\', location: \'CHEBUCTO RD &lt;WB&gt; NS CONNAUGHT AVE\' }, </v>
      </c>
    </row>
    <row r="2112" spans="1:12" x14ac:dyDescent="0.25">
      <c r="A2112">
        <v>-63.5424299303873</v>
      </c>
      <c r="B2112">
        <v>44.679138115934698</v>
      </c>
      <c r="C2112">
        <v>671</v>
      </c>
      <c r="D2112" t="s">
        <v>103</v>
      </c>
      <c r="E2112" t="s">
        <v>12</v>
      </c>
      <c r="F2112" t="s">
        <v>25</v>
      </c>
      <c r="G2112" t="s">
        <v>65</v>
      </c>
      <c r="H2112">
        <v>6204</v>
      </c>
      <c r="I2112" t="s">
        <v>4266</v>
      </c>
      <c r="J2112" t="s">
        <v>4267</v>
      </c>
      <c r="K2112" t="s">
        <v>17</v>
      </c>
      <c r="L2112" t="str">
        <f t="shared" si="32"/>
        <v xml:space="preserve">{ longitude: -63.5424299303873, latitude: 44.6791381159347, stopType: 'Bus Stop Inaccessible', gotime: \'6204\', location: \'BEACON ST FS CIVIC 3\' }, </v>
      </c>
    </row>
    <row r="2113" spans="1:12" x14ac:dyDescent="0.25">
      <c r="A2113">
        <v>-63.604891443859799</v>
      </c>
      <c r="B2113">
        <v>44.648151875689003</v>
      </c>
      <c r="C2113">
        <v>1931</v>
      </c>
      <c r="D2113" t="s">
        <v>29</v>
      </c>
      <c r="E2113" t="s">
        <v>12</v>
      </c>
      <c r="F2113" t="s">
        <v>13</v>
      </c>
      <c r="G2113" t="s">
        <v>14</v>
      </c>
      <c r="H2113">
        <v>6405</v>
      </c>
      <c r="I2113" t="s">
        <v>4268</v>
      </c>
      <c r="J2113" t="s">
        <v>4269</v>
      </c>
      <c r="K2113" t="s">
        <v>17</v>
      </c>
      <c r="L2113" t="str">
        <f t="shared" si="32"/>
        <v xml:space="preserve">{ longitude: -63.6048914438598, latitude: 44.648151875689, stopType: 'Bus Stop Accessible', gotime: \'6405\', location: \'CHEBUCTO RD &lt;WB&gt; NS CONNOLLY ST\' }, </v>
      </c>
    </row>
    <row r="2114" spans="1:12" x14ac:dyDescent="0.25">
      <c r="A2114">
        <v>-63.542172870233699</v>
      </c>
      <c r="B2114">
        <v>44.679145139883197</v>
      </c>
      <c r="C2114">
        <v>672</v>
      </c>
      <c r="D2114" t="s">
        <v>11</v>
      </c>
      <c r="E2114" t="s">
        <v>12</v>
      </c>
      <c r="F2114" t="s">
        <v>13</v>
      </c>
      <c r="G2114" t="s">
        <v>14</v>
      </c>
      <c r="H2114">
        <v>6205</v>
      </c>
      <c r="I2114" t="s">
        <v>4270</v>
      </c>
      <c r="J2114" t="s">
        <v>4271</v>
      </c>
      <c r="K2114" t="s">
        <v>17</v>
      </c>
      <c r="L2114" t="str">
        <f t="shared" si="32"/>
        <v xml:space="preserve">{ longitude: -63.5421728702337, latitude: 44.6791451398832, stopType: 'Bus Stop Non-Standard', gotime: \'6205\', location: \'BEACON ST NS HARRIS RD\' }, </v>
      </c>
    </row>
    <row r="2115" spans="1:12" x14ac:dyDescent="0.25">
      <c r="A2115">
        <v>-63.605457362530899</v>
      </c>
      <c r="B2115">
        <v>44.647882266931397</v>
      </c>
      <c r="C2115">
        <v>1932</v>
      </c>
      <c r="D2115" t="s">
        <v>29</v>
      </c>
      <c r="E2115" t="s">
        <v>12</v>
      </c>
      <c r="F2115" t="s">
        <v>13</v>
      </c>
      <c r="G2115" t="s">
        <v>14</v>
      </c>
      <c r="H2115">
        <v>6406</v>
      </c>
      <c r="I2115" t="s">
        <v>4272</v>
      </c>
      <c r="J2115" t="s">
        <v>4273</v>
      </c>
      <c r="K2115" t="s">
        <v>17</v>
      </c>
      <c r="L2115" t="str">
        <f t="shared" ref="L2115:L2178" si="33">CONCATENATE( "{ longitude: ", A2115, ", latitude: ", B2115, ", stopType: '", D2115, "', gotime: \'", H2115, "\', location: \'", I2115, "\' }, ")</f>
        <v xml:space="preserve">{ longitude: -63.6054573625309, latitude: 44.6478822669314, stopType: 'Bus Stop Accessible', gotime: \'6406\', location: \'CHEBUCTO RD &lt;EB&gt;NS ELM ST\' }, </v>
      </c>
    </row>
    <row r="2116" spans="1:12" x14ac:dyDescent="0.25">
      <c r="A2116">
        <v>-63.595164899384201</v>
      </c>
      <c r="B2116">
        <v>44.633765572433497</v>
      </c>
      <c r="C2116">
        <v>673</v>
      </c>
      <c r="D2116" t="s">
        <v>29</v>
      </c>
      <c r="E2116" t="s">
        <v>12</v>
      </c>
      <c r="F2116" t="s">
        <v>13</v>
      </c>
      <c r="G2116" t="s">
        <v>14</v>
      </c>
      <c r="H2116">
        <v>6206</v>
      </c>
      <c r="I2116" t="s">
        <v>4274</v>
      </c>
      <c r="J2116" t="s">
        <v>4275</v>
      </c>
      <c r="K2116" t="s">
        <v>17</v>
      </c>
      <c r="L2116" t="str">
        <f t="shared" si="33"/>
        <v xml:space="preserve">{ longitude: -63.5951648993842, latitude: 44.6337655724335, stopType: 'Bus Stop Accessible', gotime: \'6206\', location: \'BEAUFORT AVE &lt;SB&gt; FS SOUTH ST\' }, </v>
      </c>
    </row>
    <row r="2117" spans="1:12" x14ac:dyDescent="0.25">
      <c r="A2117">
        <v>-63.608641527399598</v>
      </c>
      <c r="B2117">
        <v>44.646491680039396</v>
      </c>
      <c r="C2117">
        <v>1933</v>
      </c>
      <c r="D2117" t="s">
        <v>22</v>
      </c>
      <c r="E2117" t="s">
        <v>12</v>
      </c>
      <c r="F2117" t="s">
        <v>13</v>
      </c>
      <c r="G2117" t="s">
        <v>19</v>
      </c>
      <c r="H2117">
        <v>6407</v>
      </c>
      <c r="I2117" t="s">
        <v>4276</v>
      </c>
      <c r="J2117" t="s">
        <v>4277</v>
      </c>
      <c r="K2117" t="s">
        <v>17</v>
      </c>
      <c r="L2117" t="str">
        <f t="shared" si="33"/>
        <v xml:space="preserve">{ longitude: -63.6086415273996, latitude: 44.6464916800394, stopType: 'Bus Stop Shelter Accessible', gotime: \'6407\', location: \'CHEBUCTO RD &lt;EB&gt;NS NEWTON ST\' }, </v>
      </c>
    </row>
    <row r="2118" spans="1:12" x14ac:dyDescent="0.25">
      <c r="A2118">
        <v>-63.590049176056503</v>
      </c>
      <c r="B2118">
        <v>44.631450767284797</v>
      </c>
      <c r="C2118">
        <v>674</v>
      </c>
      <c r="D2118" t="s">
        <v>29</v>
      </c>
      <c r="E2118" t="s">
        <v>12</v>
      </c>
      <c r="F2118" t="s">
        <v>25</v>
      </c>
      <c r="G2118" t="s">
        <v>26</v>
      </c>
      <c r="H2118">
        <v>6207</v>
      </c>
      <c r="I2118" t="s">
        <v>4278</v>
      </c>
      <c r="J2118" t="s">
        <v>4279</v>
      </c>
      <c r="K2118" t="s">
        <v>17</v>
      </c>
      <c r="L2118" t="str">
        <f t="shared" si="33"/>
        <v xml:space="preserve">{ longitude: -63.5900491760565, latitude: 44.6314507672848, stopType: 'Bus Stop Accessible', gotime: \'6207\', location: \'BEAUFORT AVE &lt;NB&gt; AT CIVIC 1021\' }, </v>
      </c>
    </row>
    <row r="2119" spans="1:12" x14ac:dyDescent="0.25">
      <c r="A2119">
        <v>-63.6174896224571</v>
      </c>
      <c r="B2119">
        <v>44.644428441152499</v>
      </c>
      <c r="C2119">
        <v>1934</v>
      </c>
      <c r="D2119" t="s">
        <v>29</v>
      </c>
      <c r="E2119" t="s">
        <v>12</v>
      </c>
      <c r="F2119" t="s">
        <v>13</v>
      </c>
      <c r="G2119" t="s">
        <v>14</v>
      </c>
      <c r="H2119">
        <v>6408</v>
      </c>
      <c r="I2119" t="s">
        <v>4280</v>
      </c>
      <c r="J2119" t="s">
        <v>4281</v>
      </c>
      <c r="K2119" t="s">
        <v>17</v>
      </c>
      <c r="L2119" t="str">
        <f t="shared" si="33"/>
        <v xml:space="preserve">{ longitude: -63.6174896224571, latitude: 44.6444284411525, stopType: 'Bus Stop Accessible', gotime: \'6408\', location: \'CHEBUCTO RD NS PHILLIPS ST  [IB]\' }, </v>
      </c>
    </row>
    <row r="2120" spans="1:12" x14ac:dyDescent="0.25">
      <c r="A2120">
        <v>-63.589126114593803</v>
      </c>
      <c r="B2120">
        <v>44.630933750200903</v>
      </c>
      <c r="C2120">
        <v>675</v>
      </c>
      <c r="D2120" t="s">
        <v>29</v>
      </c>
      <c r="E2120" t="s">
        <v>12</v>
      </c>
      <c r="F2120" t="s">
        <v>13</v>
      </c>
      <c r="G2120" t="s">
        <v>14</v>
      </c>
      <c r="H2120">
        <v>6208</v>
      </c>
      <c r="I2120" t="s">
        <v>4282</v>
      </c>
      <c r="J2120" t="s">
        <v>4283</v>
      </c>
      <c r="K2120" t="s">
        <v>17</v>
      </c>
      <c r="L2120" t="str">
        <f t="shared" si="33"/>
        <v xml:space="preserve">{ longitude: -63.5891261145938, latitude: 44.6309337502009, stopType: 'Bus Stop Accessible', gotime: \'6208\', location: \'BEAUFORT AVE &lt;SB&gt; NS INGLIS ST\' }, </v>
      </c>
    </row>
    <row r="2121" spans="1:12" x14ac:dyDescent="0.25">
      <c r="A2121">
        <v>-63.612782483303803</v>
      </c>
      <c r="B2121">
        <v>44.645647887705501</v>
      </c>
      <c r="C2121">
        <v>1935</v>
      </c>
      <c r="D2121" t="s">
        <v>29</v>
      </c>
      <c r="E2121" t="s">
        <v>12</v>
      </c>
      <c r="F2121" t="s">
        <v>13</v>
      </c>
      <c r="G2121" t="s">
        <v>19</v>
      </c>
      <c r="H2121">
        <v>6409</v>
      </c>
      <c r="I2121" t="s">
        <v>4284</v>
      </c>
      <c r="J2121" t="s">
        <v>4285</v>
      </c>
      <c r="K2121" t="s">
        <v>17</v>
      </c>
      <c r="L2121" t="str">
        <f t="shared" si="33"/>
        <v xml:space="preserve">{ longitude: -63.6127824833038, latitude: 44.6456478877055, stopType: 'Bus Stop Accessible', gotime: \'6409\', location: \'CHEBUCTO RD &lt;EB&gt; NS QUINN ST\' }, </v>
      </c>
    </row>
    <row r="2122" spans="1:12" x14ac:dyDescent="0.25">
      <c r="A2122">
        <v>-63.593451890615498</v>
      </c>
      <c r="B2122">
        <v>44.6328018790173</v>
      </c>
      <c r="C2122">
        <v>676</v>
      </c>
      <c r="D2122" t="s">
        <v>29</v>
      </c>
      <c r="E2122" t="s">
        <v>12</v>
      </c>
      <c r="F2122" t="s">
        <v>13</v>
      </c>
      <c r="G2122" t="s">
        <v>14</v>
      </c>
      <c r="H2122">
        <v>6209</v>
      </c>
      <c r="I2122" t="s">
        <v>4286</v>
      </c>
      <c r="J2122" t="s">
        <v>4287</v>
      </c>
      <c r="K2122" t="s">
        <v>17</v>
      </c>
      <c r="L2122" t="str">
        <f t="shared" si="33"/>
        <v xml:space="preserve">{ longitude: -63.5934518906155, latitude: 44.6328018790173, stopType: 'Bus Stop Accessible', gotime: \'6209\', location: \'BEAUFORT AVE SB NS OAKLAND RD\' }, </v>
      </c>
    </row>
    <row r="2123" spans="1:12" x14ac:dyDescent="0.25">
      <c r="A2123">
        <v>-63.619934522652997</v>
      </c>
      <c r="B2123">
        <v>44.642450707481999</v>
      </c>
      <c r="C2123">
        <v>1936</v>
      </c>
      <c r="D2123" t="s">
        <v>29</v>
      </c>
      <c r="E2123" t="s">
        <v>12</v>
      </c>
      <c r="F2123" t="s">
        <v>13</v>
      </c>
      <c r="G2123" t="s">
        <v>14</v>
      </c>
      <c r="H2123">
        <v>6410</v>
      </c>
      <c r="I2123" t="s">
        <v>4288</v>
      </c>
      <c r="J2123" t="s">
        <v>4289</v>
      </c>
      <c r="K2123" t="s">
        <v>17</v>
      </c>
      <c r="L2123" t="str">
        <f t="shared" si="33"/>
        <v xml:space="preserve">{ longitude: -63.619934522653, latitude: 44.642450707482, stopType: 'Bus Stop Accessible', gotime: \'6410\', location: \'CHEBUCTO RD NS ARMDALE ROUNDABOUT\' }, </v>
      </c>
    </row>
    <row r="2124" spans="1:12" x14ac:dyDescent="0.25">
      <c r="A2124">
        <v>-63.592299714113501</v>
      </c>
      <c r="B2124">
        <v>44.632514723429303</v>
      </c>
      <c r="C2124">
        <v>677</v>
      </c>
      <c r="D2124" t="s">
        <v>29</v>
      </c>
      <c r="E2124" t="s">
        <v>12</v>
      </c>
      <c r="F2124" t="s">
        <v>13</v>
      </c>
      <c r="G2124" t="s">
        <v>14</v>
      </c>
      <c r="H2124">
        <v>6210</v>
      </c>
      <c r="I2124" t="s">
        <v>4290</v>
      </c>
      <c r="J2124" t="s">
        <v>4291</v>
      </c>
      <c r="K2124" t="s">
        <v>17</v>
      </c>
      <c r="L2124" t="str">
        <f t="shared" si="33"/>
        <v xml:space="preserve">{ longitude: -63.5922997141135, latitude: 44.6325147234293, stopType: 'Bus Stop Accessible', gotime: \'6210\', location: \'BEAUFORT AVE NB NS OAKLAND RD\' }, </v>
      </c>
    </row>
    <row r="2125" spans="1:12" x14ac:dyDescent="0.25">
      <c r="A2125">
        <v>-63.618825467367799</v>
      </c>
      <c r="B2125">
        <v>44.643582337457701</v>
      </c>
      <c r="C2125">
        <v>1937</v>
      </c>
      <c r="D2125" t="s">
        <v>29</v>
      </c>
      <c r="E2125" t="s">
        <v>12</v>
      </c>
      <c r="F2125" t="s">
        <v>13</v>
      </c>
      <c r="G2125" t="s">
        <v>19</v>
      </c>
      <c r="H2125">
        <v>6411</v>
      </c>
      <c r="I2125" t="s">
        <v>4292</v>
      </c>
      <c r="J2125" t="s">
        <v>4293</v>
      </c>
      <c r="K2125" t="s">
        <v>17</v>
      </c>
      <c r="L2125" t="str">
        <f t="shared" si="33"/>
        <v xml:space="preserve">{ longitude: -63.6188254673678, latitude: 44.6435823374577, stopType: 'Bus Stop Accessible', gotime: \'6411\', location: \'CHEBUCTO RD NS THE BAY [OB]\' }, </v>
      </c>
    </row>
    <row r="2126" spans="1:12" x14ac:dyDescent="0.25">
      <c r="A2126">
        <v>-63.595076261249901</v>
      </c>
      <c r="B2126">
        <v>44.6340190242395</v>
      </c>
      <c r="C2126">
        <v>678</v>
      </c>
      <c r="D2126" t="s">
        <v>29</v>
      </c>
      <c r="E2126" t="s">
        <v>12</v>
      </c>
      <c r="F2126" t="s">
        <v>13</v>
      </c>
      <c r="G2126" t="s">
        <v>14</v>
      </c>
      <c r="H2126">
        <v>6211</v>
      </c>
      <c r="I2126" t="s">
        <v>4294</v>
      </c>
      <c r="J2126" t="s">
        <v>4295</v>
      </c>
      <c r="K2126" t="s">
        <v>17</v>
      </c>
      <c r="L2126" t="str">
        <f t="shared" si="33"/>
        <v xml:space="preserve">{ longitude: -63.5950762612499, latitude: 44.6340190242395, stopType: 'Bus Stop Accessible', gotime: \'6211\', location: \'BEAUFORT AVE &lt;NB&gt; NS SOUTH ST\' }, </v>
      </c>
    </row>
    <row r="2127" spans="1:12" x14ac:dyDescent="0.25">
      <c r="A2127">
        <v>-63.610509661166702</v>
      </c>
      <c r="B2127">
        <v>44.646265051881102</v>
      </c>
      <c r="C2127">
        <v>1938</v>
      </c>
      <c r="D2127" t="s">
        <v>29</v>
      </c>
      <c r="E2127" t="s">
        <v>12</v>
      </c>
      <c r="F2127" t="s">
        <v>13</v>
      </c>
      <c r="G2127" t="s">
        <v>14</v>
      </c>
      <c r="H2127">
        <v>6413</v>
      </c>
      <c r="I2127" t="s">
        <v>4296</v>
      </c>
      <c r="J2127" t="s">
        <v>4297</v>
      </c>
      <c r="K2127" t="s">
        <v>17</v>
      </c>
      <c r="L2127" t="str">
        <f t="shared" si="33"/>
        <v xml:space="preserve">{ longitude: -63.6105096611667, latitude: 44.6462650518811, stopType: 'Bus Stop Accessible', gotime: \'6413\', location: \'CHEBUCTO RD OPP BENJAMIN GREEN DR\' }, </v>
      </c>
    </row>
    <row r="2128" spans="1:12" x14ac:dyDescent="0.25">
      <c r="A2128">
        <v>-63.695484673128497</v>
      </c>
      <c r="B2128">
        <v>44.777322434640801</v>
      </c>
      <c r="C2128">
        <v>679</v>
      </c>
      <c r="D2128" t="s">
        <v>29</v>
      </c>
      <c r="E2128" t="s">
        <v>12</v>
      </c>
      <c r="F2128" t="s">
        <v>13</v>
      </c>
      <c r="G2128" t="s">
        <v>14</v>
      </c>
      <c r="H2128">
        <v>6212</v>
      </c>
      <c r="I2128" t="s">
        <v>4298</v>
      </c>
      <c r="J2128" t="s">
        <v>4299</v>
      </c>
      <c r="K2128" t="s">
        <v>17</v>
      </c>
      <c r="L2128" t="str">
        <f t="shared" si="33"/>
        <v xml:space="preserve">{ longitude: -63.6954846731285, latitude: 44.7773224346408, stopType: 'Bus Stop Accessible', gotime: \'6212\', location: \'BEAVER BANK RD FS FIRE DEPT\' }, </v>
      </c>
    </row>
    <row r="2129" spans="1:12" x14ac:dyDescent="0.25">
      <c r="A2129">
        <v>-63.612425216819503</v>
      </c>
      <c r="B2129">
        <v>44.645953443860499</v>
      </c>
      <c r="C2129">
        <v>1939</v>
      </c>
      <c r="D2129" t="s">
        <v>29</v>
      </c>
      <c r="E2129" t="s">
        <v>12</v>
      </c>
      <c r="F2129" t="s">
        <v>13</v>
      </c>
      <c r="G2129" t="s">
        <v>19</v>
      </c>
      <c r="H2129">
        <v>6414</v>
      </c>
      <c r="I2129" t="s">
        <v>4300</v>
      </c>
      <c r="J2129" t="s">
        <v>4301</v>
      </c>
      <c r="K2129" t="s">
        <v>17</v>
      </c>
      <c r="L2129" t="str">
        <f t="shared" si="33"/>
        <v xml:space="preserve">{ longitude: -63.6124252168195, latitude: 44.6459534438605, stopType: 'Bus Stop Accessible', gotime: \'6414\', location: \'CHEBUCTO RD &lt;WB&gt; OPP QUINN ST\' }, </v>
      </c>
    </row>
    <row r="2130" spans="1:12" x14ac:dyDescent="0.25">
      <c r="A2130">
        <v>-63.693120146437401</v>
      </c>
      <c r="B2130">
        <v>44.780477291189698</v>
      </c>
      <c r="C2130">
        <v>680</v>
      </c>
      <c r="D2130" t="s">
        <v>29</v>
      </c>
      <c r="E2130" t="s">
        <v>12</v>
      </c>
      <c r="F2130" t="s">
        <v>25</v>
      </c>
      <c r="G2130" t="s">
        <v>26</v>
      </c>
      <c r="H2130">
        <v>6213</v>
      </c>
      <c r="I2130" t="s">
        <v>4302</v>
      </c>
      <c r="J2130" t="s">
        <v>4303</v>
      </c>
      <c r="K2130" t="s">
        <v>17</v>
      </c>
      <c r="L2130" t="str">
        <f t="shared" si="33"/>
        <v xml:space="preserve">{ longitude: -63.6931201464374, latitude: 44.7804772911897, stopType: 'Bus Stop Accessible', gotime: \'6213\', location: \'BEAVER BANK RD FS GLORIA  AVE\' }, </v>
      </c>
    </row>
    <row r="2131" spans="1:12" x14ac:dyDescent="0.25">
      <c r="A2131">
        <v>-63.618588854923502</v>
      </c>
      <c r="B2131">
        <v>44.643590321281401</v>
      </c>
      <c r="C2131">
        <v>1940</v>
      </c>
      <c r="D2131" t="s">
        <v>29</v>
      </c>
      <c r="E2131" t="s">
        <v>12</v>
      </c>
      <c r="F2131" t="s">
        <v>25</v>
      </c>
      <c r="G2131" t="s">
        <v>19</v>
      </c>
      <c r="H2131">
        <v>6415</v>
      </c>
      <c r="I2131" t="s">
        <v>4304</v>
      </c>
      <c r="J2131" t="s">
        <v>4305</v>
      </c>
      <c r="K2131" t="s">
        <v>17</v>
      </c>
      <c r="L2131" t="str">
        <f t="shared" si="33"/>
        <v xml:space="preserve">{ longitude: -63.6185888549235, latitude: 44.6435903212814, stopType: 'Bus Stop Accessible', gotime: \'6415\', location: \'CHEBUCTO RD OPP THE BAY [IB]\' }, </v>
      </c>
    </row>
    <row r="2132" spans="1:12" x14ac:dyDescent="0.25">
      <c r="A2132">
        <v>-63.475132376378802</v>
      </c>
      <c r="B2132">
        <v>44.707182022648901</v>
      </c>
      <c r="C2132">
        <v>1941</v>
      </c>
      <c r="D2132" t="s">
        <v>11</v>
      </c>
      <c r="E2132" t="s">
        <v>12</v>
      </c>
      <c r="F2132" t="s">
        <v>25</v>
      </c>
      <c r="G2132" t="s">
        <v>26</v>
      </c>
      <c r="H2132">
        <v>6416</v>
      </c>
      <c r="I2132" t="s">
        <v>4306</v>
      </c>
      <c r="J2132" t="s">
        <v>4307</v>
      </c>
      <c r="K2132" t="s">
        <v>17</v>
      </c>
      <c r="L2132" t="str">
        <f t="shared" si="33"/>
        <v xml:space="preserve">{ longitude: -63.4751323763788, latitude: 44.7071820226489, stopType: 'Bus Stop Non-Standard', gotime: \'6416\', location: \'CHERRY BROOK RD AT CIVIC 126 &lt;SB&gt;\' }, </v>
      </c>
    </row>
    <row r="2133" spans="1:12" x14ac:dyDescent="0.25">
      <c r="A2133">
        <v>-63.692918242352697</v>
      </c>
      <c r="B2133">
        <v>44.780457865316201</v>
      </c>
      <c r="C2133">
        <v>681</v>
      </c>
      <c r="D2133" t="s">
        <v>11</v>
      </c>
      <c r="E2133" t="s">
        <v>12</v>
      </c>
      <c r="F2133" t="s">
        <v>25</v>
      </c>
      <c r="G2133" t="s">
        <v>26</v>
      </c>
      <c r="H2133">
        <v>6214</v>
      </c>
      <c r="I2133" t="s">
        <v>4308</v>
      </c>
      <c r="J2133" t="s">
        <v>4309</v>
      </c>
      <c r="K2133" t="s">
        <v>17</v>
      </c>
      <c r="L2133" t="str">
        <f t="shared" si="33"/>
        <v xml:space="preserve">{ longitude: -63.6929182423527, latitude: 44.7804578653162, stopType: 'Bus Stop Non-Standard', gotime: \'6214\', location: \'BEAVER BANK RD NS GLORIA AVE\' }, </v>
      </c>
    </row>
    <row r="2134" spans="1:12" x14ac:dyDescent="0.25">
      <c r="A2134">
        <v>-63.6951847006452</v>
      </c>
      <c r="B2134">
        <v>44.777305111717503</v>
      </c>
      <c r="C2134">
        <v>682</v>
      </c>
      <c r="D2134" t="s">
        <v>11</v>
      </c>
      <c r="E2134" t="s">
        <v>12</v>
      </c>
      <c r="F2134" t="s">
        <v>13</v>
      </c>
      <c r="G2134" t="s">
        <v>14</v>
      </c>
      <c r="H2134">
        <v>6215</v>
      </c>
      <c r="I2134" t="s">
        <v>4310</v>
      </c>
      <c r="J2134" t="s">
        <v>4311</v>
      </c>
      <c r="K2134" t="s">
        <v>17</v>
      </c>
      <c r="L2134" t="str">
        <f t="shared" si="33"/>
        <v xml:space="preserve">{ longitude: -63.6951847006452, latitude: 44.7773051117175, stopType: 'Bus Stop Non-Standard', gotime: \'6215\', location: \'BEAVER BANK RD AT CIVIC 5\' }, </v>
      </c>
    </row>
    <row r="2135" spans="1:12" x14ac:dyDescent="0.25">
      <c r="A2135">
        <v>-63.479786875626303</v>
      </c>
      <c r="B2135">
        <v>44.709465968745697</v>
      </c>
      <c r="C2135">
        <v>1942</v>
      </c>
      <c r="D2135" t="s">
        <v>103</v>
      </c>
      <c r="E2135" t="s">
        <v>12</v>
      </c>
      <c r="F2135" t="s">
        <v>13</v>
      </c>
      <c r="G2135" t="s">
        <v>65</v>
      </c>
      <c r="H2135">
        <v>6417</v>
      </c>
      <c r="I2135" t="s">
        <v>4312</v>
      </c>
      <c r="J2135" t="s">
        <v>4313</v>
      </c>
      <c r="K2135" t="s">
        <v>17</v>
      </c>
      <c r="L2135" t="str">
        <f t="shared" si="33"/>
        <v xml:space="preserve">{ longitude: -63.4797868756263, latitude: 44.7094659687457, stopType: 'Bus Stop Inaccessible', gotime: \'6417\', location: \'CHERRY BROOK RD FS MACLAUGHLIN RD\' }, </v>
      </c>
    </row>
    <row r="2136" spans="1:12" x14ac:dyDescent="0.25">
      <c r="A2136">
        <v>-63.644280066719801</v>
      </c>
      <c r="B2136">
        <v>44.6727469318812</v>
      </c>
      <c r="C2136">
        <v>683</v>
      </c>
      <c r="D2136" t="s">
        <v>22</v>
      </c>
      <c r="E2136" t="s">
        <v>12</v>
      </c>
      <c r="F2136" t="s">
        <v>25</v>
      </c>
      <c r="G2136" t="s">
        <v>19</v>
      </c>
      <c r="H2136">
        <v>6216</v>
      </c>
      <c r="I2136" t="s">
        <v>4314</v>
      </c>
      <c r="J2136" t="s">
        <v>4315</v>
      </c>
      <c r="K2136" t="s">
        <v>17</v>
      </c>
      <c r="L2136" t="str">
        <f t="shared" si="33"/>
        <v xml:space="preserve">{ longitude: -63.6442800667198, latitude: 44.6727469318812, stopType: 'Bus Stop Shelter Accessible', gotime: \'6216\', location: \'BEDFORD HWY AT MELODY (MSVU)\' }, </v>
      </c>
    </row>
    <row r="2137" spans="1:12" x14ac:dyDescent="0.25">
      <c r="A2137">
        <v>-63.4727370623268</v>
      </c>
      <c r="B2137">
        <v>44.704901581597603</v>
      </c>
      <c r="C2137">
        <v>1943</v>
      </c>
      <c r="D2137" t="s">
        <v>11</v>
      </c>
      <c r="E2137" t="s">
        <v>12</v>
      </c>
      <c r="F2137" t="s">
        <v>25</v>
      </c>
      <c r="G2137" t="s">
        <v>26</v>
      </c>
      <c r="H2137">
        <v>6418</v>
      </c>
      <c r="I2137" t="s">
        <v>4316</v>
      </c>
      <c r="J2137" t="s">
        <v>4317</v>
      </c>
      <c r="K2137" t="s">
        <v>17</v>
      </c>
      <c r="L2137" t="str">
        <f t="shared" si="33"/>
        <v xml:space="preserve">{ longitude: -63.4727370623268, latitude: 44.7049015815976, stopType: 'Bus Stop Non-Standard', gotime: \'6418\', location: \'CHERRY BROOK RD AT JR HIGH SCHOOL\' }, </v>
      </c>
    </row>
    <row r="2138" spans="1:12" x14ac:dyDescent="0.25">
      <c r="A2138">
        <v>-63.641022046778701</v>
      </c>
      <c r="B2138">
        <v>44.669875676291298</v>
      </c>
      <c r="C2138">
        <v>684</v>
      </c>
      <c r="D2138" t="s">
        <v>22</v>
      </c>
      <c r="E2138" t="s">
        <v>12</v>
      </c>
      <c r="F2138" t="s">
        <v>13</v>
      </c>
      <c r="G2138" t="s">
        <v>19</v>
      </c>
      <c r="H2138">
        <v>6217</v>
      </c>
      <c r="I2138" t="s">
        <v>4318</v>
      </c>
      <c r="J2138" t="s">
        <v>4319</v>
      </c>
      <c r="K2138" t="s">
        <v>17</v>
      </c>
      <c r="L2138" t="str">
        <f t="shared" si="33"/>
        <v xml:space="preserve">{ longitude: -63.6410220467787, latitude: 44.6698756762913, stopType: 'Bus Stop Shelter Accessible', gotime: \'6217\', location: \'BEDFORD HWY NS SHERBROOKE DR\' }, </v>
      </c>
    </row>
    <row r="2139" spans="1:12" x14ac:dyDescent="0.25">
      <c r="A2139">
        <v>-63.4708641947148</v>
      </c>
      <c r="B2139">
        <v>44.703057783646599</v>
      </c>
      <c r="C2139">
        <v>1944</v>
      </c>
      <c r="D2139" t="s">
        <v>18</v>
      </c>
      <c r="E2139" t="s">
        <v>12</v>
      </c>
      <c r="F2139" t="s">
        <v>25</v>
      </c>
      <c r="G2139" t="s">
        <v>19</v>
      </c>
      <c r="H2139">
        <v>6419</v>
      </c>
      <c r="I2139" t="s">
        <v>4320</v>
      </c>
      <c r="J2139" t="s">
        <v>4321</v>
      </c>
      <c r="K2139" t="s">
        <v>17</v>
      </c>
      <c r="L2139" t="str">
        <f t="shared" si="33"/>
        <v xml:space="preserve">{ longitude: -63.4708641947148, latitude: 44.7030577836466, stopType: 'Bus Stop Shelter Non-Standard', gotime: \'6419\', location: \'CHERRY BROOK RD NS HWY #7\' }, </v>
      </c>
    </row>
    <row r="2140" spans="1:12" x14ac:dyDescent="0.25">
      <c r="A2140">
        <v>-63.644343319730503</v>
      </c>
      <c r="B2140">
        <v>44.672922540641601</v>
      </c>
      <c r="C2140">
        <v>685</v>
      </c>
      <c r="D2140" t="s">
        <v>22</v>
      </c>
      <c r="E2140" t="s">
        <v>12</v>
      </c>
      <c r="F2140" t="s">
        <v>13</v>
      </c>
      <c r="G2140" t="s">
        <v>19</v>
      </c>
      <c r="H2140">
        <v>6219</v>
      </c>
      <c r="I2140" t="s">
        <v>4322</v>
      </c>
      <c r="J2140" t="s">
        <v>4323</v>
      </c>
      <c r="K2140" t="s">
        <v>17</v>
      </c>
      <c r="L2140" t="str">
        <f t="shared" si="33"/>
        <v xml:space="preserve">{ longitude: -63.6443433197305, latitude: 44.6729225406416, stopType: 'Bus Stop Shelter Accessible', gotime: \'6219\', location: \'BEDFORD HWY OPP MSVU\' }, </v>
      </c>
    </row>
    <row r="2141" spans="1:12" x14ac:dyDescent="0.25">
      <c r="A2141">
        <v>-63.478544679184402</v>
      </c>
      <c r="B2141">
        <v>44.708337555022801</v>
      </c>
      <c r="C2141">
        <v>1945</v>
      </c>
      <c r="D2141" t="s">
        <v>103</v>
      </c>
      <c r="E2141" t="s">
        <v>12</v>
      </c>
      <c r="F2141" t="s">
        <v>25</v>
      </c>
      <c r="G2141" t="s">
        <v>19</v>
      </c>
      <c r="H2141">
        <v>6420</v>
      </c>
      <c r="I2141" t="s">
        <v>4324</v>
      </c>
      <c r="J2141" t="s">
        <v>4325</v>
      </c>
      <c r="K2141" t="s">
        <v>17</v>
      </c>
      <c r="L2141" t="str">
        <f t="shared" si="33"/>
        <v xml:space="preserve">{ longitude: -63.4785446791844, latitude: 44.7083375550228, stopType: 'Bus Stop Inaccessible', gotime: \'6420\', location: \'CHERRYBROOK RD AT CIVIC 202\' }, </v>
      </c>
    </row>
    <row r="2142" spans="1:12" x14ac:dyDescent="0.25">
      <c r="A2142">
        <v>-63.675029831420503</v>
      </c>
      <c r="B2142">
        <v>44.667375364645402</v>
      </c>
      <c r="C2142">
        <v>686</v>
      </c>
      <c r="D2142" t="s">
        <v>29</v>
      </c>
      <c r="E2142" t="s">
        <v>12</v>
      </c>
      <c r="F2142" t="s">
        <v>25</v>
      </c>
      <c r="G2142" t="s">
        <v>19</v>
      </c>
      <c r="H2142">
        <v>7436</v>
      </c>
      <c r="I2142" t="s">
        <v>4326</v>
      </c>
      <c r="J2142" t="s">
        <v>4327</v>
      </c>
      <c r="K2142" t="s">
        <v>17</v>
      </c>
      <c r="L2142" t="str">
        <f t="shared" si="33"/>
        <v xml:space="preserve">{ longitude: -63.6750298314205, latitude: 44.6673753646454, stopType: 'Bus Stop Accessible', gotime: \'7436\', location: \'PARKLAND DR DR NS WOODBURY COMPLEX\' }, </v>
      </c>
    </row>
    <row r="2143" spans="1:12" x14ac:dyDescent="0.25">
      <c r="A2143">
        <v>-63.499557241421002</v>
      </c>
      <c r="B2143">
        <v>44.679031566443399</v>
      </c>
      <c r="C2143">
        <v>1946</v>
      </c>
      <c r="D2143" t="s">
        <v>29</v>
      </c>
      <c r="E2143" t="s">
        <v>12</v>
      </c>
      <c r="F2143" t="s">
        <v>25</v>
      </c>
      <c r="G2143" t="s">
        <v>26</v>
      </c>
      <c r="H2143">
        <v>6421</v>
      </c>
      <c r="I2143" t="s">
        <v>4328</v>
      </c>
      <c r="J2143" t="s">
        <v>4329</v>
      </c>
      <c r="K2143" t="s">
        <v>17</v>
      </c>
      <c r="L2143" t="str">
        <f t="shared" si="33"/>
        <v xml:space="preserve">{ longitude: -63.499557241421, latitude: 44.6790315664434, stopType: 'Bus Stop Accessible', gotime: \'6421\', location: \'CIRCASSION DR FS CIVIC 199\' }, </v>
      </c>
    </row>
    <row r="2144" spans="1:12" x14ac:dyDescent="0.25">
      <c r="A2144">
        <v>-63.670748531584998</v>
      </c>
      <c r="B2144">
        <v>44.6624934937213</v>
      </c>
      <c r="C2144">
        <v>687</v>
      </c>
      <c r="D2144" t="s">
        <v>29</v>
      </c>
      <c r="E2144" t="s">
        <v>12</v>
      </c>
      <c r="F2144" t="s">
        <v>25</v>
      </c>
      <c r="G2144" t="s">
        <v>19</v>
      </c>
      <c r="H2144">
        <v>7437</v>
      </c>
      <c r="I2144" t="s">
        <v>4330</v>
      </c>
      <c r="J2144" t="s">
        <v>4331</v>
      </c>
      <c r="K2144" t="s">
        <v>17</v>
      </c>
      <c r="L2144" t="str">
        <f t="shared" si="33"/>
        <v xml:space="preserve">{ longitude: -63.670748531585, latitude: 44.6624934937213, stopType: 'Bus Stop Accessible', gotime: \'7437\', location: \'PARKLAND DR DR OPP BETHANY WAY\' }, </v>
      </c>
    </row>
    <row r="2145" spans="1:12" x14ac:dyDescent="0.25">
      <c r="A2145">
        <v>-63.499516667330496</v>
      </c>
      <c r="B2145">
        <v>44.678853196530397</v>
      </c>
      <c r="C2145">
        <v>1947</v>
      </c>
      <c r="D2145" t="s">
        <v>11</v>
      </c>
      <c r="E2145" t="s">
        <v>12</v>
      </c>
      <c r="F2145" t="s">
        <v>13</v>
      </c>
      <c r="G2145" t="s">
        <v>14</v>
      </c>
      <c r="H2145">
        <v>6422</v>
      </c>
      <c r="I2145" t="s">
        <v>4332</v>
      </c>
      <c r="J2145" t="s">
        <v>4333</v>
      </c>
      <c r="K2145" t="s">
        <v>17</v>
      </c>
      <c r="L2145" t="str">
        <f t="shared" si="33"/>
        <v xml:space="preserve">{ longitude: -63.4995166673305, latitude: 44.6788531965304, stopType: 'Bus Stop Non-Standard', gotime: \'6422\', location: \'CIRCASSION DR FS POPLAR DR\' }, </v>
      </c>
    </row>
    <row r="2146" spans="1:12" x14ac:dyDescent="0.25">
      <c r="A2146">
        <v>-63.669829935009702</v>
      </c>
      <c r="B2146">
        <v>44.659705896287797</v>
      </c>
      <c r="C2146">
        <v>688</v>
      </c>
      <c r="D2146" t="s">
        <v>22</v>
      </c>
      <c r="E2146" t="s">
        <v>12</v>
      </c>
      <c r="F2146" t="s">
        <v>25</v>
      </c>
      <c r="G2146" t="s">
        <v>19</v>
      </c>
      <c r="H2146">
        <v>7438</v>
      </c>
      <c r="I2146" t="s">
        <v>4334</v>
      </c>
      <c r="J2146" t="s">
        <v>4335</v>
      </c>
      <c r="K2146" t="s">
        <v>17</v>
      </c>
      <c r="L2146" t="str">
        <f t="shared" si="33"/>
        <v xml:space="preserve">{ longitude: -63.6698299350097, latitude: 44.6597058962878, stopType: 'Bus Stop Shelter Accessible', gotime: \'7438\', location: \'PARKLAND DR DR OPP CIVIC 51\' }, </v>
      </c>
    </row>
    <row r="2147" spans="1:12" x14ac:dyDescent="0.25">
      <c r="A2147">
        <v>-63.495992562244197</v>
      </c>
      <c r="B2147">
        <v>44.679470247376003</v>
      </c>
      <c r="C2147">
        <v>1948</v>
      </c>
      <c r="D2147" t="s">
        <v>11</v>
      </c>
      <c r="E2147" t="s">
        <v>12</v>
      </c>
      <c r="F2147" t="s">
        <v>13</v>
      </c>
      <c r="G2147" t="s">
        <v>14</v>
      </c>
      <c r="H2147">
        <v>6423</v>
      </c>
      <c r="I2147" t="s">
        <v>4336</v>
      </c>
      <c r="J2147" t="s">
        <v>4337</v>
      </c>
      <c r="K2147" t="s">
        <v>17</v>
      </c>
      <c r="L2147" t="str">
        <f t="shared" si="33"/>
        <v xml:space="preserve">{ longitude: -63.4959925622442, latitude: 44.679470247376, stopType: 'Bus Stop Non-Standard', gotime: \'6423\', location: \'CIRCASSION DR AT CIVIC 110\' }, </v>
      </c>
    </row>
    <row r="2148" spans="1:12" x14ac:dyDescent="0.25">
      <c r="A2148">
        <v>-63.475620349066503</v>
      </c>
      <c r="B2148">
        <v>44.646573274382</v>
      </c>
      <c r="C2148">
        <v>689</v>
      </c>
      <c r="D2148" t="s">
        <v>103</v>
      </c>
      <c r="E2148" t="s">
        <v>12</v>
      </c>
      <c r="F2148" t="s">
        <v>25</v>
      </c>
      <c r="G2148" t="s">
        <v>65</v>
      </c>
      <c r="H2148">
        <v>7439</v>
      </c>
      <c r="I2148" t="s">
        <v>4338</v>
      </c>
      <c r="J2148" t="s">
        <v>4339</v>
      </c>
      <c r="K2148" t="s">
        <v>17</v>
      </c>
      <c r="L2148" t="str">
        <f t="shared" si="33"/>
        <v xml:space="preserve">{ longitude: -63.4756203490665, latitude: 44.646573274382, stopType: 'Bus Stop Inaccessible', gotime: \'7439\', location: \'PEARL DR AT CIVIC 46\' }, </v>
      </c>
    </row>
    <row r="2149" spans="1:12" x14ac:dyDescent="0.25">
      <c r="A2149">
        <v>-63.493007799072899</v>
      </c>
      <c r="B2149">
        <v>44.6770120623965</v>
      </c>
      <c r="C2149">
        <v>1949</v>
      </c>
      <c r="D2149" t="s">
        <v>103</v>
      </c>
      <c r="E2149" t="s">
        <v>12</v>
      </c>
      <c r="F2149" t="s">
        <v>25</v>
      </c>
      <c r="G2149" t="s">
        <v>65</v>
      </c>
      <c r="H2149">
        <v>6424</v>
      </c>
      <c r="I2149" t="s">
        <v>4340</v>
      </c>
      <c r="J2149" t="s">
        <v>4341</v>
      </c>
      <c r="K2149" t="s">
        <v>17</v>
      </c>
      <c r="L2149" t="str">
        <f t="shared" si="33"/>
        <v xml:space="preserve">{ longitude: -63.4930077990729, latitude: 44.6770120623965, stopType: 'Bus Stop Inaccessible', gotime: \'6424\', location: \'CIRCASSION DR AT CIVIC 19\' }, </v>
      </c>
    </row>
    <row r="2150" spans="1:12" x14ac:dyDescent="0.25">
      <c r="A2150">
        <v>-63.477498709608497</v>
      </c>
      <c r="B2150">
        <v>44.645141145270699</v>
      </c>
      <c r="C2150">
        <v>690</v>
      </c>
      <c r="D2150" t="s">
        <v>11</v>
      </c>
      <c r="E2150" t="s">
        <v>12</v>
      </c>
      <c r="F2150" t="s">
        <v>25</v>
      </c>
      <c r="G2150" t="s">
        <v>26</v>
      </c>
      <c r="H2150">
        <v>7440</v>
      </c>
      <c r="I2150" t="s">
        <v>4342</v>
      </c>
      <c r="J2150" t="s">
        <v>4343</v>
      </c>
      <c r="K2150" t="s">
        <v>17</v>
      </c>
      <c r="L2150" t="str">
        <f t="shared" si="33"/>
        <v xml:space="preserve">{ longitude: -63.4774987096085, latitude: 44.6451411452707, stopType: 'Bus Stop Non-Standard', gotime: \'7440\', location: \'PEARL DR NS AMETHYST CR\' }, </v>
      </c>
    </row>
    <row r="2151" spans="1:12" x14ac:dyDescent="0.25">
      <c r="A2151">
        <v>-63.494438824006799</v>
      </c>
      <c r="B2151">
        <v>44.678869614932701</v>
      </c>
      <c r="C2151">
        <v>1950</v>
      </c>
      <c r="D2151" t="s">
        <v>11</v>
      </c>
      <c r="E2151" t="s">
        <v>12</v>
      </c>
      <c r="F2151" t="s">
        <v>25</v>
      </c>
      <c r="G2151" t="s">
        <v>26</v>
      </c>
      <c r="H2151">
        <v>6425</v>
      </c>
      <c r="I2151" t="s">
        <v>4344</v>
      </c>
      <c r="J2151" t="s">
        <v>4345</v>
      </c>
      <c r="K2151" t="s">
        <v>17</v>
      </c>
      <c r="L2151" t="str">
        <f t="shared" si="33"/>
        <v xml:space="preserve">{ longitude: -63.4944388240068, latitude: 44.6788696149327, stopType: 'Bus Stop Non-Standard', gotime: \'6425\', location: \'CIRCASSION DR AT CIVIC 78\' }, </v>
      </c>
    </row>
    <row r="2152" spans="1:12" x14ac:dyDescent="0.25">
      <c r="A2152">
        <v>-63.544204092030697</v>
      </c>
      <c r="B2152">
        <v>44.6701982497042</v>
      </c>
      <c r="C2152">
        <v>691</v>
      </c>
      <c r="D2152" t="s">
        <v>11</v>
      </c>
      <c r="E2152" t="s">
        <v>12</v>
      </c>
      <c r="F2152" t="s">
        <v>25</v>
      </c>
      <c r="G2152" t="s">
        <v>26</v>
      </c>
      <c r="H2152">
        <v>7441</v>
      </c>
      <c r="I2152" t="s">
        <v>4346</v>
      </c>
      <c r="J2152" t="s">
        <v>4347</v>
      </c>
      <c r="K2152" t="s">
        <v>17</v>
      </c>
      <c r="L2152" t="str">
        <f t="shared" si="33"/>
        <v xml:space="preserve">{ longitude: -63.5442040920307, latitude: 44.6701982497042, stopType: 'Bus Stop Non-Standard', gotime: \'7441\', location: \'PEDDARS WAY NS BOW ST\' }, </v>
      </c>
    </row>
    <row r="2153" spans="1:12" x14ac:dyDescent="0.25">
      <c r="A2153">
        <v>-63.494213211280503</v>
      </c>
      <c r="B2153">
        <v>44.678786630616202</v>
      </c>
      <c r="C2153">
        <v>1951</v>
      </c>
      <c r="D2153" t="s">
        <v>29</v>
      </c>
      <c r="E2153" t="s">
        <v>12</v>
      </c>
      <c r="F2153" t="s">
        <v>25</v>
      </c>
      <c r="G2153" t="s">
        <v>26</v>
      </c>
      <c r="H2153">
        <v>6426</v>
      </c>
      <c r="I2153" t="s">
        <v>4348</v>
      </c>
      <c r="J2153" t="s">
        <v>4349</v>
      </c>
      <c r="K2153" t="s">
        <v>17</v>
      </c>
      <c r="L2153" t="str">
        <f t="shared" si="33"/>
        <v xml:space="preserve">{ longitude: -63.4942132112805, latitude: 44.6787866306162, stopType: 'Bus Stop Accessible', gotime: \'6426\', location: \'CIRCASSION DR DR AT CIVIC 85\' }, </v>
      </c>
    </row>
    <row r="2154" spans="1:12" x14ac:dyDescent="0.25">
      <c r="A2154">
        <v>-63.505101349615799</v>
      </c>
      <c r="B2154">
        <v>44.688961685271899</v>
      </c>
      <c r="C2154">
        <v>692</v>
      </c>
      <c r="D2154" t="s">
        <v>29</v>
      </c>
      <c r="E2154" t="s">
        <v>12</v>
      </c>
      <c r="F2154" t="s">
        <v>25</v>
      </c>
      <c r="G2154" t="s">
        <v>26</v>
      </c>
      <c r="H2154">
        <v>7264</v>
      </c>
      <c r="I2154" t="s">
        <v>4350</v>
      </c>
      <c r="J2154" t="s">
        <v>4351</v>
      </c>
      <c r="K2154" t="s">
        <v>17</v>
      </c>
      <c r="L2154" t="str">
        <f t="shared" si="33"/>
        <v xml:space="preserve">{ longitude: -63.5051013496158, latitude: 44.6889616852719, stopType: 'Bus Stop Accessible', gotime: \'7264\', location: \'MT EDWARD RD NS CRANBERRY CR\' }, </v>
      </c>
    </row>
    <row r="2155" spans="1:12" x14ac:dyDescent="0.25">
      <c r="A2155">
        <v>-63.496939274396603</v>
      </c>
      <c r="B2155">
        <v>44.679431588249003</v>
      </c>
      <c r="C2155">
        <v>1952</v>
      </c>
      <c r="D2155" t="s">
        <v>29</v>
      </c>
      <c r="E2155" t="s">
        <v>12</v>
      </c>
      <c r="F2155" t="s">
        <v>25</v>
      </c>
      <c r="G2155" t="s">
        <v>26</v>
      </c>
      <c r="H2155">
        <v>6427</v>
      </c>
      <c r="I2155" t="s">
        <v>4352</v>
      </c>
      <c r="J2155" t="s">
        <v>4353</v>
      </c>
      <c r="K2155" t="s">
        <v>17</v>
      </c>
      <c r="L2155" t="str">
        <f t="shared" si="33"/>
        <v xml:space="preserve">{ longitude: -63.4969392743966, latitude: 44.679431588249, stopType: 'Bus Stop Accessible', gotime: \'6427\', location: \'CIRCASSION DR OPP CIVIC 134\' }, </v>
      </c>
    </row>
    <row r="2156" spans="1:12" x14ac:dyDescent="0.25">
      <c r="A2156">
        <v>-63.5099598478429</v>
      </c>
      <c r="B2156">
        <v>44.687401961864701</v>
      </c>
      <c r="C2156">
        <v>693</v>
      </c>
      <c r="D2156" t="s">
        <v>29</v>
      </c>
      <c r="E2156" t="s">
        <v>12</v>
      </c>
      <c r="F2156" t="s">
        <v>25</v>
      </c>
      <c r="G2156" t="s">
        <v>26</v>
      </c>
      <c r="H2156">
        <v>7265</v>
      </c>
      <c r="I2156" t="s">
        <v>4354</v>
      </c>
      <c r="J2156" t="s">
        <v>4355</v>
      </c>
      <c r="K2156" t="s">
        <v>17</v>
      </c>
      <c r="L2156" t="str">
        <f t="shared" si="33"/>
        <v xml:space="preserve">{ longitude: -63.5099598478429, latitude: 44.6874019618647, stopType: 'Bus Stop Accessible', gotime: \'7265\', location: \'MT EDWARD RD NS STEWART HARRIS DR\' }, </v>
      </c>
    </row>
    <row r="2157" spans="1:12" x14ac:dyDescent="0.25">
      <c r="A2157">
        <v>-63.493134693029702</v>
      </c>
      <c r="B2157">
        <v>44.676968182660701</v>
      </c>
      <c r="C2157">
        <v>1953</v>
      </c>
      <c r="D2157" t="s">
        <v>11</v>
      </c>
      <c r="E2157" t="s">
        <v>12</v>
      </c>
      <c r="F2157" t="s">
        <v>25</v>
      </c>
      <c r="G2157" t="s">
        <v>26</v>
      </c>
      <c r="H2157">
        <v>6428</v>
      </c>
      <c r="I2157" t="s">
        <v>4356</v>
      </c>
      <c r="J2157" t="s">
        <v>4357</v>
      </c>
      <c r="K2157" t="s">
        <v>17</v>
      </c>
      <c r="L2157" t="str">
        <f t="shared" si="33"/>
        <v xml:space="preserve">{ longitude: -63.4931346930297, latitude: 44.6769681826607, stopType: 'Bus Stop Non-Standard', gotime: \'6428\', location: \'CIRCASSION DR OPP CIVIC 19\' }, </v>
      </c>
    </row>
    <row r="2158" spans="1:12" x14ac:dyDescent="0.25">
      <c r="A2158">
        <v>-63.513968157900401</v>
      </c>
      <c r="B2158">
        <v>44.6853757083395</v>
      </c>
      <c r="C2158">
        <v>694</v>
      </c>
      <c r="D2158" t="s">
        <v>18</v>
      </c>
      <c r="E2158" t="s">
        <v>12</v>
      </c>
      <c r="F2158" t="s">
        <v>25</v>
      </c>
      <c r="G2158" t="s">
        <v>26</v>
      </c>
      <c r="H2158">
        <v>7266</v>
      </c>
      <c r="I2158" t="s">
        <v>4358</v>
      </c>
      <c r="J2158" t="s">
        <v>4359</v>
      </c>
      <c r="K2158" t="s">
        <v>17</v>
      </c>
      <c r="L2158" t="str">
        <f t="shared" si="33"/>
        <v xml:space="preserve">{ longitude: -63.5139681579004, latitude: 44.6853757083395, stopType: 'Bus Stop Shelter Non-Standard', gotime: \'7266\', location: \'MT EDWARD RD OPP CIVIC 119\' }, </v>
      </c>
    </row>
    <row r="2159" spans="1:12" x14ac:dyDescent="0.25">
      <c r="A2159">
        <v>-63.659055269380801</v>
      </c>
      <c r="B2159">
        <v>44.760198181031498</v>
      </c>
      <c r="C2159">
        <v>1954</v>
      </c>
      <c r="D2159" t="s">
        <v>11</v>
      </c>
      <c r="E2159" t="s">
        <v>12</v>
      </c>
      <c r="F2159" t="s">
        <v>13</v>
      </c>
      <c r="G2159" t="s">
        <v>14</v>
      </c>
      <c r="H2159">
        <v>6429</v>
      </c>
      <c r="I2159" t="s">
        <v>4360</v>
      </c>
      <c r="J2159" t="s">
        <v>4361</v>
      </c>
      <c r="K2159" t="s">
        <v>17</v>
      </c>
      <c r="L2159" t="str">
        <f t="shared" si="33"/>
        <v xml:space="preserve">{ longitude: -63.6590552693808, latitude: 44.7601981810315, stopType: 'Bus Stop Non-Standard', gotime: \'6429\', location: \'COBEQUID RD FS GLENDALE DR[OB]\' }, </v>
      </c>
    </row>
    <row r="2160" spans="1:12" x14ac:dyDescent="0.25">
      <c r="A2160">
        <v>-63.6827352253096</v>
      </c>
      <c r="B2160">
        <v>44.716713241381299</v>
      </c>
      <c r="C2160">
        <v>695</v>
      </c>
      <c r="D2160" t="s">
        <v>11</v>
      </c>
      <c r="E2160" t="s">
        <v>12</v>
      </c>
      <c r="F2160" t="s">
        <v>25</v>
      </c>
      <c r="G2160" t="s">
        <v>19</v>
      </c>
      <c r="H2160">
        <v>6718</v>
      </c>
      <c r="I2160" t="s">
        <v>4362</v>
      </c>
      <c r="J2160" t="s">
        <v>4363</v>
      </c>
      <c r="K2160" t="s">
        <v>17</v>
      </c>
      <c r="L2160" t="str">
        <f t="shared" si="33"/>
        <v xml:space="preserve">{ longitude: -63.6827352253096, latitude: 44.7167132413813, stopType: 'Bus Stop Non-Standard', gotime: \'6718\', location: \'HAMMONDS PLAINS RD &lt;OP&gt; CIVIC 69\' }, </v>
      </c>
    </row>
    <row r="2161" spans="1:12" x14ac:dyDescent="0.25">
      <c r="A2161">
        <v>-63.647061194707803</v>
      </c>
      <c r="B2161">
        <v>44.766814195840197</v>
      </c>
      <c r="C2161">
        <v>1955</v>
      </c>
      <c r="D2161" t="s">
        <v>11</v>
      </c>
      <c r="E2161" t="s">
        <v>12</v>
      </c>
      <c r="F2161" t="s">
        <v>25</v>
      </c>
      <c r="G2161" t="s">
        <v>26</v>
      </c>
      <c r="H2161">
        <v>6430</v>
      </c>
      <c r="I2161" t="s">
        <v>4364</v>
      </c>
      <c r="J2161" t="s">
        <v>4365</v>
      </c>
      <c r="K2161" t="s">
        <v>17</v>
      </c>
      <c r="L2161" t="str">
        <f t="shared" si="33"/>
        <v xml:space="preserve">{ longitude: -63.6470611947078, latitude: 44.7668141958402, stopType: 'Bus Stop Non-Standard', gotime: \'6430\', location: \'COBEQUID RD FS MACINTYRE LANE\' }, </v>
      </c>
    </row>
    <row r="2162" spans="1:12" x14ac:dyDescent="0.25">
      <c r="A2162">
        <v>-63.642887745029</v>
      </c>
      <c r="B2162">
        <v>44.655753338152401</v>
      </c>
      <c r="C2162">
        <v>696</v>
      </c>
      <c r="D2162" t="s">
        <v>29</v>
      </c>
      <c r="E2162" t="s">
        <v>12</v>
      </c>
      <c r="F2162" t="s">
        <v>13</v>
      </c>
      <c r="G2162" t="s">
        <v>14</v>
      </c>
      <c r="H2162">
        <v>7171</v>
      </c>
      <c r="I2162" t="s">
        <v>4366</v>
      </c>
      <c r="J2162" t="s">
        <v>4367</v>
      </c>
      <c r="K2162" t="s">
        <v>17</v>
      </c>
      <c r="L2162" t="str">
        <f t="shared" si="33"/>
        <v xml:space="preserve">{ longitude: -63.642887745029, latitude: 44.6557533381524, stopType: 'Bus Stop Accessible', gotime: \'7171\', location: \'MAIN AVE NS HOMEWARD AVE &lt;WB&gt;\' }, </v>
      </c>
    </row>
    <row r="2163" spans="1:12" x14ac:dyDescent="0.25">
      <c r="A2163">
        <v>-63.649401296086999</v>
      </c>
      <c r="B2163">
        <v>44.7648877384051</v>
      </c>
      <c r="C2163">
        <v>1956</v>
      </c>
      <c r="D2163" t="s">
        <v>103</v>
      </c>
      <c r="E2163" t="s">
        <v>12</v>
      </c>
      <c r="F2163" t="s">
        <v>25</v>
      </c>
      <c r="G2163" t="s">
        <v>65</v>
      </c>
      <c r="H2163">
        <v>6431</v>
      </c>
      <c r="I2163" t="s">
        <v>4368</v>
      </c>
      <c r="J2163" t="s">
        <v>4369</v>
      </c>
      <c r="K2163" t="s">
        <v>17</v>
      </c>
      <c r="L2163" t="str">
        <f t="shared" si="33"/>
        <v xml:space="preserve">{ longitude: -63.649401296087, latitude: 44.7648877384051, stopType: 'Bus Stop Inaccessible', gotime: \'6431\', location: \'COBEQUID RD FS MAPLE GROVE DR\' }, </v>
      </c>
    </row>
    <row r="2164" spans="1:12" x14ac:dyDescent="0.25">
      <c r="A2164">
        <v>-63.646638899765897</v>
      </c>
      <c r="B2164">
        <v>44.654194771937398</v>
      </c>
      <c r="C2164">
        <v>697</v>
      </c>
      <c r="D2164" t="s">
        <v>29</v>
      </c>
      <c r="E2164" t="s">
        <v>12</v>
      </c>
      <c r="F2164" t="s">
        <v>13</v>
      </c>
      <c r="G2164" t="s">
        <v>14</v>
      </c>
      <c r="H2164">
        <v>7172</v>
      </c>
      <c r="I2164" t="s">
        <v>4370</v>
      </c>
      <c r="J2164" t="s">
        <v>4371</v>
      </c>
      <c r="K2164" t="s">
        <v>17</v>
      </c>
      <c r="L2164" t="str">
        <f t="shared" si="33"/>
        <v xml:space="preserve">{ longitude: -63.6466388997659, latitude: 44.6541947719374, stopType: 'Bus Stop Accessible', gotime: \'7172\', location: \'MAIN AVE NS WILLET ST &lt;WB&gt;\' }, </v>
      </c>
    </row>
    <row r="2165" spans="1:12" x14ac:dyDescent="0.25">
      <c r="A2165">
        <v>-63.661878394521104</v>
      </c>
      <c r="B2165">
        <v>44.754991875782999</v>
      </c>
      <c r="C2165">
        <v>1957</v>
      </c>
      <c r="D2165" t="s">
        <v>18</v>
      </c>
      <c r="E2165" t="s">
        <v>12</v>
      </c>
      <c r="F2165" t="s">
        <v>13</v>
      </c>
      <c r="G2165" t="s">
        <v>19</v>
      </c>
      <c r="H2165">
        <v>6433</v>
      </c>
      <c r="I2165" t="s">
        <v>4372</v>
      </c>
      <c r="J2165" t="s">
        <v>4373</v>
      </c>
      <c r="K2165" t="s">
        <v>17</v>
      </c>
      <c r="L2165" t="str">
        <f t="shared" si="33"/>
        <v xml:space="preserve">{ longitude: -63.6618783945211, latitude: 44.754991875783, stopType: 'Bus Stop Shelter Non-Standard', gotime: \'6433\', location: \'COBEQUID RD FS RAMP EXIT TO DAMASCUS RD\' }, </v>
      </c>
    </row>
    <row r="2166" spans="1:12" x14ac:dyDescent="0.25">
      <c r="A2166">
        <v>-63.540060681184599</v>
      </c>
      <c r="B2166">
        <v>44.6816962843506</v>
      </c>
      <c r="C2166">
        <v>698</v>
      </c>
      <c r="D2166" t="s">
        <v>29</v>
      </c>
      <c r="E2166" t="s">
        <v>12</v>
      </c>
      <c r="F2166" t="s">
        <v>13</v>
      </c>
      <c r="G2166" t="s">
        <v>14</v>
      </c>
      <c r="H2166">
        <v>7173</v>
      </c>
      <c r="I2166" t="s">
        <v>4374</v>
      </c>
      <c r="J2166" t="s">
        <v>4375</v>
      </c>
      <c r="K2166" t="s">
        <v>17</v>
      </c>
      <c r="L2166" t="str">
        <f t="shared" si="33"/>
        <v xml:space="preserve">{ longitude: -63.5400606811846, latitude: 44.6816962843506, stopType: 'Bus Stop Accessible', gotime: \'7173\', location: \'MAIN ST AT CIVIC 126 &lt;EB&gt;\' }, </v>
      </c>
    </row>
    <row r="2167" spans="1:12" x14ac:dyDescent="0.25">
      <c r="A2167">
        <v>-63.660605441824003</v>
      </c>
      <c r="B2167">
        <v>44.758555729205497</v>
      </c>
      <c r="C2167">
        <v>1958</v>
      </c>
      <c r="D2167" t="s">
        <v>22</v>
      </c>
      <c r="E2167" t="s">
        <v>12</v>
      </c>
      <c r="F2167" t="s">
        <v>13</v>
      </c>
      <c r="G2167" t="s">
        <v>19</v>
      </c>
      <c r="H2167">
        <v>6434</v>
      </c>
      <c r="I2167" t="s">
        <v>4376</v>
      </c>
      <c r="J2167" t="s">
        <v>4377</v>
      </c>
      <c r="K2167" t="s">
        <v>17</v>
      </c>
      <c r="L2167" t="str">
        <f t="shared" si="33"/>
        <v xml:space="preserve">{ longitude: -63.660605441824, latitude: 44.7585557292055, stopType: 'Bus Stop Shelter Accessible', gotime: \'6434\', location: \'COBEQUID RD FS ZINCK TO DAMASCUS RD\' }, </v>
      </c>
    </row>
    <row r="2168" spans="1:12" x14ac:dyDescent="0.25">
      <c r="A2168">
        <v>-63.543175205917599</v>
      </c>
      <c r="B2168">
        <v>44.6813882626534</v>
      </c>
      <c r="C2168">
        <v>699</v>
      </c>
      <c r="D2168" t="s">
        <v>29</v>
      </c>
      <c r="E2168" t="s">
        <v>12</v>
      </c>
      <c r="F2168" t="s">
        <v>13</v>
      </c>
      <c r="G2168" t="s">
        <v>14</v>
      </c>
      <c r="H2168">
        <v>7174</v>
      </c>
      <c r="I2168" t="s">
        <v>4378</v>
      </c>
      <c r="J2168" t="s">
        <v>4379</v>
      </c>
      <c r="K2168" t="s">
        <v>17</v>
      </c>
      <c r="L2168" t="str">
        <f t="shared" si="33"/>
        <v xml:space="preserve">{ longitude: -63.5431752059176, latitude: 44.6813882626534, stopType: 'Bus Stop Accessible', gotime: \'7174\', location: \'MAIN ST FS TIM PARCLO\' }, </v>
      </c>
    </row>
    <row r="2169" spans="1:12" x14ac:dyDescent="0.25">
      <c r="A2169">
        <v>-63.662034422050603</v>
      </c>
      <c r="B2169">
        <v>44.756107532001202</v>
      </c>
      <c r="C2169">
        <v>1959</v>
      </c>
      <c r="D2169" t="s">
        <v>29</v>
      </c>
      <c r="E2169" t="s">
        <v>12</v>
      </c>
      <c r="F2169" t="s">
        <v>25</v>
      </c>
      <c r="G2169" t="s">
        <v>26</v>
      </c>
      <c r="H2169">
        <v>6435</v>
      </c>
      <c r="I2169" t="s">
        <v>4380</v>
      </c>
      <c r="J2169" t="s">
        <v>4381</v>
      </c>
      <c r="K2169" t="s">
        <v>17</v>
      </c>
      <c r="L2169" t="str">
        <f t="shared" si="33"/>
        <v xml:space="preserve">{ longitude: -63.6620344220506, latitude: 44.7561075320012, stopType: 'Bus Stop Accessible', gotime: \'6435\', location: \'COBEQUID RD NS CIVIC 112 TO DAMASCUS RD\' }, </v>
      </c>
    </row>
    <row r="2170" spans="1:12" x14ac:dyDescent="0.25">
      <c r="A2170">
        <v>-63.5401276380708</v>
      </c>
      <c r="B2170">
        <v>44.681827703040597</v>
      </c>
      <c r="C2170">
        <v>700</v>
      </c>
      <c r="D2170" t="s">
        <v>22</v>
      </c>
      <c r="E2170" t="s">
        <v>12</v>
      </c>
      <c r="F2170" t="s">
        <v>25</v>
      </c>
      <c r="G2170" t="s">
        <v>19</v>
      </c>
      <c r="H2170">
        <v>7175</v>
      </c>
      <c r="I2170" t="s">
        <v>4382</v>
      </c>
      <c r="J2170" t="s">
        <v>4383</v>
      </c>
      <c r="K2170" t="s">
        <v>17</v>
      </c>
      <c r="L2170" t="str">
        <f t="shared" si="33"/>
        <v xml:space="preserve">{ longitude: -63.5401276380708, latitude: 44.6818277030406, stopType: 'Bus Stop Shelter Accessible', gotime: \'7175\', location: \'MAIN ST NS MAJOR ST &lt;WB&gt;\' }, </v>
      </c>
    </row>
    <row r="2171" spans="1:12" x14ac:dyDescent="0.25">
      <c r="A2171">
        <v>-63.661502832208598</v>
      </c>
      <c r="B2171">
        <v>44.757930549674803</v>
      </c>
      <c r="C2171">
        <v>1960</v>
      </c>
      <c r="D2171" t="s">
        <v>29</v>
      </c>
      <c r="E2171" t="s">
        <v>12</v>
      </c>
      <c r="F2171" t="s">
        <v>25</v>
      </c>
      <c r="G2171" t="s">
        <v>26</v>
      </c>
      <c r="H2171">
        <v>6436</v>
      </c>
      <c r="I2171" t="s">
        <v>4384</v>
      </c>
      <c r="J2171" t="s">
        <v>4385</v>
      </c>
      <c r="K2171" t="s">
        <v>17</v>
      </c>
      <c r="L2171" t="str">
        <f t="shared" si="33"/>
        <v xml:space="preserve">{ longitude: -63.6615028322086, latitude: 44.7579305496748, stopType: 'Bus Stop Accessible', gotime: \'6436\', location: \'COBEQUID RD NS CIVIC 160 TO DAMASCUS RD\' }, </v>
      </c>
    </row>
    <row r="2172" spans="1:12" x14ac:dyDescent="0.25">
      <c r="A2172">
        <v>-63.652336854259097</v>
      </c>
      <c r="B2172">
        <v>44.672431368946597</v>
      </c>
      <c r="C2172">
        <v>701</v>
      </c>
      <c r="D2172" t="s">
        <v>11</v>
      </c>
      <c r="E2172" t="s">
        <v>12</v>
      </c>
      <c r="F2172" t="s">
        <v>13</v>
      </c>
      <c r="G2172" t="s">
        <v>14</v>
      </c>
      <c r="H2172">
        <v>7176</v>
      </c>
      <c r="I2172" t="s">
        <v>4386</v>
      </c>
      <c r="J2172" t="s">
        <v>4387</v>
      </c>
      <c r="K2172" t="s">
        <v>17</v>
      </c>
      <c r="L2172" t="str">
        <f t="shared" si="33"/>
        <v xml:space="preserve">{ longitude: -63.6523368542591, latitude: 44.6724313689466, stopType: 'Bus Stop Non-Standard', gotime: \'7176\', location: \'FLAMINGO DR AT SWALLOW ST\' }, </v>
      </c>
    </row>
    <row r="2173" spans="1:12" x14ac:dyDescent="0.25">
      <c r="A2173">
        <v>-63.659768353040498</v>
      </c>
      <c r="B2173">
        <v>44.759951711051002</v>
      </c>
      <c r="C2173">
        <v>1961</v>
      </c>
      <c r="D2173" t="s">
        <v>11</v>
      </c>
      <c r="E2173" t="s">
        <v>12</v>
      </c>
      <c r="F2173" t="s">
        <v>25</v>
      </c>
      <c r="G2173" t="s">
        <v>26</v>
      </c>
      <c r="H2173">
        <v>6438</v>
      </c>
      <c r="I2173" t="s">
        <v>4388</v>
      </c>
      <c r="J2173" s="1" t="s">
        <v>4389</v>
      </c>
      <c r="K2173" t="s">
        <v>17</v>
      </c>
      <c r="L2173" t="str">
        <f t="shared" si="33"/>
        <v xml:space="preserve">{ longitude: -63.6597683530405, latitude: 44.759951711051, stopType: 'Bus Stop Non-Standard', gotime: \'6438\', location: \'COBEQUID RD NS GLENDALE DR\' }, </v>
      </c>
    </row>
    <row r="2174" spans="1:12" x14ac:dyDescent="0.25">
      <c r="A2174">
        <v>-63.5439253014668</v>
      </c>
      <c r="B2174">
        <v>44.669511936150201</v>
      </c>
      <c r="C2174">
        <v>702</v>
      </c>
      <c r="D2174" t="s">
        <v>29</v>
      </c>
      <c r="E2174" t="s">
        <v>12</v>
      </c>
      <c r="F2174" t="s">
        <v>25</v>
      </c>
      <c r="G2174" t="s">
        <v>26</v>
      </c>
      <c r="H2174">
        <v>7177</v>
      </c>
      <c r="I2174" t="s">
        <v>4390</v>
      </c>
      <c r="J2174" t="s">
        <v>4391</v>
      </c>
      <c r="K2174" t="s">
        <v>17</v>
      </c>
      <c r="L2174" t="str">
        <f t="shared" si="33"/>
        <v xml:space="preserve">{ longitude: -63.5439253014668, latitude: 44.6695119361502, stopType: 'Bus Stop Accessible', gotime: \'7177\', location: \'MANOR DR NS PEDDARS WAY\' }, </v>
      </c>
    </row>
    <row r="2175" spans="1:12" x14ac:dyDescent="0.25">
      <c r="A2175">
        <v>-63.651917685482701</v>
      </c>
      <c r="B2175">
        <v>44.762125579321697</v>
      </c>
      <c r="C2175">
        <v>1962</v>
      </c>
      <c r="D2175" t="s">
        <v>11</v>
      </c>
      <c r="E2175" t="s">
        <v>12</v>
      </c>
      <c r="F2175" t="s">
        <v>25</v>
      </c>
      <c r="G2175" t="s">
        <v>26</v>
      </c>
      <c r="H2175">
        <v>6439</v>
      </c>
      <c r="I2175" t="s">
        <v>4392</v>
      </c>
      <c r="J2175" t="s">
        <v>4393</v>
      </c>
      <c r="K2175" t="s">
        <v>17</v>
      </c>
      <c r="L2175" t="str">
        <f t="shared" si="33"/>
        <v xml:space="preserve">{ longitude: -63.6519176854827, latitude: 44.7621255793217, stopType: 'Bus Stop Non-Standard', gotime: \'6439\', location: \'COBEQUID RD NS JUDY ANNE CT\' }, </v>
      </c>
    </row>
    <row r="2176" spans="1:12" x14ac:dyDescent="0.25">
      <c r="A2176">
        <v>-63.739319334340898</v>
      </c>
      <c r="B2176">
        <v>44.655069028151601</v>
      </c>
      <c r="C2176">
        <v>703</v>
      </c>
      <c r="D2176" t="s">
        <v>103</v>
      </c>
      <c r="E2176" t="s">
        <v>12</v>
      </c>
      <c r="F2176" t="s">
        <v>25</v>
      </c>
      <c r="G2176" t="s">
        <v>65</v>
      </c>
      <c r="H2176">
        <v>7178</v>
      </c>
      <c r="I2176" t="s">
        <v>4394</v>
      </c>
      <c r="J2176" t="s">
        <v>4395</v>
      </c>
      <c r="K2176" t="s">
        <v>17</v>
      </c>
      <c r="L2176" t="str">
        <f t="shared" si="33"/>
        <v xml:space="preserve">{ longitude: -63.7393193343409, latitude: 44.6550690281516, stopType: 'Bus Stop Inaccessible', gotime: \'7178\', location: \'MAPLEWOOD AVE FS CIVIC 67\' }, </v>
      </c>
    </row>
    <row r="2177" spans="1:12" x14ac:dyDescent="0.25">
      <c r="A2177">
        <v>-63.646440393366603</v>
      </c>
      <c r="B2177">
        <v>44.766935551691901</v>
      </c>
      <c r="C2177">
        <v>1963</v>
      </c>
      <c r="D2177" t="s">
        <v>103</v>
      </c>
      <c r="E2177" t="s">
        <v>12</v>
      </c>
      <c r="F2177" t="s">
        <v>25</v>
      </c>
      <c r="G2177" t="s">
        <v>65</v>
      </c>
      <c r="H2177">
        <v>6440</v>
      </c>
      <c r="I2177" t="s">
        <v>4396</v>
      </c>
      <c r="J2177" t="s">
        <v>4397</v>
      </c>
      <c r="K2177" t="s">
        <v>17</v>
      </c>
      <c r="L2177" t="str">
        <f t="shared" si="33"/>
        <v xml:space="preserve">{ longitude: -63.6464403933666, latitude: 44.7669355516919, stopType: 'Bus Stop Inaccessible', gotime: \'6440\', location: \'COBEQUID RD NS MCVEIGH CT\' }, </v>
      </c>
    </row>
    <row r="2178" spans="1:12" x14ac:dyDescent="0.25">
      <c r="A2178">
        <v>-63.739082676261901</v>
      </c>
      <c r="B2178">
        <v>44.655058901812602</v>
      </c>
      <c r="C2178">
        <v>704</v>
      </c>
      <c r="D2178" t="s">
        <v>11</v>
      </c>
      <c r="E2178" t="s">
        <v>12</v>
      </c>
      <c r="F2178" t="s">
        <v>13</v>
      </c>
      <c r="G2178" t="s">
        <v>14</v>
      </c>
      <c r="H2178">
        <v>7179</v>
      </c>
      <c r="I2178" t="s">
        <v>4398</v>
      </c>
      <c r="J2178" t="s">
        <v>4399</v>
      </c>
      <c r="K2178" t="s">
        <v>17</v>
      </c>
      <c r="L2178" t="str">
        <f t="shared" si="33"/>
        <v xml:space="preserve">{ longitude: -63.7390826762619, latitude: 44.6550589018126, stopType: 'Bus Stop Non-Standard', gotime: \'7179\', location: \'MAPLEWOOD AVE FS EISENER ST\' }, </v>
      </c>
    </row>
    <row r="2179" spans="1:12" x14ac:dyDescent="0.25">
      <c r="A2179">
        <v>-63.649411568485696</v>
      </c>
      <c r="B2179">
        <v>44.764489043010002</v>
      </c>
      <c r="C2179">
        <v>1964</v>
      </c>
      <c r="D2179" t="s">
        <v>11</v>
      </c>
      <c r="E2179" t="s">
        <v>12</v>
      </c>
      <c r="F2179" t="s">
        <v>13</v>
      </c>
      <c r="G2179" t="s">
        <v>14</v>
      </c>
      <c r="H2179">
        <v>6441</v>
      </c>
      <c r="I2179" t="s">
        <v>4400</v>
      </c>
      <c r="J2179" t="s">
        <v>4401</v>
      </c>
      <c r="K2179" t="s">
        <v>17</v>
      </c>
      <c r="L2179" t="str">
        <f t="shared" ref="L2179:L2242" si="34">CONCATENATE( "{ longitude: ", A2179, ", latitude: ", B2179, ", stopType: '", D2179, "', gotime: \'", H2179, "\', location: \'", I2179, "\' }, ")</f>
        <v xml:space="preserve">{ longitude: -63.6494115684857, latitude: 44.76448904301, stopType: 'Bus Stop Non-Standard', gotime: \'6441\', location: \'COBEQUID RD AT CIVIC 477\' }, </v>
      </c>
    </row>
    <row r="2180" spans="1:12" x14ac:dyDescent="0.25">
      <c r="A2180">
        <v>-63.737401480628797</v>
      </c>
      <c r="B2180">
        <v>44.656036941923396</v>
      </c>
      <c r="C2180">
        <v>705</v>
      </c>
      <c r="D2180" t="s">
        <v>11</v>
      </c>
      <c r="E2180" t="s">
        <v>12</v>
      </c>
      <c r="F2180" t="s">
        <v>13</v>
      </c>
      <c r="G2180" t="s">
        <v>14</v>
      </c>
      <c r="H2180">
        <v>7180</v>
      </c>
      <c r="I2180" t="s">
        <v>4402</v>
      </c>
      <c r="J2180" t="s">
        <v>4403</v>
      </c>
      <c r="K2180" t="s">
        <v>17</v>
      </c>
      <c r="L2180" t="str">
        <f t="shared" si="34"/>
        <v xml:space="preserve">{ longitude: -63.7374014806288, latitude: 44.6560369419234, stopType: 'Bus Stop Non-Standard', gotime: \'7180\', location: \'MAPLEWOOD AVE NS NORWAY MAPLE DR\' }, </v>
      </c>
    </row>
    <row r="2181" spans="1:12" x14ac:dyDescent="0.25">
      <c r="A2181">
        <v>-63.661897916113098</v>
      </c>
      <c r="B2181">
        <v>44.756367518821101</v>
      </c>
      <c r="C2181">
        <v>1965</v>
      </c>
      <c r="D2181" t="s">
        <v>11</v>
      </c>
      <c r="E2181" t="s">
        <v>12</v>
      </c>
      <c r="F2181" t="s">
        <v>13</v>
      </c>
      <c r="G2181" t="s">
        <v>14</v>
      </c>
      <c r="H2181">
        <v>6442</v>
      </c>
      <c r="I2181" t="s">
        <v>4404</v>
      </c>
      <c r="J2181" t="s">
        <v>4405</v>
      </c>
      <c r="K2181" t="s">
        <v>17</v>
      </c>
      <c r="L2181" t="str">
        <f t="shared" si="34"/>
        <v xml:space="preserve">{ longitude: -63.6618979161131, latitude: 44.7563675188211, stopType: 'Bus Stop Non-Standard', gotime: \'6442\', location: \'COBEQUID RD NS OPP HILLSIDE TO DAMASCUS RD\' }, </v>
      </c>
    </row>
    <row r="2182" spans="1:12" x14ac:dyDescent="0.25">
      <c r="A2182">
        <v>-63.7371719046604</v>
      </c>
      <c r="B2182">
        <v>44.656332670837998</v>
      </c>
      <c r="C2182">
        <v>706</v>
      </c>
      <c r="D2182" t="s">
        <v>11</v>
      </c>
      <c r="E2182" t="s">
        <v>12</v>
      </c>
      <c r="F2182" t="s">
        <v>25</v>
      </c>
      <c r="G2182" t="s">
        <v>26</v>
      </c>
      <c r="H2182">
        <v>7181</v>
      </c>
      <c r="I2182" t="s">
        <v>4406</v>
      </c>
      <c r="J2182" t="s">
        <v>4407</v>
      </c>
      <c r="K2182" t="s">
        <v>17</v>
      </c>
      <c r="L2182" t="str">
        <f t="shared" si="34"/>
        <v xml:space="preserve">{ longitude: -63.7371719046604, latitude: 44.656332670838, stopType: 'Bus Stop Non-Standard', gotime: \'7181\', location: \'MAPLEWOOD AVE NS NORWAY MAPLE DR [IB]\' }, </v>
      </c>
    </row>
    <row r="2183" spans="1:12" x14ac:dyDescent="0.25">
      <c r="A2183">
        <v>-63.652187533465799</v>
      </c>
      <c r="B2183">
        <v>44.761812597129897</v>
      </c>
      <c r="C2183">
        <v>1966</v>
      </c>
      <c r="D2183" t="s">
        <v>11</v>
      </c>
      <c r="E2183" t="s">
        <v>12</v>
      </c>
      <c r="F2183" t="s">
        <v>25</v>
      </c>
      <c r="G2183" t="s">
        <v>26</v>
      </c>
      <c r="H2183">
        <v>6443</v>
      </c>
      <c r="I2183" t="s">
        <v>4408</v>
      </c>
      <c r="J2183" t="s">
        <v>4409</v>
      </c>
      <c r="K2183" t="s">
        <v>17</v>
      </c>
      <c r="L2183" t="str">
        <f t="shared" si="34"/>
        <v xml:space="preserve">{ longitude: -63.6521875334658, latitude: 44.7618125971299, stopType: 'Bus Stop Non-Standard', gotime: \'6443\', location: \'COBEQUID RD NS OPP JUDY ANNE CT\' }, </v>
      </c>
    </row>
    <row r="2184" spans="1:12" x14ac:dyDescent="0.25">
      <c r="A2184">
        <v>-63.621877019023103</v>
      </c>
      <c r="B2184">
        <v>44.6329789845379</v>
      </c>
      <c r="C2184">
        <v>707</v>
      </c>
      <c r="D2184" t="s">
        <v>11</v>
      </c>
      <c r="E2184" t="s">
        <v>12</v>
      </c>
      <c r="F2184" t="s">
        <v>13</v>
      </c>
      <c r="G2184" t="s">
        <v>14</v>
      </c>
      <c r="H2184">
        <v>7182</v>
      </c>
      <c r="I2184" t="s">
        <v>4410</v>
      </c>
      <c r="J2184" t="s">
        <v>4411</v>
      </c>
      <c r="K2184" t="s">
        <v>17</v>
      </c>
      <c r="L2184" t="str">
        <f t="shared" si="34"/>
        <v xml:space="preserve">{ longitude: -63.6218770190231, latitude: 44.6329789845379, stopType: 'Bus Stop Non-Standard', gotime: \'7182\', location: \'MARGARET RD NS MOUNTAIN RD\' }, </v>
      </c>
    </row>
    <row r="2185" spans="1:12" x14ac:dyDescent="0.25">
      <c r="A2185">
        <v>-63.620243274028098</v>
      </c>
      <c r="B2185">
        <v>44.633398220790802</v>
      </c>
      <c r="C2185">
        <v>708</v>
      </c>
      <c r="D2185" t="s">
        <v>11</v>
      </c>
      <c r="E2185" t="s">
        <v>12</v>
      </c>
      <c r="F2185" t="s">
        <v>13</v>
      </c>
      <c r="G2185" t="s">
        <v>14</v>
      </c>
      <c r="H2185">
        <v>7183</v>
      </c>
      <c r="I2185" t="s">
        <v>4412</v>
      </c>
      <c r="J2185" t="s">
        <v>4413</v>
      </c>
      <c r="K2185" t="s">
        <v>17</v>
      </c>
      <c r="L2185" t="str">
        <f t="shared" si="34"/>
        <v xml:space="preserve">{ longitude: -63.6202432740281, latitude: 44.6333982207908, stopType: 'Bus Stop Non-Standard', gotime: \'7183\', location: \'MARGARET RD OPP CIVIC 4\' }, </v>
      </c>
    </row>
    <row r="2186" spans="1:12" x14ac:dyDescent="0.25">
      <c r="A2186">
        <v>-63.656812453195002</v>
      </c>
      <c r="B2186">
        <v>44.760829884339103</v>
      </c>
      <c r="C2186">
        <v>1967</v>
      </c>
      <c r="D2186" t="s">
        <v>11</v>
      </c>
      <c r="E2186" t="s">
        <v>12</v>
      </c>
      <c r="F2186" t="s">
        <v>25</v>
      </c>
      <c r="G2186" t="s">
        <v>26</v>
      </c>
      <c r="H2186">
        <v>6444</v>
      </c>
      <c r="I2186" t="s">
        <v>4414</v>
      </c>
      <c r="J2186" t="s">
        <v>4415</v>
      </c>
      <c r="K2186" t="s">
        <v>17</v>
      </c>
      <c r="L2186" t="str">
        <f t="shared" si="34"/>
        <v xml:space="preserve">{ longitude: -63.656812453195, latitude: 44.7608298843391, stopType: 'Bus Stop Non-Standard', gotime: \'6444\', location: \'COBEQUID RD AT CIVIC 276\' }, </v>
      </c>
    </row>
    <row r="2187" spans="1:12" x14ac:dyDescent="0.25">
      <c r="A2187">
        <v>-63.6213677802874</v>
      </c>
      <c r="B2187">
        <v>44.633198982650498</v>
      </c>
      <c r="C2187">
        <v>709</v>
      </c>
      <c r="D2187" t="s">
        <v>11</v>
      </c>
      <c r="E2187" t="s">
        <v>12</v>
      </c>
      <c r="F2187" t="s">
        <v>25</v>
      </c>
      <c r="G2187" t="s">
        <v>26</v>
      </c>
      <c r="H2187">
        <v>7184</v>
      </c>
      <c r="I2187" t="s">
        <v>4416</v>
      </c>
      <c r="J2187" t="s">
        <v>4417</v>
      </c>
      <c r="K2187" t="s">
        <v>17</v>
      </c>
      <c r="L2187" t="str">
        <f t="shared" si="34"/>
        <v xml:space="preserve">{ longitude: -63.6213677802874, latitude: 44.6331989826505, stopType: 'Bus Stop Non-Standard', gotime: \'7184\', location: \'MARGARET RD FS KNOBHILL CR\' }, </v>
      </c>
    </row>
    <row r="2188" spans="1:12" x14ac:dyDescent="0.25">
      <c r="A2188">
        <v>-63.663272415425702</v>
      </c>
      <c r="B2188">
        <v>44.754343686854597</v>
      </c>
      <c r="C2188">
        <v>1968</v>
      </c>
      <c r="D2188" t="s">
        <v>22</v>
      </c>
      <c r="E2188" t="s">
        <v>12</v>
      </c>
      <c r="F2188" t="s">
        <v>25</v>
      </c>
      <c r="G2188" t="s">
        <v>19</v>
      </c>
      <c r="H2188">
        <v>6445</v>
      </c>
      <c r="I2188" t="s">
        <v>4418</v>
      </c>
      <c r="J2188" t="s">
        <v>4419</v>
      </c>
      <c r="K2188" t="s">
        <v>17</v>
      </c>
      <c r="L2188" t="str">
        <f t="shared" si="34"/>
        <v xml:space="preserve">{ longitude: -63.6632724154257, latitude: 44.7543436868546, stopType: 'Bus Stop Shelter Accessible', gotime: \'6445\', location: \'COBEQUID TERMINAL TO SACKVILLE (INSIDE)\' }, </v>
      </c>
    </row>
    <row r="2189" spans="1:12" x14ac:dyDescent="0.25">
      <c r="A2189">
        <v>-63.625834953630601</v>
      </c>
      <c r="B2189">
        <v>44.633293382790697</v>
      </c>
      <c r="C2189">
        <v>710</v>
      </c>
      <c r="D2189" t="s">
        <v>29</v>
      </c>
      <c r="E2189" t="s">
        <v>12</v>
      </c>
      <c r="F2189" t="s">
        <v>13</v>
      </c>
      <c r="G2189" t="s">
        <v>19</v>
      </c>
      <c r="H2189">
        <v>7186</v>
      </c>
      <c r="I2189" t="s">
        <v>4420</v>
      </c>
      <c r="J2189" t="s">
        <v>4421</v>
      </c>
      <c r="K2189" t="s">
        <v>17</v>
      </c>
      <c r="L2189" t="str">
        <f t="shared" si="34"/>
        <v xml:space="preserve">{ longitude: -63.6258349536306, latitude: 44.6332933827907, stopType: 'Bus Stop Accessible', gotime: \'7186\', location: \'OSBORNE ST AT CIVIC 16 [IB]\' }, </v>
      </c>
    </row>
    <row r="2190" spans="1:12" x14ac:dyDescent="0.25">
      <c r="A2190">
        <v>-63.663113565115999</v>
      </c>
      <c r="B2190">
        <v>44.753973538923901</v>
      </c>
      <c r="C2190">
        <v>1969</v>
      </c>
      <c r="D2190" t="s">
        <v>22</v>
      </c>
      <c r="E2190" t="s">
        <v>12</v>
      </c>
      <c r="F2190" t="s">
        <v>13</v>
      </c>
      <c r="G2190" t="s">
        <v>19</v>
      </c>
      <c r="H2190">
        <v>6446</v>
      </c>
      <c r="I2190" t="s">
        <v>855</v>
      </c>
      <c r="J2190" t="s">
        <v>4422</v>
      </c>
      <c r="K2190" t="s">
        <v>17</v>
      </c>
      <c r="L2190" t="str">
        <f t="shared" si="34"/>
        <v xml:space="preserve">{ longitude: -63.663113565116, latitude: 44.7539735389239, stopType: 'Bus Stop Shelter Accessible', gotime: \'6446\', location: \'COBEQUID TERMINAL (OUTSIDE)\' }, </v>
      </c>
    </row>
    <row r="2191" spans="1:12" x14ac:dyDescent="0.25">
      <c r="A2191">
        <v>-63.624737570610598</v>
      </c>
      <c r="B2191">
        <v>44.634305194144197</v>
      </c>
      <c r="C2191">
        <v>711</v>
      </c>
      <c r="D2191" t="s">
        <v>103</v>
      </c>
      <c r="E2191" t="s">
        <v>12</v>
      </c>
      <c r="F2191" t="s">
        <v>13</v>
      </c>
      <c r="G2191" t="s">
        <v>65</v>
      </c>
      <c r="H2191">
        <v>7187</v>
      </c>
      <c r="I2191" t="s">
        <v>4423</v>
      </c>
      <c r="J2191" t="s">
        <v>4424</v>
      </c>
      <c r="K2191" t="s">
        <v>17</v>
      </c>
      <c r="L2191" t="str">
        <f t="shared" si="34"/>
        <v xml:space="preserve">{ longitude: -63.6247375706106, latitude: 44.6343051941442, stopType: 'Bus Stop Inaccessible', gotime: \'7187\', location: \'MAYO ST AT CIVIC 7\' }, </v>
      </c>
    </row>
    <row r="2192" spans="1:12" x14ac:dyDescent="0.25">
      <c r="A2192">
        <v>-63.594672919956103</v>
      </c>
      <c r="B2192">
        <v>44.638048362905302</v>
      </c>
      <c r="C2192">
        <v>1970</v>
      </c>
      <c r="D2192" t="s">
        <v>22</v>
      </c>
      <c r="E2192" t="s">
        <v>12</v>
      </c>
      <c r="F2192" t="s">
        <v>25</v>
      </c>
      <c r="G2192" t="s">
        <v>19</v>
      </c>
      <c r="H2192">
        <v>6447</v>
      </c>
      <c r="I2192" t="s">
        <v>4425</v>
      </c>
      <c r="J2192" t="s">
        <v>4426</v>
      </c>
      <c r="K2192" t="s">
        <v>17</v>
      </c>
      <c r="L2192" t="str">
        <f t="shared" si="34"/>
        <v xml:space="preserve">{ longitude: -63.5946729199561, latitude: 44.6380483629053, stopType: 'Bus Stop Shelter Accessible', gotime: \'6447\', location: \'COBURG RD  &lt;EB&gt; AT DUNN BLDG\' }, </v>
      </c>
    </row>
    <row r="2193" spans="1:12" x14ac:dyDescent="0.25">
      <c r="A2193">
        <v>-63.624666804393897</v>
      </c>
      <c r="B2193">
        <v>44.634250293011803</v>
      </c>
      <c r="C2193">
        <v>712</v>
      </c>
      <c r="D2193" t="s">
        <v>29</v>
      </c>
      <c r="E2193" t="s">
        <v>12</v>
      </c>
      <c r="F2193" t="s">
        <v>25</v>
      </c>
      <c r="G2193" t="s">
        <v>26</v>
      </c>
      <c r="H2193">
        <v>7188</v>
      </c>
      <c r="I2193" t="s">
        <v>4427</v>
      </c>
      <c r="J2193" t="s">
        <v>4428</v>
      </c>
      <c r="K2193" t="s">
        <v>17</v>
      </c>
      <c r="L2193" t="str">
        <f t="shared" si="34"/>
        <v xml:space="preserve">{ longitude: -63.6246668043939, latitude: 44.6342502930118, stopType: 'Bus Stop Accessible', gotime: \'7188\', location: \'MAYO ST NS WITHROD DR\' }, </v>
      </c>
    </row>
    <row r="2194" spans="1:12" x14ac:dyDescent="0.25">
      <c r="A2194">
        <v>-63.588761219852302</v>
      </c>
      <c r="B2194">
        <v>44.639657305439101</v>
      </c>
      <c r="C2194">
        <v>1971</v>
      </c>
      <c r="D2194" t="s">
        <v>29</v>
      </c>
      <c r="E2194" t="s">
        <v>12</v>
      </c>
      <c r="F2194" t="s">
        <v>25</v>
      </c>
      <c r="G2194" t="s">
        <v>19</v>
      </c>
      <c r="H2194">
        <v>6448</v>
      </c>
      <c r="I2194" t="s">
        <v>4429</v>
      </c>
      <c r="J2194" t="s">
        <v>4430</v>
      </c>
      <c r="K2194" t="s">
        <v>17</v>
      </c>
      <c r="L2194" t="str">
        <f t="shared" si="34"/>
        <v xml:space="preserve">{ longitude: -63.5887612198523, latitude: 44.6396573054391, stopType: 'Bus Stop Accessible', gotime: \'6448\', location: \'COBURG RD &lt;WB&gt; NS HENRY ST\' }, </v>
      </c>
    </row>
    <row r="2195" spans="1:12" x14ac:dyDescent="0.25">
      <c r="A2195">
        <v>-63.591294047906601</v>
      </c>
      <c r="B2195">
        <v>44.638903505978199</v>
      </c>
      <c r="C2195">
        <v>1972</v>
      </c>
      <c r="D2195" t="s">
        <v>22</v>
      </c>
      <c r="E2195" t="s">
        <v>12</v>
      </c>
      <c r="F2195" t="s">
        <v>25</v>
      </c>
      <c r="G2195" t="s">
        <v>19</v>
      </c>
      <c r="H2195">
        <v>6449</v>
      </c>
      <c r="I2195" t="s">
        <v>4431</v>
      </c>
      <c r="J2195" t="s">
        <v>4432</v>
      </c>
      <c r="K2195" t="s">
        <v>17</v>
      </c>
      <c r="L2195" t="str">
        <f t="shared" si="34"/>
        <v xml:space="preserve">{ longitude: -63.5912940479066, latitude: 44.6389035059782, stopType: 'Bus Stop Shelter Accessible', gotime: \'6449\', location: \'COBURG RD &lt;EB&gt;  NS LEMARCHANT ST\' }, </v>
      </c>
    </row>
    <row r="2196" spans="1:12" x14ac:dyDescent="0.25">
      <c r="A2196">
        <v>-63.679909643518997</v>
      </c>
      <c r="B2196">
        <v>44.727963167218398</v>
      </c>
      <c r="C2196">
        <v>713</v>
      </c>
      <c r="D2196" t="s">
        <v>11</v>
      </c>
      <c r="E2196" t="s">
        <v>12</v>
      </c>
      <c r="F2196" t="s">
        <v>13</v>
      </c>
      <c r="G2196" t="s">
        <v>14</v>
      </c>
      <c r="H2196">
        <v>7189</v>
      </c>
      <c r="I2196" t="s">
        <v>4433</v>
      </c>
      <c r="J2196" t="s">
        <v>4434</v>
      </c>
      <c r="K2196" t="s">
        <v>17</v>
      </c>
      <c r="L2196" t="str">
        <f t="shared" si="34"/>
        <v xml:space="preserve">{ longitude: -63.679909643519, latitude: 44.7279631672184, stopType: 'Bus Stop Non-Standard', gotime: \'7189\', location: \'MEADOWBROOK DR FS BASINVIEW DR\' }, </v>
      </c>
    </row>
    <row r="2197" spans="1:12" x14ac:dyDescent="0.25">
      <c r="A2197">
        <v>-63.590975305124999</v>
      </c>
      <c r="B2197">
        <v>44.639134963668901</v>
      </c>
      <c r="C2197">
        <v>1973</v>
      </c>
      <c r="D2197" t="s">
        <v>22</v>
      </c>
      <c r="E2197" t="s">
        <v>12</v>
      </c>
      <c r="F2197" t="s">
        <v>25</v>
      </c>
      <c r="G2197" t="s">
        <v>19</v>
      </c>
      <c r="H2197">
        <v>6450</v>
      </c>
      <c r="I2197" t="s">
        <v>4435</v>
      </c>
      <c r="J2197" t="s">
        <v>4436</v>
      </c>
      <c r="K2197" t="s">
        <v>17</v>
      </c>
      <c r="L2197" t="str">
        <f t="shared" si="34"/>
        <v xml:space="preserve">{ longitude: -63.590975305125, latitude: 44.6391349636689, stopType: 'Bus Stop Shelter Accessible', gotime: \'6450\', location: \'COBURG RD &lt;WB&gt; NS LEMARCHANT ST\' }, </v>
      </c>
    </row>
    <row r="2198" spans="1:12" x14ac:dyDescent="0.25">
      <c r="A2198">
        <v>-63.677288363442102</v>
      </c>
      <c r="B2198">
        <v>44.726996650173497</v>
      </c>
      <c r="C2198">
        <v>714</v>
      </c>
      <c r="D2198" t="s">
        <v>11</v>
      </c>
      <c r="E2198" t="s">
        <v>12</v>
      </c>
      <c r="F2198" t="s">
        <v>25</v>
      </c>
      <c r="G2198" t="s">
        <v>26</v>
      </c>
      <c r="H2198">
        <v>7190</v>
      </c>
      <c r="I2198" t="s">
        <v>4437</v>
      </c>
      <c r="J2198" t="s">
        <v>4438</v>
      </c>
      <c r="K2198" t="s">
        <v>17</v>
      </c>
      <c r="L2198" t="str">
        <f t="shared" si="34"/>
        <v xml:space="preserve">{ longitude: -63.6772883634421, latitude: 44.7269966501735, stopType: 'Bus Stop Non-Standard', gotime: \'7190\', location: \'MEADOWBROOK DR FS BEECH ST\' }, </v>
      </c>
    </row>
    <row r="2199" spans="1:12" x14ac:dyDescent="0.25">
      <c r="A2199">
        <v>-63.677650477188301</v>
      </c>
      <c r="B2199">
        <v>44.727278247471901</v>
      </c>
      <c r="C2199">
        <v>715</v>
      </c>
      <c r="D2199" t="s">
        <v>103</v>
      </c>
      <c r="E2199" t="s">
        <v>12</v>
      </c>
      <c r="F2199" t="s">
        <v>25</v>
      </c>
      <c r="G2199" t="s">
        <v>65</v>
      </c>
      <c r="H2199">
        <v>7191</v>
      </c>
      <c r="I2199" t="s">
        <v>4439</v>
      </c>
      <c r="J2199" t="s">
        <v>4440</v>
      </c>
      <c r="K2199" t="s">
        <v>17</v>
      </c>
      <c r="L2199" t="str">
        <f t="shared" si="34"/>
        <v xml:space="preserve">{ longitude: -63.6776504771883, latitude: 44.7272782474719, stopType: 'Bus Stop Inaccessible', gotime: \'7191\', location: \'MEADOWBROOK DR AT CIVIC 105\' }, </v>
      </c>
    </row>
    <row r="2200" spans="1:12" x14ac:dyDescent="0.25">
      <c r="A2200">
        <v>-63.594619987324798</v>
      </c>
      <c r="B2200">
        <v>44.638209939414097</v>
      </c>
      <c r="C2200">
        <v>1974</v>
      </c>
      <c r="D2200" t="s">
        <v>22</v>
      </c>
      <c r="E2200" t="s">
        <v>12</v>
      </c>
      <c r="F2200" t="s">
        <v>25</v>
      </c>
      <c r="G2200" t="s">
        <v>4116</v>
      </c>
      <c r="H2200">
        <v>6451</v>
      </c>
      <c r="I2200" t="s">
        <v>4441</v>
      </c>
      <c r="J2200" t="s">
        <v>4442</v>
      </c>
      <c r="K2200" t="s">
        <v>17</v>
      </c>
      <c r="L2200" t="str">
        <f t="shared" si="34"/>
        <v xml:space="preserve">{ longitude: -63.5946199873248, latitude: 44.6382099394141, stopType: 'Bus Stop Shelter Accessible', gotime: \'6451\', location: \'COBURG RD &lt;WB&gt; NS LILAC ST\' }, </v>
      </c>
    </row>
    <row r="2201" spans="1:12" x14ac:dyDescent="0.25">
      <c r="A2201">
        <v>-63.673049096991399</v>
      </c>
      <c r="B2201">
        <v>44.726822036934401</v>
      </c>
      <c r="C2201">
        <v>716</v>
      </c>
      <c r="D2201" t="s">
        <v>11</v>
      </c>
      <c r="E2201" t="s">
        <v>12</v>
      </c>
      <c r="F2201" t="s">
        <v>25</v>
      </c>
      <c r="G2201" t="s">
        <v>26</v>
      </c>
      <c r="H2201">
        <v>7192</v>
      </c>
      <c r="I2201" t="s">
        <v>4443</v>
      </c>
      <c r="J2201" t="s">
        <v>4444</v>
      </c>
      <c r="K2201" t="s">
        <v>17</v>
      </c>
      <c r="L2201" t="str">
        <f t="shared" si="34"/>
        <v xml:space="preserve">{ longitude: -63.6730490969914, latitude: 44.7268220369344, stopType: 'Bus Stop Non-Standard', gotime: \'7192\', location: \'MEADOWBROOK DR AT CIVIC 60\' }, </v>
      </c>
    </row>
    <row r="2202" spans="1:12" x14ac:dyDescent="0.25">
      <c r="A2202">
        <v>-63.587153208668802</v>
      </c>
      <c r="B2202">
        <v>44.640112452115297</v>
      </c>
      <c r="C2202">
        <v>1975</v>
      </c>
      <c r="D2202" t="s">
        <v>22</v>
      </c>
      <c r="E2202" t="s">
        <v>12</v>
      </c>
      <c r="F2202" t="s">
        <v>25</v>
      </c>
      <c r="G2202" t="s">
        <v>19</v>
      </c>
      <c r="H2202">
        <v>6452</v>
      </c>
      <c r="I2202" t="s">
        <v>4445</v>
      </c>
      <c r="J2202" s="1" t="s">
        <v>4446</v>
      </c>
      <c r="K2202" t="s">
        <v>17</v>
      </c>
      <c r="L2202" t="str">
        <f t="shared" si="34"/>
        <v xml:space="preserve">{ longitude: -63.5871532086688, latitude: 44.6401124521153, stopType: 'Bus Stop Shelter Accessible', gotime: \'6452\', location: \'COBURG RD &lt;EB&gt; NS ROBIE ST\' }, </v>
      </c>
    </row>
    <row r="2203" spans="1:12" x14ac:dyDescent="0.25">
      <c r="A2203">
        <v>-63.669806156469903</v>
      </c>
      <c r="B2203">
        <v>44.725835545271401</v>
      </c>
      <c r="C2203">
        <v>717</v>
      </c>
      <c r="D2203" t="s">
        <v>29</v>
      </c>
      <c r="E2203" t="s">
        <v>12</v>
      </c>
      <c r="F2203" t="s">
        <v>25</v>
      </c>
      <c r="G2203" t="s">
        <v>26</v>
      </c>
      <c r="H2203">
        <v>7193</v>
      </c>
      <c r="I2203" t="s">
        <v>4447</v>
      </c>
      <c r="J2203" t="s">
        <v>4448</v>
      </c>
      <c r="K2203" t="s">
        <v>17</v>
      </c>
      <c r="L2203" t="str">
        <f t="shared" si="34"/>
        <v xml:space="preserve">{ longitude: -63.6698061564699, latitude: 44.7258355452714, stopType: 'Bus Stop Accessible', gotime: \'7193\', location: \'MEADOWBROOK DR NS PLEASANT ST\' }, </v>
      </c>
    </row>
    <row r="2204" spans="1:12" x14ac:dyDescent="0.25">
      <c r="A2204">
        <v>-63.596203660212197</v>
      </c>
      <c r="B2204">
        <v>44.637691496293499</v>
      </c>
      <c r="C2204">
        <v>1976</v>
      </c>
      <c r="D2204" t="s">
        <v>22</v>
      </c>
      <c r="E2204" t="s">
        <v>12</v>
      </c>
      <c r="F2204" t="s">
        <v>25</v>
      </c>
      <c r="G2204" t="s">
        <v>19</v>
      </c>
      <c r="H2204">
        <v>6453</v>
      </c>
      <c r="I2204" t="s">
        <v>4449</v>
      </c>
      <c r="J2204" t="s">
        <v>4450</v>
      </c>
      <c r="K2204" t="s">
        <v>17</v>
      </c>
      <c r="L2204" t="str">
        <f t="shared" si="34"/>
        <v xml:space="preserve">{ longitude: -63.5962036602122, latitude: 44.6376914962935, stopType: 'Bus Stop Shelter Accessible', gotime: \'6453\', location: \'COBURG RD &lt;EB&gt; OPP COBURG PLACE\' }, </v>
      </c>
    </row>
    <row r="2205" spans="1:12" x14ac:dyDescent="0.25">
      <c r="A2205">
        <v>-63.521074660186102</v>
      </c>
      <c r="B2205">
        <v>44.666402429372503</v>
      </c>
      <c r="C2205">
        <v>718</v>
      </c>
      <c r="D2205" t="s">
        <v>29</v>
      </c>
      <c r="E2205" t="s">
        <v>12</v>
      </c>
      <c r="F2205" t="s">
        <v>25</v>
      </c>
      <c r="G2205" t="s">
        <v>26</v>
      </c>
      <c r="H2205">
        <v>8254</v>
      </c>
      <c r="I2205" t="s">
        <v>4451</v>
      </c>
      <c r="J2205" t="s">
        <v>4452</v>
      </c>
      <c r="K2205" t="s">
        <v>17</v>
      </c>
      <c r="L2205" t="str">
        <f t="shared" si="34"/>
        <v xml:space="preserve">{ longitude: -63.5210746601861, latitude: 44.6664024293725, stopType: 'Bus Stop Accessible', gotime: \'8254\', location: \'RUSSELL LAKE DR FS EISENER DR\' }, </v>
      </c>
    </row>
    <row r="2206" spans="1:12" x14ac:dyDescent="0.25">
      <c r="A2206">
        <v>-63.524674199669697</v>
      </c>
      <c r="B2206">
        <v>44.6717517120086</v>
      </c>
      <c r="C2206">
        <v>1977</v>
      </c>
      <c r="D2206" t="s">
        <v>29</v>
      </c>
      <c r="E2206" t="s">
        <v>12</v>
      </c>
      <c r="F2206" t="s">
        <v>13</v>
      </c>
      <c r="G2206" t="s">
        <v>14</v>
      </c>
      <c r="H2206">
        <v>8037</v>
      </c>
      <c r="I2206" t="s">
        <v>4453</v>
      </c>
      <c r="J2206" t="s">
        <v>4454</v>
      </c>
      <c r="K2206" t="s">
        <v>17</v>
      </c>
      <c r="L2206" t="str">
        <f t="shared" si="34"/>
        <v xml:space="preserve">{ longitude: -63.5246741996697, latitude: 44.6717517120086, stopType: 'Bus Stop Accessible', gotime: \'8037\', location: \'PORTLAND ST AT MAZDA &lt;EB&gt;\' }, </v>
      </c>
    </row>
    <row r="2207" spans="1:12" x14ac:dyDescent="0.25">
      <c r="A2207">
        <v>-63.518534087131798</v>
      </c>
      <c r="B2207">
        <v>44.6622587408906</v>
      </c>
      <c r="C2207">
        <v>719</v>
      </c>
      <c r="D2207" t="s">
        <v>11</v>
      </c>
      <c r="E2207" t="s">
        <v>12</v>
      </c>
      <c r="F2207" t="s">
        <v>25</v>
      </c>
      <c r="G2207" t="s">
        <v>26</v>
      </c>
      <c r="H2207">
        <v>8255</v>
      </c>
      <c r="I2207" t="s">
        <v>4455</v>
      </c>
      <c r="J2207" t="s">
        <v>4456</v>
      </c>
      <c r="K2207" t="s">
        <v>17</v>
      </c>
      <c r="L2207" t="str">
        <f t="shared" si="34"/>
        <v xml:space="preserve">{ longitude: -63.5185340871318, latitude: 44.6622587408906, stopType: 'Bus Stop Non-Standard', gotime: \'8255\', location: \'RUSSELL LAKE DR FS PORT.EST.WEST\' }, </v>
      </c>
    </row>
    <row r="2208" spans="1:12" x14ac:dyDescent="0.25">
      <c r="A2208">
        <v>-63.544464449277903</v>
      </c>
      <c r="B2208">
        <v>44.667401510375697</v>
      </c>
      <c r="C2208">
        <v>1978</v>
      </c>
      <c r="D2208" t="s">
        <v>22</v>
      </c>
      <c r="E2208" t="s">
        <v>12</v>
      </c>
      <c r="F2208" t="s">
        <v>25</v>
      </c>
      <c r="G2208" t="s">
        <v>26</v>
      </c>
      <c r="H2208">
        <v>8038</v>
      </c>
      <c r="I2208" t="s">
        <v>4457</v>
      </c>
      <c r="J2208" t="s">
        <v>4458</v>
      </c>
      <c r="K2208" t="s">
        <v>17</v>
      </c>
      <c r="L2208" t="str">
        <f t="shared" si="34"/>
        <v xml:space="preserve">{ longitude: -63.5444644492779, latitude: 44.6674015103757, stopType: 'Bus Stop Shelter Accessible', gotime: \'8038\', location: \'PORTLAND ST FS GASTON &lt;EB&gt;\' }, </v>
      </c>
    </row>
    <row r="2209" spans="1:12" x14ac:dyDescent="0.25">
      <c r="A2209">
        <v>-63.521166559877301</v>
      </c>
      <c r="B2209">
        <v>44.666187223357198</v>
      </c>
      <c r="C2209">
        <v>720</v>
      </c>
      <c r="D2209" t="s">
        <v>103</v>
      </c>
      <c r="E2209" t="s">
        <v>12</v>
      </c>
      <c r="F2209" t="s">
        <v>25</v>
      </c>
      <c r="G2209" t="s">
        <v>65</v>
      </c>
      <c r="H2209">
        <v>8256</v>
      </c>
      <c r="I2209" t="s">
        <v>4459</v>
      </c>
      <c r="J2209" t="s">
        <v>4460</v>
      </c>
      <c r="K2209" t="s">
        <v>17</v>
      </c>
      <c r="L2209" t="str">
        <f t="shared" si="34"/>
        <v xml:space="preserve">{ longitude: -63.5211665598773, latitude: 44.6661872233572, stopType: 'Bus Stop Inaccessible', gotime: \'8256\', location: \'RUSSELL LAKE DR NS EISENER DR\' }, </v>
      </c>
    </row>
    <row r="2210" spans="1:12" x14ac:dyDescent="0.25">
      <c r="A2210">
        <v>-63.559538672412998</v>
      </c>
      <c r="B2210">
        <v>44.668732610196798</v>
      </c>
      <c r="C2210">
        <v>1979</v>
      </c>
      <c r="D2210" t="s">
        <v>29</v>
      </c>
      <c r="E2210" t="s">
        <v>12</v>
      </c>
      <c r="F2210" t="s">
        <v>25</v>
      </c>
      <c r="G2210" t="s">
        <v>19</v>
      </c>
      <c r="H2210">
        <v>8039</v>
      </c>
      <c r="I2210" t="s">
        <v>4461</v>
      </c>
      <c r="J2210" t="s">
        <v>4462</v>
      </c>
      <c r="K2210" t="s">
        <v>17</v>
      </c>
      <c r="L2210" t="str">
        <f t="shared" si="34"/>
        <v xml:space="preserve">{ longitude: -63.559538672413, latitude: 44.6687326101968, stopType: 'Bus Stop Accessible', gotime: \'8039\', location: \'PORTLAND ST FS HAWTHORNE &lt;WB&gt;\' }, </v>
      </c>
    </row>
    <row r="2211" spans="1:12" x14ac:dyDescent="0.25">
      <c r="A2211">
        <v>-63.519379910226299</v>
      </c>
      <c r="B2211">
        <v>44.662203008840798</v>
      </c>
      <c r="C2211">
        <v>721</v>
      </c>
      <c r="D2211" t="s">
        <v>29</v>
      </c>
      <c r="E2211" t="s">
        <v>12</v>
      </c>
      <c r="F2211" t="s">
        <v>25</v>
      </c>
      <c r="G2211" t="s">
        <v>26</v>
      </c>
      <c r="H2211">
        <v>8257</v>
      </c>
      <c r="I2211" t="s">
        <v>4463</v>
      </c>
      <c r="J2211" s="1" t="s">
        <v>4464</v>
      </c>
      <c r="K2211" t="s">
        <v>17</v>
      </c>
      <c r="L2211" t="str">
        <f t="shared" si="34"/>
        <v xml:space="preserve">{ longitude: -63.5193799102263, latitude: 44.6622030088408, stopType: 'Bus Stop Accessible', gotime: \'8257\', location: \'RUSSELL LAKE DR NS GEORGIAN CT\' }, </v>
      </c>
    </row>
    <row r="2212" spans="1:12" x14ac:dyDescent="0.25">
      <c r="A2212">
        <v>-63.521696428356698</v>
      </c>
      <c r="B2212">
        <v>44.671932605056597</v>
      </c>
      <c r="C2212">
        <v>1980</v>
      </c>
      <c r="D2212" t="s">
        <v>29</v>
      </c>
      <c r="E2212" t="s">
        <v>12</v>
      </c>
      <c r="F2212" t="s">
        <v>13</v>
      </c>
      <c r="G2212" t="s">
        <v>14</v>
      </c>
      <c r="H2212">
        <v>8040</v>
      </c>
      <c r="I2212" t="s">
        <v>4465</v>
      </c>
      <c r="J2212" t="s">
        <v>4466</v>
      </c>
      <c r="K2212" t="s">
        <v>17</v>
      </c>
      <c r="L2212" t="str">
        <f t="shared" si="34"/>
        <v xml:space="preserve">{ longitude: -63.5216964283567, latitude: 44.6719326050566, stopType: 'Bus Stop Accessible', gotime: \'8040\', location: \'PORTLAND ST FS JERSEY &lt;EB&gt;\' }, </v>
      </c>
    </row>
    <row r="2213" spans="1:12" x14ac:dyDescent="0.25">
      <c r="A2213">
        <v>-63.520214667005298</v>
      </c>
      <c r="B2213">
        <v>44.662804157004402</v>
      </c>
      <c r="C2213">
        <v>722</v>
      </c>
      <c r="D2213" t="s">
        <v>11</v>
      </c>
      <c r="E2213" t="s">
        <v>12</v>
      </c>
      <c r="F2213" t="s">
        <v>25</v>
      </c>
      <c r="G2213" t="s">
        <v>26</v>
      </c>
      <c r="H2213">
        <v>8258</v>
      </c>
      <c r="I2213" t="s">
        <v>4467</v>
      </c>
      <c r="J2213" t="s">
        <v>4468</v>
      </c>
      <c r="K2213" t="s">
        <v>17</v>
      </c>
      <c r="L2213" t="str">
        <f t="shared" si="34"/>
        <v xml:space="preserve">{ longitude: -63.5202146670053, latitude: 44.6628041570044, stopType: 'Bus Stop Non-Standard', gotime: \'8258\', location: \'RUSSELL LAKE DR AT CIVIC 30\' }, </v>
      </c>
    </row>
    <row r="2214" spans="1:12" x14ac:dyDescent="0.25">
      <c r="A2214">
        <v>-63.523309036241699</v>
      </c>
      <c r="B2214">
        <v>44.672120373167701</v>
      </c>
      <c r="C2214">
        <v>1981</v>
      </c>
      <c r="D2214" t="s">
        <v>22</v>
      </c>
      <c r="E2214" t="s">
        <v>12</v>
      </c>
      <c r="F2214" t="s">
        <v>13</v>
      </c>
      <c r="G2214" t="s">
        <v>14</v>
      </c>
      <c r="H2214">
        <v>8041</v>
      </c>
      <c r="I2214" t="s">
        <v>4469</v>
      </c>
      <c r="J2214" t="s">
        <v>4470</v>
      </c>
      <c r="K2214" t="s">
        <v>17</v>
      </c>
      <c r="L2214" t="str">
        <f t="shared" si="34"/>
        <v xml:space="preserve">{ longitude: -63.5233090362417, latitude: 44.6721203731677, stopType: 'Bus Stop Shelter Accessible', gotime: \'8041\', location: \'PORTLAND ST FS JERSEY &lt;WB&gt;\' }, </v>
      </c>
    </row>
    <row r="2215" spans="1:12" x14ac:dyDescent="0.25">
      <c r="A2215">
        <v>-63.691720620907702</v>
      </c>
      <c r="B2215">
        <v>44.772106789389397</v>
      </c>
      <c r="C2215">
        <v>723</v>
      </c>
      <c r="D2215" t="s">
        <v>29</v>
      </c>
      <c r="E2215" t="s">
        <v>12</v>
      </c>
      <c r="F2215" t="s">
        <v>25</v>
      </c>
      <c r="G2215" t="s">
        <v>19</v>
      </c>
      <c r="H2215">
        <v>8259</v>
      </c>
      <c r="I2215" t="s">
        <v>4471</v>
      </c>
      <c r="J2215" t="s">
        <v>4472</v>
      </c>
      <c r="K2215" t="s">
        <v>17</v>
      </c>
      <c r="L2215" t="str">
        <f t="shared" si="34"/>
        <v xml:space="preserve">{ longitude: -63.6917206209077, latitude: 44.7721067893894, stopType: 'Bus Stop Accessible', gotime: \'8259\', location: \'SACKVILLE DR NS WALMART ENTRANCE\' }, </v>
      </c>
    </row>
    <row r="2216" spans="1:12" x14ac:dyDescent="0.25">
      <c r="A2216">
        <v>-63.548827075458902</v>
      </c>
      <c r="B2216">
        <v>44.667455929743902</v>
      </c>
      <c r="C2216">
        <v>1982</v>
      </c>
      <c r="D2216" t="s">
        <v>22</v>
      </c>
      <c r="E2216" t="s">
        <v>12</v>
      </c>
      <c r="F2216" t="s">
        <v>25</v>
      </c>
      <c r="G2216" t="s">
        <v>26</v>
      </c>
      <c r="H2216">
        <v>8042</v>
      </c>
      <c r="I2216" t="s">
        <v>4473</v>
      </c>
      <c r="J2216" s="1" t="s">
        <v>4474</v>
      </c>
      <c r="K2216" t="s">
        <v>17</v>
      </c>
      <c r="L2216" t="str">
        <f t="shared" si="34"/>
        <v xml:space="preserve">{ longitude: -63.5488270754589, latitude: 44.6674559297439, stopType: 'Bus Stop Shelter Accessible', gotime: \'8042\', location: \'PORTLAND ST FS LAKEFRONT &lt;WB&gt;\' }, </v>
      </c>
    </row>
    <row r="2217" spans="1:12" x14ac:dyDescent="0.25">
      <c r="A2217">
        <v>-63.6995494982772</v>
      </c>
      <c r="B2217">
        <v>44.767842131442301</v>
      </c>
      <c r="C2217">
        <v>724</v>
      </c>
      <c r="D2217" t="s">
        <v>22</v>
      </c>
      <c r="E2217" t="s">
        <v>12</v>
      </c>
      <c r="F2217" t="s">
        <v>25</v>
      </c>
      <c r="G2217" t="s">
        <v>19</v>
      </c>
      <c r="H2217">
        <v>8260</v>
      </c>
      <c r="I2217" t="s">
        <v>1699</v>
      </c>
      <c r="J2217" t="s">
        <v>4475</v>
      </c>
      <c r="K2217" t="s">
        <v>17</v>
      </c>
      <c r="L2217" t="str">
        <f t="shared" si="34"/>
        <v xml:space="preserve">{ longitude: -63.6995494982772, latitude: 44.7678421314423, stopType: 'Bus Stop Shelter Accessible', gotime: \'8260\', location: \'SACKVILLE TRANSIT TERMINAL\' }, </v>
      </c>
    </row>
    <row r="2218" spans="1:12" x14ac:dyDescent="0.25">
      <c r="A2218">
        <v>-63.5536973369856</v>
      </c>
      <c r="B2218">
        <v>44.6680903732845</v>
      </c>
      <c r="C2218">
        <v>1983</v>
      </c>
      <c r="D2218" t="s">
        <v>29</v>
      </c>
      <c r="E2218" t="s">
        <v>12</v>
      </c>
      <c r="F2218" t="s">
        <v>25</v>
      </c>
      <c r="G2218" t="s">
        <v>26</v>
      </c>
      <c r="H2218">
        <v>8043</v>
      </c>
      <c r="I2218" t="s">
        <v>4476</v>
      </c>
      <c r="J2218" t="s">
        <v>4477</v>
      </c>
      <c r="K2218" t="s">
        <v>17</v>
      </c>
      <c r="L2218" t="str">
        <f t="shared" si="34"/>
        <v xml:space="preserve">{ longitude: -63.5536973369856, latitude: 44.6680903732845, stopType: 'Bus Stop Accessible', gotime: \'8043\', location: \'PORTLAND ST FS MAYNARD &lt;WB&gt;\' }, </v>
      </c>
    </row>
    <row r="2219" spans="1:12" x14ac:dyDescent="0.25">
      <c r="A2219">
        <v>-63.627941419987501</v>
      </c>
      <c r="B2219">
        <v>44.656399943797503</v>
      </c>
      <c r="C2219">
        <v>725</v>
      </c>
      <c r="D2219" t="s">
        <v>22</v>
      </c>
      <c r="E2219" t="s">
        <v>12</v>
      </c>
      <c r="F2219" t="s">
        <v>13</v>
      </c>
      <c r="G2219" t="s">
        <v>19</v>
      </c>
      <c r="H2219">
        <v>8262</v>
      </c>
      <c r="I2219" t="s">
        <v>4478</v>
      </c>
      <c r="J2219" t="s">
        <v>4479</v>
      </c>
      <c r="K2219" t="s">
        <v>17</v>
      </c>
      <c r="L2219" t="str">
        <f t="shared" si="34"/>
        <v xml:space="preserve">{ longitude: -63.6279414199875, latitude: 44.6563999437975, stopType: 'Bus Stop Shelter Accessible', gotime: \'8262\', location: \'SCOT ST ST NS DESMOND AVE &lt;EB&gt;\' }, </v>
      </c>
    </row>
    <row r="2220" spans="1:12" x14ac:dyDescent="0.25">
      <c r="A2220">
        <v>-63.546387156533399</v>
      </c>
      <c r="B2220">
        <v>44.667048592677098</v>
      </c>
      <c r="C2220">
        <v>1984</v>
      </c>
      <c r="D2220" t="s">
        <v>29</v>
      </c>
      <c r="E2220" t="s">
        <v>12</v>
      </c>
      <c r="F2220" t="s">
        <v>25</v>
      </c>
      <c r="G2220" t="s">
        <v>19</v>
      </c>
      <c r="H2220">
        <v>8044</v>
      </c>
      <c r="I2220" t="s">
        <v>4480</v>
      </c>
      <c r="J2220" t="s">
        <v>4481</v>
      </c>
      <c r="K2220" t="s">
        <v>17</v>
      </c>
      <c r="L2220" t="str">
        <f t="shared" si="34"/>
        <v xml:space="preserve">{ longitude: -63.5463871565334, latitude: 44.6670485926771, stopType: 'Bus Stop Accessible', gotime: \'8044\', location: \'PORTLAND ST FS PRINCE ARTHUR &lt;EB&gt;\' }, </v>
      </c>
    </row>
    <row r="2221" spans="1:12" x14ac:dyDescent="0.25">
      <c r="A2221">
        <v>-63.572399876620103</v>
      </c>
      <c r="B2221">
        <v>44.687080240522299</v>
      </c>
      <c r="C2221">
        <v>726</v>
      </c>
      <c r="D2221" t="s">
        <v>29</v>
      </c>
      <c r="E2221" t="s">
        <v>12</v>
      </c>
      <c r="F2221" t="s">
        <v>25</v>
      </c>
      <c r="G2221" t="s">
        <v>19</v>
      </c>
      <c r="H2221">
        <v>8263</v>
      </c>
      <c r="I2221" t="s">
        <v>4482</v>
      </c>
      <c r="J2221" t="s">
        <v>4483</v>
      </c>
      <c r="K2221" t="s">
        <v>17</v>
      </c>
      <c r="L2221" t="str">
        <f t="shared" si="34"/>
        <v xml:space="preserve">{ longitude: -63.5723998766201, latitude: 44.6870802405223, stopType: 'Bus Stop Accessible', gotime: \'8263\', location: \'SEA KING DR FS LANCASTER DR\' }, </v>
      </c>
    </row>
    <row r="2222" spans="1:12" x14ac:dyDescent="0.25">
      <c r="A2222">
        <v>-63.529382813478698</v>
      </c>
      <c r="B2222">
        <v>44.671074550663697</v>
      </c>
      <c r="C2222">
        <v>1985</v>
      </c>
      <c r="D2222" t="s">
        <v>11</v>
      </c>
      <c r="E2222" t="s">
        <v>12</v>
      </c>
      <c r="F2222" t="s">
        <v>13</v>
      </c>
      <c r="G2222" t="s">
        <v>14</v>
      </c>
      <c r="H2222">
        <v>8045</v>
      </c>
      <c r="I2222" t="s">
        <v>4484</v>
      </c>
      <c r="J2222" t="s">
        <v>4485</v>
      </c>
      <c r="K2222" t="s">
        <v>17</v>
      </c>
      <c r="L2222" t="str">
        <f t="shared" si="34"/>
        <v xml:space="preserve">{ longitude: -63.5293828134787, latitude: 44.6710745506637, stopType: 'Bus Stop Non-Standard', gotime: \'8045\', location: \'PORTLAND ST FS SETTLE &lt;WB&gt;\' }, </v>
      </c>
    </row>
    <row r="2223" spans="1:12" x14ac:dyDescent="0.25">
      <c r="A2223">
        <v>-63.575687930849703</v>
      </c>
      <c r="B2223">
        <v>44.685783943419899</v>
      </c>
      <c r="C2223">
        <v>727</v>
      </c>
      <c r="D2223" t="s">
        <v>103</v>
      </c>
      <c r="E2223" t="s">
        <v>12</v>
      </c>
      <c r="F2223" t="s">
        <v>25</v>
      </c>
      <c r="G2223" t="s">
        <v>65</v>
      </c>
      <c r="H2223">
        <v>8264</v>
      </c>
      <c r="I2223" t="s">
        <v>4486</v>
      </c>
      <c r="J2223" t="s">
        <v>4487</v>
      </c>
      <c r="K2223" t="s">
        <v>17</v>
      </c>
      <c r="L2223" t="str">
        <f t="shared" si="34"/>
        <v xml:space="preserve">{ longitude: -63.5756879308497, latitude: 44.6857839434199, stopType: 'Bus Stop Inaccessible', gotime: \'8264\', location: \'SEA KING DR AT CIVIC 6\' }, </v>
      </c>
    </row>
    <row r="2224" spans="1:12" x14ac:dyDescent="0.25">
      <c r="A2224">
        <v>-63.518062182235198</v>
      </c>
      <c r="B2224">
        <v>44.671552404207198</v>
      </c>
      <c r="C2224">
        <v>1986</v>
      </c>
      <c r="D2224" t="s">
        <v>11</v>
      </c>
      <c r="E2224" t="s">
        <v>12</v>
      </c>
      <c r="F2224" t="s">
        <v>13</v>
      </c>
      <c r="G2224" t="s">
        <v>19</v>
      </c>
      <c r="H2224">
        <v>8046</v>
      </c>
      <c r="I2224" t="s">
        <v>4488</v>
      </c>
      <c r="J2224" t="s">
        <v>4489</v>
      </c>
      <c r="K2224" t="s">
        <v>17</v>
      </c>
      <c r="L2224" t="str">
        <f t="shared" si="34"/>
        <v xml:space="preserve">{ longitude: -63.5180621822352, latitude: 44.6715524042072, stopType: 'Bus Stop Non-Standard', gotime: \'8046\', location: \'PORTLAND ST FS SPRING &lt;EB&gt;\' }, </v>
      </c>
    </row>
    <row r="2225" spans="1:12" x14ac:dyDescent="0.25">
      <c r="A2225">
        <v>-63.630231065312103</v>
      </c>
      <c r="B2225">
        <v>44.652706353240397</v>
      </c>
      <c r="C2225">
        <v>728</v>
      </c>
      <c r="D2225" t="s">
        <v>29</v>
      </c>
      <c r="E2225" t="s">
        <v>12</v>
      </c>
      <c r="F2225" t="s">
        <v>13</v>
      </c>
      <c r="G2225" t="s">
        <v>19</v>
      </c>
      <c r="H2225">
        <v>6981</v>
      </c>
      <c r="I2225" t="s">
        <v>4490</v>
      </c>
      <c r="J2225" t="s">
        <v>4491</v>
      </c>
      <c r="K2225" t="s">
        <v>17</v>
      </c>
      <c r="L2225" t="str">
        <f t="shared" si="34"/>
        <v xml:space="preserve">{ longitude: -63.6302310653121, latitude: 44.6527063532404, stopType: 'Bus Stop Accessible', gotime: \'6981\', location: \'JOSEPH HOWE DR FS SPRUCE  &lt;NB&gt;\' }, </v>
      </c>
    </row>
    <row r="2226" spans="1:12" x14ac:dyDescent="0.25">
      <c r="A2226">
        <v>-63.518946224485298</v>
      </c>
      <c r="B2226">
        <v>44.671982899602099</v>
      </c>
      <c r="C2226">
        <v>1987</v>
      </c>
      <c r="D2226" t="s">
        <v>22</v>
      </c>
      <c r="E2226" t="s">
        <v>12</v>
      </c>
      <c r="F2226" t="s">
        <v>13</v>
      </c>
      <c r="G2226" t="s">
        <v>19</v>
      </c>
      <c r="H2226">
        <v>8047</v>
      </c>
      <c r="I2226" t="s">
        <v>4492</v>
      </c>
      <c r="J2226" t="s">
        <v>4493</v>
      </c>
      <c r="K2226" t="s">
        <v>17</v>
      </c>
      <c r="L2226" t="str">
        <f t="shared" si="34"/>
        <v xml:space="preserve">{ longitude: -63.5189462244853, latitude: 44.6719828996021, stopType: 'Bus Stop Shelter Accessible', gotime: \'8047\', location: \'PORTLAND ST FS SPRING &lt;WB&gt;\' }, </v>
      </c>
    </row>
    <row r="2227" spans="1:12" x14ac:dyDescent="0.25">
      <c r="A2227">
        <v>-63.6293610695487</v>
      </c>
      <c r="B2227">
        <v>44.657932814597103</v>
      </c>
      <c r="C2227">
        <v>729</v>
      </c>
      <c r="D2227" t="s">
        <v>22</v>
      </c>
      <c r="E2227" t="s">
        <v>12</v>
      </c>
      <c r="F2227" t="s">
        <v>13</v>
      </c>
      <c r="G2227" t="s">
        <v>14</v>
      </c>
      <c r="H2227">
        <v>6982</v>
      </c>
      <c r="I2227" t="s">
        <v>4494</v>
      </c>
      <c r="J2227" t="s">
        <v>4495</v>
      </c>
      <c r="K2227" t="s">
        <v>17</v>
      </c>
      <c r="L2227" t="str">
        <f t="shared" si="34"/>
        <v xml:space="preserve">{ longitude: -63.6293610695487, latitude: 44.6579328145971, stopType: 'Bus Stop Shelter Accessible', gotime: \'6982\', location: \'JOSEPH HOWE DR SB AT HARRIS &amp; ROOME\' }, </v>
      </c>
    </row>
    <row r="2228" spans="1:12" x14ac:dyDescent="0.25">
      <c r="A2228">
        <v>-63.505953400573802</v>
      </c>
      <c r="B2228">
        <v>44.670123694003202</v>
      </c>
      <c r="C2228">
        <v>1988</v>
      </c>
      <c r="D2228" t="s">
        <v>22</v>
      </c>
      <c r="E2228" t="s">
        <v>12</v>
      </c>
      <c r="F2228" t="s">
        <v>25</v>
      </c>
      <c r="G2228" t="s">
        <v>19</v>
      </c>
      <c r="H2228">
        <v>8048</v>
      </c>
      <c r="I2228" t="s">
        <v>4496</v>
      </c>
      <c r="J2228" t="s">
        <v>4497</v>
      </c>
      <c r="K2228" t="s">
        <v>17</v>
      </c>
      <c r="L2228" t="str">
        <f t="shared" si="34"/>
        <v xml:space="preserve">{ longitude: -63.5059534005738, latitude: 44.6701236940032, stopType: 'Bus Stop Shelter Accessible', gotime: \'8048\', location: \'PORTLAND  HILLS TERMINAL\' }, </v>
      </c>
    </row>
    <row r="2229" spans="1:12" x14ac:dyDescent="0.25">
      <c r="A2229">
        <v>-63.628039116179899</v>
      </c>
      <c r="B2229">
        <v>44.660431230268699</v>
      </c>
      <c r="C2229">
        <v>730</v>
      </c>
      <c r="D2229" t="s">
        <v>29</v>
      </c>
      <c r="E2229" t="s">
        <v>12</v>
      </c>
      <c r="F2229" t="s">
        <v>13</v>
      </c>
      <c r="G2229" t="s">
        <v>19</v>
      </c>
      <c r="H2229">
        <v>6983</v>
      </c>
      <c r="I2229" t="s">
        <v>4498</v>
      </c>
      <c r="J2229" t="s">
        <v>4499</v>
      </c>
      <c r="K2229" t="s">
        <v>17</v>
      </c>
      <c r="L2229" t="str">
        <f t="shared" si="34"/>
        <v xml:space="preserve">{ longitude: -63.6280391161799, latitude: 44.6604312302687, stopType: 'Bus Stop Accessible', gotime: \'6983\', location: \'JOSEPH HOWE DR NS CIVIC 3825\' }, </v>
      </c>
    </row>
    <row r="2230" spans="1:12" x14ac:dyDescent="0.25">
      <c r="A2230">
        <v>-63.505662138962002</v>
      </c>
      <c r="B2230">
        <v>44.670193156192703</v>
      </c>
      <c r="C2230">
        <v>1989</v>
      </c>
      <c r="D2230" t="s">
        <v>22</v>
      </c>
      <c r="E2230" t="s">
        <v>12</v>
      </c>
      <c r="F2230" t="s">
        <v>25</v>
      </c>
      <c r="G2230" t="s">
        <v>19</v>
      </c>
      <c r="H2230">
        <v>8049</v>
      </c>
      <c r="I2230" t="s">
        <v>4500</v>
      </c>
      <c r="J2230" t="s">
        <v>4501</v>
      </c>
      <c r="K2230" t="s">
        <v>17</v>
      </c>
      <c r="L2230" t="str">
        <f t="shared" si="34"/>
        <v xml:space="preserve">{ longitude: -63.505662138962, latitude: 44.6701931561927, stopType: 'Bus Stop Shelter Accessible', gotime: \'8049\', location: \'PORTLAND  HILLS METROLINK\' }, </v>
      </c>
    </row>
    <row r="2231" spans="1:12" x14ac:dyDescent="0.25">
      <c r="A2231">
        <v>-63.629097919836397</v>
      </c>
      <c r="B2231">
        <v>44.6579745469313</v>
      </c>
      <c r="C2231">
        <v>731</v>
      </c>
      <c r="D2231" t="s">
        <v>22</v>
      </c>
      <c r="E2231" t="s">
        <v>12</v>
      </c>
      <c r="F2231" t="s">
        <v>13</v>
      </c>
      <c r="G2231" t="s">
        <v>19</v>
      </c>
      <c r="H2231">
        <v>6984</v>
      </c>
      <c r="I2231" t="s">
        <v>4502</v>
      </c>
      <c r="J2231" t="s">
        <v>4503</v>
      </c>
      <c r="K2231" t="s">
        <v>17</v>
      </c>
      <c r="L2231" t="str">
        <f t="shared" si="34"/>
        <v xml:space="preserve">{ longitude: -63.6290979198364, latitude: 44.6579745469313, stopType: 'Bus Stop Shelter Accessible', gotime: \'6984\', location: \'JOSEPH HOWE DR &lt;NB&gt; NS DUTCH VILLAGE\' }, </v>
      </c>
    </row>
    <row r="2232" spans="1:12" x14ac:dyDescent="0.25">
      <c r="A2232">
        <v>-63.531226008423801</v>
      </c>
      <c r="B2232">
        <v>44.670699973341399</v>
      </c>
      <c r="C2232">
        <v>1990</v>
      </c>
      <c r="D2232" t="s">
        <v>29</v>
      </c>
      <c r="E2232" t="s">
        <v>12</v>
      </c>
      <c r="F2232" t="s">
        <v>13</v>
      </c>
      <c r="G2232" t="s">
        <v>19</v>
      </c>
      <c r="H2232">
        <v>8050</v>
      </c>
      <c r="I2232" t="s">
        <v>4504</v>
      </c>
      <c r="J2232" t="s">
        <v>4505</v>
      </c>
      <c r="K2232" t="s">
        <v>17</v>
      </c>
      <c r="L2232" t="str">
        <f t="shared" si="34"/>
        <v xml:space="preserve">{ longitude: -63.5312260084238, latitude: 44.6706999733414, stopType: 'Bus Stop Accessible', gotime: \'8050\', location: \'PORTLAND ST FS WOODLAWN RD\' }, </v>
      </c>
    </row>
    <row r="2233" spans="1:12" x14ac:dyDescent="0.25">
      <c r="A2233">
        <v>-63.629785757963198</v>
      </c>
      <c r="B2233">
        <v>44.656457031375297</v>
      </c>
      <c r="C2233">
        <v>732</v>
      </c>
      <c r="D2233" t="s">
        <v>29</v>
      </c>
      <c r="E2233" t="s">
        <v>12</v>
      </c>
      <c r="F2233" t="s">
        <v>13</v>
      </c>
      <c r="G2233" t="s">
        <v>14</v>
      </c>
      <c r="H2233">
        <v>6985</v>
      </c>
      <c r="I2233" t="s">
        <v>4506</v>
      </c>
      <c r="J2233" t="s">
        <v>4507</v>
      </c>
      <c r="K2233" t="s">
        <v>17</v>
      </c>
      <c r="L2233" t="str">
        <f t="shared" si="34"/>
        <v xml:space="preserve">{ longitude: -63.6297857579632, latitude: 44.6564570313753, stopType: 'Bus Stop Accessible', gotime: \'6985\', location: \'JOSEPH HOWE DR NS SCOT ST\' }, </v>
      </c>
    </row>
    <row r="2234" spans="1:12" x14ac:dyDescent="0.25">
      <c r="A2234">
        <v>-63.559448150326197</v>
      </c>
      <c r="B2234">
        <v>44.668559249725902</v>
      </c>
      <c r="C2234">
        <v>1991</v>
      </c>
      <c r="D2234" t="s">
        <v>29</v>
      </c>
      <c r="E2234" t="s">
        <v>12</v>
      </c>
      <c r="F2234" t="s">
        <v>13</v>
      </c>
      <c r="G2234" t="s">
        <v>14</v>
      </c>
      <c r="H2234">
        <v>8051</v>
      </c>
      <c r="I2234" t="s">
        <v>4508</v>
      </c>
      <c r="J2234" t="s">
        <v>4509</v>
      </c>
      <c r="K2234" t="s">
        <v>17</v>
      </c>
      <c r="L2234" t="str">
        <f t="shared" si="34"/>
        <v xml:space="preserve">{ longitude: -63.5594481503262, latitude: 44.6685592497259, stopType: 'Bus Stop Accessible', gotime: \'8051\', location: \'PORTLAND ST AT CIVIC 254 &lt;EB&gt;\' }, </v>
      </c>
    </row>
    <row r="2235" spans="1:12" x14ac:dyDescent="0.25">
      <c r="A2235">
        <v>-63.593504346784897</v>
      </c>
      <c r="B2235">
        <v>44.664009717118802</v>
      </c>
      <c r="C2235">
        <v>733</v>
      </c>
      <c r="D2235" t="s">
        <v>29</v>
      </c>
      <c r="E2235" t="s">
        <v>12</v>
      </c>
      <c r="F2235" t="s">
        <v>13</v>
      </c>
      <c r="G2235" t="s">
        <v>19</v>
      </c>
      <c r="H2235">
        <v>6127</v>
      </c>
      <c r="I2235" t="s">
        <v>4510</v>
      </c>
      <c r="J2235" t="s">
        <v>4511</v>
      </c>
      <c r="K2235" t="s">
        <v>17</v>
      </c>
      <c r="L2235" t="str">
        <f t="shared" si="34"/>
        <v xml:space="preserve">{ longitude: -63.5935043467849, latitude: 44.6640097171188, stopType: 'Bus Stop Accessible', gotime: \'6127\', location: \'BARRINGTON ST &lt;NB&gt; OPP DEVONSHIRE ST\' }, </v>
      </c>
    </row>
    <row r="2236" spans="1:12" x14ac:dyDescent="0.25">
      <c r="A2236">
        <v>-63.554390142754698</v>
      </c>
      <c r="B2236">
        <v>44.668141110738503</v>
      </c>
      <c r="C2236">
        <v>1992</v>
      </c>
      <c r="D2236" t="s">
        <v>29</v>
      </c>
      <c r="E2236" t="s">
        <v>12</v>
      </c>
      <c r="F2236" t="s">
        <v>25</v>
      </c>
      <c r="G2236" t="s">
        <v>26</v>
      </c>
      <c r="H2236">
        <v>8052</v>
      </c>
      <c r="I2236" t="s">
        <v>4512</v>
      </c>
      <c r="J2236" t="s">
        <v>4513</v>
      </c>
      <c r="K2236" t="s">
        <v>17</v>
      </c>
      <c r="L2236" t="str">
        <f t="shared" si="34"/>
        <v xml:space="preserve">{ longitude: -63.5543901427547, latitude: 44.6681411107385, stopType: 'Bus Stop Accessible', gotime: \'8052\', location: \'PORTLAND ST AT CIVIC 308 &lt;EB&gt;\' }, </v>
      </c>
    </row>
    <row r="2237" spans="1:12" x14ac:dyDescent="0.25">
      <c r="A2237">
        <v>-63.681367732636303</v>
      </c>
      <c r="B2237">
        <v>44.723401265035399</v>
      </c>
      <c r="C2237">
        <v>734</v>
      </c>
      <c r="D2237" t="s">
        <v>11</v>
      </c>
      <c r="E2237" t="s">
        <v>12</v>
      </c>
      <c r="F2237" t="s">
        <v>13</v>
      </c>
      <c r="G2237" t="s">
        <v>14</v>
      </c>
      <c r="H2237">
        <v>6129</v>
      </c>
      <c r="I2237" t="s">
        <v>4514</v>
      </c>
      <c r="J2237" t="s">
        <v>4515</v>
      </c>
      <c r="K2237" t="s">
        <v>17</v>
      </c>
      <c r="L2237" t="str">
        <f t="shared" si="34"/>
        <v xml:space="preserve">{ longitude: -63.6813677326363, latitude: 44.7234012650354, stopType: 'Bus Stop Non-Standard', gotime: \'6129\', location: \'BASINVIEW DR FS ATLEE CT\' }, </v>
      </c>
    </row>
    <row r="2238" spans="1:12" x14ac:dyDescent="0.25">
      <c r="A2238">
        <v>-63.550901935246898</v>
      </c>
      <c r="B2238">
        <v>44.667824182316998</v>
      </c>
      <c r="C2238">
        <v>1993</v>
      </c>
      <c r="D2238" t="s">
        <v>29</v>
      </c>
      <c r="E2238" t="s">
        <v>12</v>
      </c>
      <c r="F2238" t="s">
        <v>25</v>
      </c>
      <c r="G2238" t="s">
        <v>26</v>
      </c>
      <c r="H2238">
        <v>8053</v>
      </c>
      <c r="I2238" t="s">
        <v>4516</v>
      </c>
      <c r="J2238" t="s">
        <v>4517</v>
      </c>
      <c r="K2238" t="s">
        <v>17</v>
      </c>
      <c r="L2238" t="str">
        <f t="shared" si="34"/>
        <v xml:space="preserve">{ longitude: -63.5509019352469, latitude: 44.667824182317, stopType: 'Bus Stop Accessible', gotime: \'8053\', location: \'PORTLAND ST AT CIVIC 347 &lt;WB&gt;\' }, </v>
      </c>
    </row>
    <row r="2239" spans="1:12" x14ac:dyDescent="0.25">
      <c r="A2239">
        <v>-63.681298478822001</v>
      </c>
      <c r="B2239">
        <v>44.718358798881901</v>
      </c>
      <c r="C2239">
        <v>735</v>
      </c>
      <c r="D2239" t="s">
        <v>11</v>
      </c>
      <c r="E2239" t="s">
        <v>12</v>
      </c>
      <c r="F2239" t="s">
        <v>25</v>
      </c>
      <c r="G2239" t="s">
        <v>26</v>
      </c>
      <c r="H2239">
        <v>6130</v>
      </c>
      <c r="I2239" t="s">
        <v>4518</v>
      </c>
      <c r="J2239" t="s">
        <v>4519</v>
      </c>
      <c r="K2239" t="s">
        <v>17</v>
      </c>
      <c r="L2239" t="str">
        <f t="shared" si="34"/>
        <v xml:space="preserve">{ longitude: -63.681298478822, latitude: 44.7183587988819, stopType: 'Bus Stop Non-Standard', gotime: \'6130\', location: \'BASINVIEW DR FS GLEN MOIR TERR\' }, </v>
      </c>
    </row>
    <row r="2240" spans="1:12" x14ac:dyDescent="0.25">
      <c r="A2240">
        <v>-63.527583233814497</v>
      </c>
      <c r="B2240">
        <v>44.671207736792297</v>
      </c>
      <c r="C2240">
        <v>1994</v>
      </c>
      <c r="D2240" t="s">
        <v>11</v>
      </c>
      <c r="E2240" t="s">
        <v>12</v>
      </c>
      <c r="F2240" t="s">
        <v>13</v>
      </c>
      <c r="G2240" t="s">
        <v>19</v>
      </c>
      <c r="H2240">
        <v>8055</v>
      </c>
      <c r="I2240" t="s">
        <v>4520</v>
      </c>
      <c r="J2240" t="s">
        <v>4521</v>
      </c>
      <c r="K2240" t="s">
        <v>17</v>
      </c>
      <c r="L2240" t="str">
        <f t="shared" si="34"/>
        <v xml:space="preserve">{ longitude: -63.5275832338145, latitude: 44.6712077367923, stopType: 'Bus Stop Non-Standard', gotime: \'8055\', location: \'PORTLAND ST AT PONTIAC &lt;EB&gt;\' }, </v>
      </c>
    </row>
    <row r="2241" spans="1:12" x14ac:dyDescent="0.25">
      <c r="A2241">
        <v>-63.682563174101197</v>
      </c>
      <c r="B2241">
        <v>44.717287898636798</v>
      </c>
      <c r="C2241">
        <v>736</v>
      </c>
      <c r="D2241" t="s">
        <v>11</v>
      </c>
      <c r="E2241" t="s">
        <v>12</v>
      </c>
      <c r="F2241" t="s">
        <v>25</v>
      </c>
      <c r="G2241" t="s">
        <v>26</v>
      </c>
      <c r="H2241">
        <v>6131</v>
      </c>
      <c r="I2241" t="s">
        <v>4522</v>
      </c>
      <c r="J2241" t="s">
        <v>4523</v>
      </c>
      <c r="K2241" t="s">
        <v>17</v>
      </c>
      <c r="L2241" t="str">
        <f t="shared" si="34"/>
        <v xml:space="preserve">{ longitude: -63.6825631741012, latitude: 44.7172878986368, stopType: 'Bus Stop Non-Standard', gotime: \'6131\', location: \'BASINVIEW DR FS HAMMONDS PLAINS RD\' }, </v>
      </c>
    </row>
    <row r="2242" spans="1:12" x14ac:dyDescent="0.25">
      <c r="A2242">
        <v>-63.531234512158598</v>
      </c>
      <c r="B2242">
        <v>44.691352507010201</v>
      </c>
      <c r="C2242">
        <v>1995</v>
      </c>
      <c r="D2242" t="s">
        <v>64</v>
      </c>
      <c r="E2242" t="s">
        <v>12</v>
      </c>
      <c r="F2242" t="s">
        <v>13</v>
      </c>
      <c r="G2242" t="s">
        <v>65</v>
      </c>
      <c r="H2242">
        <v>7051</v>
      </c>
      <c r="I2242" t="s">
        <v>4524</v>
      </c>
      <c r="J2242" t="s">
        <v>4525</v>
      </c>
      <c r="K2242" t="s">
        <v>17</v>
      </c>
      <c r="L2242" t="str">
        <f t="shared" si="34"/>
        <v xml:space="preserve">{ longitude: -63.5312345121586, latitude: 44.6913525070102, stopType: 'Bus Stop Shelter Inaccessible', gotime: \'7051\', location: \'KENNEDY DR FS CHURCHILL &lt;WB&gt;\' }, </v>
      </c>
    </row>
    <row r="2243" spans="1:12" x14ac:dyDescent="0.25">
      <c r="A2243">
        <v>-63.679270198833201</v>
      </c>
      <c r="B2243">
        <v>44.723438047879299</v>
      </c>
      <c r="C2243">
        <v>737</v>
      </c>
      <c r="D2243" t="s">
        <v>11</v>
      </c>
      <c r="E2243" t="s">
        <v>12</v>
      </c>
      <c r="F2243" t="s">
        <v>25</v>
      </c>
      <c r="G2243" t="s">
        <v>26</v>
      </c>
      <c r="H2243">
        <v>6132</v>
      </c>
      <c r="I2243" t="s">
        <v>4526</v>
      </c>
      <c r="J2243" t="s">
        <v>4527</v>
      </c>
      <c r="K2243" t="s">
        <v>17</v>
      </c>
      <c r="L2243" t="str">
        <f t="shared" ref="L2243:L2306" si="35">CONCATENATE( "{ longitude: ", A2243, ", latitude: ", B2243, ", stopType: '", D2243, "', gotime: \'", H2243, "\', location: \'", I2243, "\' }, ")</f>
        <v xml:space="preserve">{ longitude: -63.6792701988332, latitude: 44.7234380478793, stopType: 'Bus Stop Non-Standard', gotime: \'6132\', location: \'BASINVIEW DR FS OPP CIVIC 284\' }, </v>
      </c>
    </row>
    <row r="2244" spans="1:12" x14ac:dyDescent="0.25">
      <c r="A2244">
        <v>-63.528401617981103</v>
      </c>
      <c r="B2244">
        <v>44.690838316125699</v>
      </c>
      <c r="C2244">
        <v>1996</v>
      </c>
      <c r="D2244" t="s">
        <v>103</v>
      </c>
      <c r="E2244" t="s">
        <v>12</v>
      </c>
      <c r="F2244" t="s">
        <v>13</v>
      </c>
      <c r="G2244" t="s">
        <v>65</v>
      </c>
      <c r="H2244">
        <v>7052</v>
      </c>
      <c r="I2244" t="s">
        <v>4528</v>
      </c>
      <c r="J2244" t="s">
        <v>4529</v>
      </c>
      <c r="K2244" t="s">
        <v>17</v>
      </c>
      <c r="L2244" t="str">
        <f t="shared" si="35"/>
        <v xml:space="preserve">{ longitude: -63.5284016179811, latitude: 44.6908383161257, stopType: 'Bus Stop Inaccessible', gotime: \'7052\', location: \'KENNEDY DR AT CIVIC 37 &lt;EB&gt;\' }, </v>
      </c>
    </row>
    <row r="2245" spans="1:12" x14ac:dyDescent="0.25">
      <c r="A2245">
        <v>-63.680732580870497</v>
      </c>
      <c r="B2245">
        <v>44.728047370840201</v>
      </c>
      <c r="C2245">
        <v>738</v>
      </c>
      <c r="D2245" t="s">
        <v>11</v>
      </c>
      <c r="E2245" t="s">
        <v>12</v>
      </c>
      <c r="F2245" t="s">
        <v>25</v>
      </c>
      <c r="G2245" t="s">
        <v>26</v>
      </c>
      <c r="H2245">
        <v>6133</v>
      </c>
      <c r="I2245" t="s">
        <v>4530</v>
      </c>
      <c r="J2245" t="s">
        <v>4531</v>
      </c>
      <c r="K2245" t="s">
        <v>17</v>
      </c>
      <c r="L2245" t="str">
        <f t="shared" si="35"/>
        <v xml:space="preserve">{ longitude: -63.6807325808705, latitude: 44.7280473708402, stopType: 'Bus Stop Non-Standard', gotime: \'6133\', location: \'BASINVIEW DR AT CIVIC 548\' }, </v>
      </c>
    </row>
    <row r="2246" spans="1:12" x14ac:dyDescent="0.25">
      <c r="A2246">
        <v>-63.527007278961399</v>
      </c>
      <c r="B2246">
        <v>44.6893335583148</v>
      </c>
      <c r="C2246">
        <v>1997</v>
      </c>
      <c r="D2246" t="s">
        <v>11</v>
      </c>
      <c r="E2246" t="s">
        <v>12</v>
      </c>
      <c r="F2246" t="s">
        <v>13</v>
      </c>
      <c r="G2246" t="s">
        <v>4532</v>
      </c>
      <c r="H2246">
        <v>7053</v>
      </c>
      <c r="I2246" t="s">
        <v>4533</v>
      </c>
      <c r="J2246" t="s">
        <v>4534</v>
      </c>
      <c r="K2246" t="s">
        <v>17</v>
      </c>
      <c r="L2246" t="str">
        <f t="shared" si="35"/>
        <v xml:space="preserve">{ longitude: -63.5270072789614, latitude: 44.6893335583148, stopType: 'Bus Stop Non-Standard', gotime: \'7053\', location: \'KENNEDY DR &lt;FS&gt; DAVID ST\' }, </v>
      </c>
    </row>
    <row r="2247" spans="1:12" x14ac:dyDescent="0.25">
      <c r="A2247">
        <v>-63.681502427991603</v>
      </c>
      <c r="B2247">
        <v>44.723589063367001</v>
      </c>
      <c r="C2247">
        <v>739</v>
      </c>
      <c r="D2247" t="s">
        <v>11</v>
      </c>
      <c r="E2247" t="s">
        <v>12</v>
      </c>
      <c r="F2247" t="s">
        <v>25</v>
      </c>
      <c r="G2247" t="s">
        <v>26</v>
      </c>
      <c r="H2247">
        <v>6134</v>
      </c>
      <c r="I2247" t="s">
        <v>4535</v>
      </c>
      <c r="J2247" t="s">
        <v>4536</v>
      </c>
      <c r="K2247" t="s">
        <v>17</v>
      </c>
      <c r="L2247" t="str">
        <f t="shared" si="35"/>
        <v xml:space="preserve">{ longitude: -63.6815024279916, latitude: 44.723589063367, stopType: 'Bus Stop Non-Standard', gotime: \'6134\', location: \'BASINVIEW DR NS CARRIAGEWAY CT\' }, </v>
      </c>
    </row>
    <row r="2248" spans="1:12" x14ac:dyDescent="0.25">
      <c r="A2248">
        <v>-63.5676566013098</v>
      </c>
      <c r="B2248">
        <v>44.569774224102503</v>
      </c>
      <c r="C2248">
        <v>1998</v>
      </c>
      <c r="D2248" t="s">
        <v>11</v>
      </c>
      <c r="E2248" t="s">
        <v>12</v>
      </c>
      <c r="F2248" t="s">
        <v>25</v>
      </c>
      <c r="G2248" t="s">
        <v>26</v>
      </c>
      <c r="H2248">
        <v>7054</v>
      </c>
      <c r="I2248" t="s">
        <v>4537</v>
      </c>
      <c r="J2248" t="s">
        <v>4538</v>
      </c>
      <c r="K2248" t="s">
        <v>17</v>
      </c>
      <c r="L2248" t="str">
        <f t="shared" si="35"/>
        <v xml:space="preserve">{ longitude: -63.5676566013098, latitude: 44.5697742241025, stopType: 'Bus Stop Non-Standard', gotime: \'7054\', location: \'KETCH HARBOUR RD OPP CIVIC 18\' }, </v>
      </c>
    </row>
    <row r="2249" spans="1:12" x14ac:dyDescent="0.25">
      <c r="A2249">
        <v>-63.679696935272702</v>
      </c>
      <c r="B2249">
        <v>44.7200392428486</v>
      </c>
      <c r="C2249">
        <v>740</v>
      </c>
      <c r="D2249" t="s">
        <v>103</v>
      </c>
      <c r="E2249" t="s">
        <v>12</v>
      </c>
      <c r="F2249" t="s">
        <v>25</v>
      </c>
      <c r="G2249" t="s">
        <v>65</v>
      </c>
      <c r="H2249">
        <v>6135</v>
      </c>
      <c r="I2249" t="s">
        <v>4539</v>
      </c>
      <c r="J2249" t="s">
        <v>4540</v>
      </c>
      <c r="K2249" t="s">
        <v>17</v>
      </c>
      <c r="L2249" t="str">
        <f t="shared" si="35"/>
        <v xml:space="preserve">{ longitude: -63.6796969352727, latitude: 44.7200392428486, stopType: 'Bus Stop Inaccessible', gotime: \'6135\', location: \'BASINVIEW DR NS CIVIC 138\' }, </v>
      </c>
    </row>
    <row r="2250" spans="1:12" x14ac:dyDescent="0.25">
      <c r="A2250">
        <v>-63.566655858613203</v>
      </c>
      <c r="B2250">
        <v>44.567795073549</v>
      </c>
      <c r="C2250">
        <v>1999</v>
      </c>
      <c r="D2250" t="s">
        <v>103</v>
      </c>
      <c r="E2250" t="s">
        <v>12</v>
      </c>
      <c r="F2250" t="s">
        <v>25</v>
      </c>
      <c r="G2250" t="s">
        <v>65</v>
      </c>
      <c r="H2250">
        <v>7055</v>
      </c>
      <c r="I2250" t="s">
        <v>4541</v>
      </c>
      <c r="J2250" t="s">
        <v>4542</v>
      </c>
      <c r="K2250" t="s">
        <v>17</v>
      </c>
      <c r="L2250" t="str">
        <f t="shared" si="35"/>
        <v xml:space="preserve">{ longitude: -63.5666558586132, latitude: 44.567795073549, stopType: 'Bus Stop Inaccessible', gotime: \'7055\', location: \'KETCH HARBOUR RD FS CIVIC 39\' }, </v>
      </c>
    </row>
    <row r="2251" spans="1:12" x14ac:dyDescent="0.25">
      <c r="A2251">
        <v>-63.679220406621099</v>
      </c>
      <c r="B2251">
        <v>44.723272366335998</v>
      </c>
      <c r="C2251">
        <v>741</v>
      </c>
      <c r="D2251" t="s">
        <v>11</v>
      </c>
      <c r="E2251" t="s">
        <v>12</v>
      </c>
      <c r="F2251" t="s">
        <v>13</v>
      </c>
      <c r="G2251" t="s">
        <v>14</v>
      </c>
      <c r="H2251">
        <v>6136</v>
      </c>
      <c r="I2251" t="s">
        <v>4543</v>
      </c>
      <c r="J2251" t="s">
        <v>4544</v>
      </c>
      <c r="K2251" t="s">
        <v>17</v>
      </c>
      <c r="L2251" t="str">
        <f t="shared" si="35"/>
        <v xml:space="preserve">{ longitude: -63.6792204066211, latitude: 44.723272366336, stopType: 'Bus Stop Non-Standard', gotime: \'6136\', location: \'BASINVIEW DR NS CIVIC 284\' }, </v>
      </c>
    </row>
    <row r="2252" spans="1:12" x14ac:dyDescent="0.25">
      <c r="A2252">
        <v>-63.566276730785603</v>
      </c>
      <c r="B2252">
        <v>44.565524000970399</v>
      </c>
      <c r="C2252">
        <v>2000</v>
      </c>
      <c r="D2252" t="s">
        <v>103</v>
      </c>
      <c r="E2252" t="s">
        <v>12</v>
      </c>
      <c r="F2252" t="s">
        <v>25</v>
      </c>
      <c r="G2252" t="s">
        <v>65</v>
      </c>
      <c r="H2252">
        <v>7056</v>
      </c>
      <c r="I2252" t="s">
        <v>4545</v>
      </c>
      <c r="J2252" t="s">
        <v>4546</v>
      </c>
      <c r="K2252" t="s">
        <v>17</v>
      </c>
      <c r="L2252" t="str">
        <f t="shared" si="35"/>
        <v xml:space="preserve">{ longitude: -63.5662767307856, latitude: 44.5655240009704, stopType: 'Bus Stop Inaccessible', gotime: \'7056\', location: \'KETCH HARBOUR RD FS CIVIC 67\' }, </v>
      </c>
    </row>
    <row r="2253" spans="1:12" x14ac:dyDescent="0.25">
      <c r="A2253">
        <v>-63.682884496190098</v>
      </c>
      <c r="B2253">
        <v>44.724948908821602</v>
      </c>
      <c r="C2253">
        <v>742</v>
      </c>
      <c r="D2253" t="s">
        <v>11</v>
      </c>
      <c r="E2253" t="s">
        <v>12</v>
      </c>
      <c r="F2253" t="s">
        <v>25</v>
      </c>
      <c r="G2253" t="s">
        <v>26</v>
      </c>
      <c r="H2253">
        <v>6137</v>
      </c>
      <c r="I2253" t="s">
        <v>4547</v>
      </c>
      <c r="J2253" t="s">
        <v>4548</v>
      </c>
      <c r="K2253" t="s">
        <v>17</v>
      </c>
      <c r="L2253" t="str">
        <f t="shared" si="35"/>
        <v xml:space="preserve">{ longitude: -63.6828844961901, latitude: 44.7249489088216, stopType: 'Bus Stop Non-Standard', gotime: \'6137\', location: \'BASINVIEW DR NS GRANVILLE RD\' }, </v>
      </c>
    </row>
    <row r="2254" spans="1:12" x14ac:dyDescent="0.25">
      <c r="A2254">
        <v>-63.678573400321497</v>
      </c>
      <c r="B2254">
        <v>44.721831098999303</v>
      </c>
      <c r="C2254">
        <v>743</v>
      </c>
      <c r="D2254" t="s">
        <v>11</v>
      </c>
      <c r="E2254" t="s">
        <v>12</v>
      </c>
      <c r="F2254" t="s">
        <v>25</v>
      </c>
      <c r="G2254" t="s">
        <v>26</v>
      </c>
      <c r="H2254">
        <v>6138</v>
      </c>
      <c r="I2254" t="s">
        <v>4549</v>
      </c>
      <c r="J2254" t="s">
        <v>4550</v>
      </c>
      <c r="K2254" t="s">
        <v>17</v>
      </c>
      <c r="L2254" t="str">
        <f t="shared" si="35"/>
        <v xml:space="preserve">{ longitude: -63.6785734003215, latitude: 44.7218310989993, stopType: 'Bus Stop Non-Standard', gotime: \'6138\', location: \'BASINVIEW DR NS ROY CR\' }, </v>
      </c>
    </row>
    <row r="2255" spans="1:12" x14ac:dyDescent="0.25">
      <c r="A2255">
        <v>-63.679417482015801</v>
      </c>
      <c r="B2255">
        <v>44.7201632304537</v>
      </c>
      <c r="C2255">
        <v>744</v>
      </c>
      <c r="D2255" t="s">
        <v>11</v>
      </c>
      <c r="E2255" t="s">
        <v>12</v>
      </c>
      <c r="F2255" t="s">
        <v>25</v>
      </c>
      <c r="G2255" t="s">
        <v>26</v>
      </c>
      <c r="H2255">
        <v>6139</v>
      </c>
      <c r="I2255" t="s">
        <v>4551</v>
      </c>
      <c r="J2255" t="s">
        <v>4552</v>
      </c>
      <c r="K2255" t="s">
        <v>17</v>
      </c>
      <c r="L2255" t="str">
        <f t="shared" si="35"/>
        <v xml:space="preserve">{ longitude: -63.6794174820158, latitude: 44.7201632304537, stopType: 'Bus Stop Non-Standard', gotime: \'6139\', location: \'BASINVIEW DR AT CIVIC 147\' }, </v>
      </c>
    </row>
    <row r="2256" spans="1:12" x14ac:dyDescent="0.25">
      <c r="A2256">
        <v>-63.681186031070403</v>
      </c>
      <c r="B2256">
        <v>44.718276995712898</v>
      </c>
      <c r="C2256">
        <v>745</v>
      </c>
      <c r="D2256" t="s">
        <v>11</v>
      </c>
      <c r="E2256" t="s">
        <v>12</v>
      </c>
      <c r="F2256" t="s">
        <v>25</v>
      </c>
      <c r="G2256" t="s">
        <v>26</v>
      </c>
      <c r="H2256">
        <v>6140</v>
      </c>
      <c r="I2256" t="s">
        <v>4553</v>
      </c>
      <c r="J2256" t="s">
        <v>4554</v>
      </c>
      <c r="K2256" t="s">
        <v>17</v>
      </c>
      <c r="L2256" t="str">
        <f t="shared" si="35"/>
        <v xml:space="preserve">{ longitude: -63.6811860310704, latitude: 44.7182769957129, stopType: 'Bus Stop Non-Standard', gotime: \'6140\', location: \'BASINVIEW DR OPP CIVIC 64\' }, </v>
      </c>
    </row>
    <row r="2257" spans="1:12" x14ac:dyDescent="0.25">
      <c r="A2257">
        <v>-63.682076921276398</v>
      </c>
      <c r="B2257">
        <v>44.784016556204698</v>
      </c>
      <c r="C2257">
        <v>746</v>
      </c>
      <c r="D2257" t="s">
        <v>11</v>
      </c>
      <c r="E2257" t="s">
        <v>12</v>
      </c>
      <c r="F2257" t="s">
        <v>25</v>
      </c>
      <c r="G2257" t="s">
        <v>26</v>
      </c>
      <c r="H2257">
        <v>8359</v>
      </c>
      <c r="I2257" t="s">
        <v>4555</v>
      </c>
      <c r="J2257" t="s">
        <v>4556</v>
      </c>
      <c r="K2257" t="s">
        <v>17</v>
      </c>
      <c r="L2257" t="str">
        <f t="shared" si="35"/>
        <v xml:space="preserve">{ longitude: -63.6820769212764, latitude: 44.7840165562047, stopType: 'Bus Stop Non-Standard', gotime: \'8359\', location: \'STOKIL DR NS SPINNER CR\' }, </v>
      </c>
    </row>
    <row r="2258" spans="1:12" x14ac:dyDescent="0.25">
      <c r="A2258">
        <v>-63.681212456574201</v>
      </c>
      <c r="B2258">
        <v>44.783925655854901</v>
      </c>
      <c r="C2258">
        <v>747</v>
      </c>
      <c r="D2258" t="s">
        <v>29</v>
      </c>
      <c r="E2258" t="s">
        <v>12</v>
      </c>
      <c r="F2258" t="s">
        <v>13</v>
      </c>
      <c r="G2258" t="s">
        <v>4557</v>
      </c>
      <c r="H2258">
        <v>8360</v>
      </c>
      <c r="I2258" t="s">
        <v>4558</v>
      </c>
      <c r="J2258" t="s">
        <v>4559</v>
      </c>
      <c r="K2258" t="s">
        <v>17</v>
      </c>
      <c r="L2258" t="str">
        <f t="shared" si="35"/>
        <v xml:space="preserve">{ longitude: -63.6812124565742, latitude: 44.7839256558549, stopType: 'Bus Stop Accessible', gotime: \'8360\', location: \'STOKIL DR &lt;OP&gt; SARATOGA\' }, </v>
      </c>
    </row>
    <row r="2259" spans="1:12" x14ac:dyDescent="0.25">
      <c r="A2259">
        <v>-63.630046642400103</v>
      </c>
      <c r="B2259">
        <v>44.635236379652802</v>
      </c>
      <c r="C2259">
        <v>748</v>
      </c>
      <c r="D2259" t="s">
        <v>22</v>
      </c>
      <c r="E2259" t="s">
        <v>12</v>
      </c>
      <c r="F2259" t="s">
        <v>25</v>
      </c>
      <c r="G2259" t="s">
        <v>26</v>
      </c>
      <c r="H2259">
        <v>8361</v>
      </c>
      <c r="I2259" t="s">
        <v>4560</v>
      </c>
      <c r="J2259" t="s">
        <v>4561</v>
      </c>
      <c r="K2259" t="s">
        <v>17</v>
      </c>
      <c r="L2259" t="str">
        <f t="shared" si="35"/>
        <v xml:space="preserve">{ longitude: -63.6300466424001, latitude: 44.6352363796528, stopType: 'Bus Stop Shelter Accessible', gotime: \'8361\', location: \'STONEHAVEN RD NS GLENMORE AVE\' }, </v>
      </c>
    </row>
    <row r="2260" spans="1:12" x14ac:dyDescent="0.25">
      <c r="A2260">
        <v>-63.626775824176903</v>
      </c>
      <c r="B2260">
        <v>44.634815426013198</v>
      </c>
      <c r="C2260">
        <v>749</v>
      </c>
      <c r="D2260" t="s">
        <v>11</v>
      </c>
      <c r="E2260" t="s">
        <v>12</v>
      </c>
      <c r="F2260" t="s">
        <v>25</v>
      </c>
      <c r="G2260" t="s">
        <v>26</v>
      </c>
      <c r="H2260">
        <v>8362</v>
      </c>
      <c r="I2260" t="s">
        <v>4562</v>
      </c>
      <c r="J2260" t="s">
        <v>4563</v>
      </c>
      <c r="K2260" t="s">
        <v>17</v>
      </c>
      <c r="L2260" t="str">
        <f t="shared" si="35"/>
        <v xml:space="preserve">{ longitude: -63.6267758241769, latitude: 44.6348154260132, stopType: 'Bus Stop Non-Standard', gotime: \'8362\', location: \'STONEHAVEN RD OPP CIVIC 10\' }, </v>
      </c>
    </row>
    <row r="2261" spans="1:12" x14ac:dyDescent="0.25">
      <c r="A2261">
        <v>-63.5859332612347</v>
      </c>
      <c r="B2261">
        <v>44.646357539532602</v>
      </c>
      <c r="C2261">
        <v>750</v>
      </c>
      <c r="D2261" t="s">
        <v>22</v>
      </c>
      <c r="E2261" t="s">
        <v>12</v>
      </c>
      <c r="F2261" t="s">
        <v>25</v>
      </c>
      <c r="G2261" t="s">
        <v>19</v>
      </c>
      <c r="H2261">
        <v>8363</v>
      </c>
      <c r="I2261" t="s">
        <v>4564</v>
      </c>
      <c r="J2261" t="s">
        <v>4565</v>
      </c>
      <c r="K2261" t="s">
        <v>17</v>
      </c>
      <c r="L2261" t="str">
        <f t="shared" si="35"/>
        <v xml:space="preserve">{ longitude: -63.5859332612347, latitude: 44.6463575395326, stopType: 'Bus Stop Shelter Accessible', gotime: \'8363\', location: \'SUMMER ST FS BELL RD\' }, </v>
      </c>
    </row>
    <row r="2262" spans="1:12" x14ac:dyDescent="0.25">
      <c r="A2262">
        <v>-63.5858577715303</v>
      </c>
      <c r="B2262">
        <v>44.646347935513802</v>
      </c>
      <c r="C2262">
        <v>751</v>
      </c>
      <c r="D2262" t="s">
        <v>22</v>
      </c>
      <c r="E2262" t="s">
        <v>12</v>
      </c>
      <c r="F2262" t="s">
        <v>25</v>
      </c>
      <c r="G2262" t="s">
        <v>19</v>
      </c>
      <c r="H2262">
        <v>8364</v>
      </c>
      <c r="I2262" t="s">
        <v>4566</v>
      </c>
      <c r="J2262" t="s">
        <v>4567</v>
      </c>
      <c r="K2262" t="s">
        <v>17</v>
      </c>
      <c r="L2262" t="str">
        <f t="shared" si="35"/>
        <v xml:space="preserve">{ longitude: -63.5858577715303, latitude: 44.6463479355138, stopType: 'Bus Stop Shelter Accessible', gotime: \'8364\', location: \'SUMMER ST NS BELL RD\' }, </v>
      </c>
    </row>
    <row r="2263" spans="1:12" x14ac:dyDescent="0.25">
      <c r="A2263">
        <v>-63.584973366532402</v>
      </c>
      <c r="B2263">
        <v>44.6445864367588</v>
      </c>
      <c r="C2263">
        <v>752</v>
      </c>
      <c r="D2263" t="s">
        <v>29</v>
      </c>
      <c r="E2263" t="s">
        <v>12</v>
      </c>
      <c r="F2263" t="s">
        <v>13</v>
      </c>
      <c r="G2263" t="s">
        <v>19</v>
      </c>
      <c r="H2263">
        <v>8365</v>
      </c>
      <c r="I2263" t="s">
        <v>4568</v>
      </c>
      <c r="J2263" t="s">
        <v>4569</v>
      </c>
      <c r="K2263" t="s">
        <v>17</v>
      </c>
      <c r="L2263" t="str">
        <f t="shared" si="35"/>
        <v xml:space="preserve">{ longitude: -63.5849733665324, latitude: 44.6445864367588, stopType: 'Bus Stop Accessible', gotime: \'8365\', location: \'SUMMER ST OPP VETERANS MEM. LN\' }, </v>
      </c>
    </row>
    <row r="2264" spans="1:12" x14ac:dyDescent="0.25">
      <c r="A2264">
        <v>-63.674326537606298</v>
      </c>
      <c r="B2264">
        <v>44.645782468240697</v>
      </c>
      <c r="C2264">
        <v>753</v>
      </c>
      <c r="D2264" t="s">
        <v>11</v>
      </c>
      <c r="E2264" t="s">
        <v>12</v>
      </c>
      <c r="F2264" t="s">
        <v>13</v>
      </c>
      <c r="G2264" t="s">
        <v>14</v>
      </c>
      <c r="H2264">
        <v>8366</v>
      </c>
      <c r="I2264" t="s">
        <v>4570</v>
      </c>
      <c r="J2264" t="s">
        <v>4571</v>
      </c>
      <c r="K2264" t="s">
        <v>17</v>
      </c>
      <c r="L2264" t="str">
        <f t="shared" si="35"/>
        <v xml:space="preserve">{ longitude: -63.6743265376063, latitude: 44.6457824682407, stopType: 'Bus Stop Non-Standard', gotime: \'8366\', location: \'SUSIE LAKE DR AT CIVIC 100\' }, </v>
      </c>
    </row>
    <row r="2265" spans="1:12" x14ac:dyDescent="0.25">
      <c r="A2265">
        <v>-63.673767931863999</v>
      </c>
      <c r="B2265">
        <v>44.646226887061502</v>
      </c>
      <c r="C2265">
        <v>754</v>
      </c>
      <c r="D2265" t="s">
        <v>11</v>
      </c>
      <c r="E2265" t="s">
        <v>12</v>
      </c>
      <c r="F2265" t="s">
        <v>13</v>
      </c>
      <c r="G2265" t="s">
        <v>14</v>
      </c>
      <c r="H2265">
        <v>8367</v>
      </c>
      <c r="I2265" t="s">
        <v>4572</v>
      </c>
      <c r="J2265" t="s">
        <v>4573</v>
      </c>
      <c r="K2265" t="s">
        <v>17</v>
      </c>
      <c r="L2265" t="str">
        <f t="shared" si="35"/>
        <v xml:space="preserve">{ longitude: -63.673767931864, latitude: 44.6462268870615, stopType: 'Bus Stop Non-Standard', gotime: \'8367\', location: \'SUSIE LAKE DR FS CHAIN LAKE DR\' }, </v>
      </c>
    </row>
    <row r="2266" spans="1:12" x14ac:dyDescent="0.25">
      <c r="A2266">
        <v>-63.5368072239486</v>
      </c>
      <c r="B2266">
        <v>44.680474987347601</v>
      </c>
      <c r="C2266">
        <v>755</v>
      </c>
      <c r="D2266" t="s">
        <v>22</v>
      </c>
      <c r="E2266" t="s">
        <v>12</v>
      </c>
      <c r="F2266" t="s">
        <v>13</v>
      </c>
      <c r="G2266" t="s">
        <v>19</v>
      </c>
      <c r="H2266">
        <v>9076</v>
      </c>
      <c r="I2266" t="s">
        <v>4574</v>
      </c>
      <c r="J2266" t="s">
        <v>4575</v>
      </c>
      <c r="K2266" t="s">
        <v>17</v>
      </c>
      <c r="L2266" t="str">
        <f t="shared" si="35"/>
        <v xml:space="preserve">{ longitude: -63.5368072239486, latitude: 44.6804749873476, stopType: 'Bus Stop Shelter Accessible', gotime: \'9076\', location: \'TACOMA DR &lt;NS&gt; VALLEYFIELD RD\' }, </v>
      </c>
    </row>
    <row r="2267" spans="1:12" x14ac:dyDescent="0.25">
      <c r="A2267">
        <v>-63.628766316126203</v>
      </c>
      <c r="B2267">
        <v>44.629826742076503</v>
      </c>
      <c r="C2267">
        <v>756</v>
      </c>
      <c r="D2267" t="s">
        <v>29</v>
      </c>
      <c r="E2267" t="s">
        <v>12</v>
      </c>
      <c r="F2267" t="s">
        <v>25</v>
      </c>
      <c r="G2267" t="s">
        <v>26</v>
      </c>
      <c r="H2267">
        <v>8370</v>
      </c>
      <c r="I2267" t="s">
        <v>4576</v>
      </c>
      <c r="J2267" t="s">
        <v>4577</v>
      </c>
      <c r="K2267" t="s">
        <v>17</v>
      </c>
      <c r="L2267" t="str">
        <f t="shared" si="35"/>
        <v xml:space="preserve">{ longitude: -63.6287663161262, latitude: 44.6298267420765, stopType: 'Bus Stop Accessible', gotime: \'8370\', location: \'TAMARACK DR FS MEDINA CT\' }, </v>
      </c>
    </row>
    <row r="2268" spans="1:12" x14ac:dyDescent="0.25">
      <c r="A2268">
        <v>-63.627477981470904</v>
      </c>
      <c r="B2268">
        <v>44.628331939157199</v>
      </c>
      <c r="C2268">
        <v>757</v>
      </c>
      <c r="D2268" t="s">
        <v>29</v>
      </c>
      <c r="E2268" t="s">
        <v>12</v>
      </c>
      <c r="F2268" t="s">
        <v>25</v>
      </c>
      <c r="G2268" t="s">
        <v>19</v>
      </c>
      <c r="H2268">
        <v>8371</v>
      </c>
      <c r="I2268" t="s">
        <v>4578</v>
      </c>
      <c r="J2268" t="s">
        <v>4579</v>
      </c>
      <c r="K2268" t="s">
        <v>17</v>
      </c>
      <c r="L2268" t="str">
        <f t="shared" si="35"/>
        <v xml:space="preserve">{ longitude: -63.6274779814709, latitude: 44.6283319391572, stopType: 'Bus Stop Accessible', gotime: \'8371\', location: \'TAMARACK FS MOUNTAIN RD\' }, </v>
      </c>
    </row>
    <row r="2269" spans="1:12" x14ac:dyDescent="0.25">
      <c r="A2269">
        <v>-63.628581060383397</v>
      </c>
      <c r="B2269">
        <v>44.629573334240398</v>
      </c>
      <c r="C2269">
        <v>758</v>
      </c>
      <c r="D2269" t="s">
        <v>103</v>
      </c>
      <c r="E2269" t="s">
        <v>12</v>
      </c>
      <c r="F2269" t="s">
        <v>25</v>
      </c>
      <c r="G2269" t="s">
        <v>65</v>
      </c>
      <c r="H2269">
        <v>8372</v>
      </c>
      <c r="I2269" t="s">
        <v>4580</v>
      </c>
      <c r="J2269" t="s">
        <v>4581</v>
      </c>
      <c r="K2269" t="s">
        <v>17</v>
      </c>
      <c r="L2269" t="str">
        <f t="shared" si="35"/>
        <v xml:space="preserve">{ longitude: -63.6285810603834, latitude: 44.6295733342404, stopType: 'Bus Stop Inaccessible', gotime: \'8372\', location: \'TAMARACK OPP MEDINA CT\' }, </v>
      </c>
    </row>
    <row r="2270" spans="1:12" x14ac:dyDescent="0.25">
      <c r="A2270">
        <v>-63.627466236890299</v>
      </c>
      <c r="B2270">
        <v>44.6281400636434</v>
      </c>
      <c r="C2270">
        <v>759</v>
      </c>
      <c r="D2270" t="s">
        <v>18</v>
      </c>
      <c r="E2270" t="s">
        <v>12</v>
      </c>
      <c r="F2270" t="s">
        <v>13</v>
      </c>
      <c r="G2270" t="s">
        <v>14</v>
      </c>
      <c r="H2270">
        <v>8373</v>
      </c>
      <c r="I2270" t="s">
        <v>4582</v>
      </c>
      <c r="J2270" t="s">
        <v>4583</v>
      </c>
      <c r="K2270" t="s">
        <v>17</v>
      </c>
      <c r="L2270" t="str">
        <f t="shared" si="35"/>
        <v xml:space="preserve">{ longitude: -63.6274662368903, latitude: 44.6281400636434, stopType: 'Bus Stop Shelter Non-Standard', gotime: \'8373\', location: \'TAMARACK OPP NS MOUNTAIN RD\' }, </v>
      </c>
    </row>
    <row r="2271" spans="1:12" x14ac:dyDescent="0.25">
      <c r="A2271">
        <v>-63.4945457189922</v>
      </c>
      <c r="B2271">
        <v>44.694566045886702</v>
      </c>
      <c r="C2271">
        <v>760</v>
      </c>
      <c r="D2271" t="s">
        <v>103</v>
      </c>
      <c r="E2271" t="s">
        <v>12</v>
      </c>
      <c r="F2271" t="s">
        <v>25</v>
      </c>
      <c r="G2271" t="s">
        <v>65</v>
      </c>
      <c r="H2271">
        <v>8375</v>
      </c>
      <c r="I2271" t="s">
        <v>4584</v>
      </c>
      <c r="J2271" t="s">
        <v>4585</v>
      </c>
      <c r="K2271" t="s">
        <v>17</v>
      </c>
      <c r="L2271" t="str">
        <f t="shared" si="35"/>
        <v xml:space="preserve">{ longitude: -63.4945457189922, latitude: 44.6945660458867, stopType: 'Bus Stop Inaccessible', gotime: \'8375\', location: \'TARANAKI DR AT CIVIC 171\' }, </v>
      </c>
    </row>
    <row r="2272" spans="1:12" x14ac:dyDescent="0.25">
      <c r="A2272">
        <v>-63.493545404532902</v>
      </c>
      <c r="B2272">
        <v>44.691872264472003</v>
      </c>
      <c r="C2272">
        <v>761</v>
      </c>
      <c r="D2272" t="s">
        <v>11</v>
      </c>
      <c r="E2272" t="s">
        <v>12</v>
      </c>
      <c r="F2272" t="s">
        <v>13</v>
      </c>
      <c r="G2272" t="s">
        <v>14</v>
      </c>
      <c r="H2272">
        <v>8376</v>
      </c>
      <c r="I2272" t="s">
        <v>4586</v>
      </c>
      <c r="J2272" t="s">
        <v>4587</v>
      </c>
      <c r="K2272" t="s">
        <v>17</v>
      </c>
      <c r="L2272" t="str">
        <f t="shared" si="35"/>
        <v xml:space="preserve">{ longitude: -63.4935454045329, latitude: 44.691872264472, stopType: 'Bus Stop Non-Standard', gotime: \'8376\', location: \'TARANAKI DR AT CIVIC 238\' }, </v>
      </c>
    </row>
    <row r="2273" spans="1:12" x14ac:dyDescent="0.25">
      <c r="A2273">
        <v>-63.578529509718898</v>
      </c>
      <c r="B2273">
        <v>44.5788623547801</v>
      </c>
      <c r="C2273">
        <v>762</v>
      </c>
      <c r="D2273" t="s">
        <v>103</v>
      </c>
      <c r="E2273" t="s">
        <v>12</v>
      </c>
      <c r="F2273" t="s">
        <v>25</v>
      </c>
      <c r="G2273" t="s">
        <v>65</v>
      </c>
      <c r="H2273">
        <v>6884</v>
      </c>
      <c r="I2273" t="s">
        <v>4588</v>
      </c>
      <c r="J2273" t="s">
        <v>4589</v>
      </c>
      <c r="K2273" t="s">
        <v>17</v>
      </c>
      <c r="L2273" t="str">
        <f t="shared" si="35"/>
        <v xml:space="preserve">{ longitude: -63.5785295097189, latitude: 44.5788623547801, stopType: 'Bus Stop Inaccessible', gotime: \'6884\', location: \'HERRING COVE RD AT CIVIC 872\' }, </v>
      </c>
    </row>
    <row r="2274" spans="1:12" x14ac:dyDescent="0.25">
      <c r="A2274">
        <v>-63.573692494119697</v>
      </c>
      <c r="B2274">
        <v>44.574206285660502</v>
      </c>
      <c r="C2274">
        <v>763</v>
      </c>
      <c r="D2274" t="s">
        <v>11</v>
      </c>
      <c r="E2274" t="s">
        <v>12</v>
      </c>
      <c r="F2274" t="s">
        <v>25</v>
      </c>
      <c r="G2274" t="s">
        <v>26</v>
      </c>
      <c r="H2274">
        <v>6885</v>
      </c>
      <c r="I2274" t="s">
        <v>4590</v>
      </c>
      <c r="J2274" t="s">
        <v>4591</v>
      </c>
      <c r="K2274" t="s">
        <v>17</v>
      </c>
      <c r="L2274" t="str">
        <f t="shared" si="35"/>
        <v xml:space="preserve">{ longitude: -63.5736924941197, latitude: 44.5742062856605, stopType: 'Bus Stop Non-Standard', gotime: \'6885\', location: \'HERRING COVE RD AT CIVIC 935\' }, </v>
      </c>
    </row>
    <row r="2275" spans="1:12" x14ac:dyDescent="0.25">
      <c r="A2275">
        <v>-63.5733196673159</v>
      </c>
      <c r="B2275">
        <v>44.573897265002401</v>
      </c>
      <c r="C2275">
        <v>764</v>
      </c>
      <c r="D2275" t="s">
        <v>11</v>
      </c>
      <c r="E2275" t="s">
        <v>12</v>
      </c>
      <c r="F2275" t="s">
        <v>25</v>
      </c>
      <c r="G2275" t="s">
        <v>26</v>
      </c>
      <c r="H2275">
        <v>6886</v>
      </c>
      <c r="I2275" t="s">
        <v>4592</v>
      </c>
      <c r="J2275" t="s">
        <v>4593</v>
      </c>
      <c r="K2275" t="s">
        <v>17</v>
      </c>
      <c r="L2275" t="str">
        <f t="shared" si="35"/>
        <v xml:space="preserve">{ longitude: -63.5733196673159, latitude: 44.5738972650024, stopType: 'Bus Stop Non-Standard', gotime: \'6886\', location: \'HERRING COVE RD AT CIVIC 946\' }, </v>
      </c>
    </row>
    <row r="2276" spans="1:12" x14ac:dyDescent="0.25">
      <c r="A2276">
        <v>-63.571223847085903</v>
      </c>
      <c r="B2276">
        <v>44.571882265138001</v>
      </c>
      <c r="C2276">
        <v>765</v>
      </c>
      <c r="D2276" t="s">
        <v>11</v>
      </c>
      <c r="E2276" t="s">
        <v>12</v>
      </c>
      <c r="F2276" t="s">
        <v>25</v>
      </c>
      <c r="G2276" t="s">
        <v>26</v>
      </c>
      <c r="H2276">
        <v>6887</v>
      </c>
      <c r="I2276" t="s">
        <v>4594</v>
      </c>
      <c r="J2276" t="s">
        <v>4595</v>
      </c>
      <c r="K2276" t="s">
        <v>17</v>
      </c>
      <c r="L2276" t="str">
        <f t="shared" si="35"/>
        <v xml:space="preserve">{ longitude: -63.5712238470859, latitude: 44.571882265138, stopType: 'Bus Stop Non-Standard', gotime: \'6887\', location: \'HERRING COVE RD OPP CIVIC 964\' }, </v>
      </c>
    </row>
    <row r="2277" spans="1:12" x14ac:dyDescent="0.25">
      <c r="A2277">
        <v>-63.5721790368803</v>
      </c>
      <c r="B2277">
        <v>44.572781018087802</v>
      </c>
      <c r="C2277">
        <v>766</v>
      </c>
      <c r="D2277" t="s">
        <v>103</v>
      </c>
      <c r="E2277" t="s">
        <v>12</v>
      </c>
      <c r="F2277" t="s">
        <v>25</v>
      </c>
      <c r="G2277" t="s">
        <v>65</v>
      </c>
      <c r="H2277">
        <v>6888</v>
      </c>
      <c r="I2277" t="s">
        <v>4596</v>
      </c>
      <c r="J2277" t="s">
        <v>4597</v>
      </c>
      <c r="K2277" t="s">
        <v>17</v>
      </c>
      <c r="L2277" t="str">
        <f t="shared" si="35"/>
        <v xml:space="preserve">{ longitude: -63.5721790368803, latitude: 44.5727810180878, stopType: 'Bus Stop Inaccessible', gotime: \'6888\', location: \'HERRING COVE RD AT CIVIC 954\' }, </v>
      </c>
    </row>
    <row r="2278" spans="1:12" x14ac:dyDescent="0.25">
      <c r="A2278">
        <v>-63.568702264394503</v>
      </c>
      <c r="B2278">
        <v>44.570520746903298</v>
      </c>
      <c r="C2278">
        <v>767</v>
      </c>
      <c r="D2278" t="s">
        <v>11</v>
      </c>
      <c r="E2278" t="s">
        <v>12</v>
      </c>
      <c r="F2278" t="s">
        <v>25</v>
      </c>
      <c r="G2278" t="s">
        <v>26</v>
      </c>
      <c r="H2278">
        <v>6889</v>
      </c>
      <c r="I2278" t="s">
        <v>4598</v>
      </c>
      <c r="J2278" t="s">
        <v>4599</v>
      </c>
      <c r="K2278" t="s">
        <v>17</v>
      </c>
      <c r="L2278" t="str">
        <f t="shared" si="35"/>
        <v xml:space="preserve">{ longitude: -63.5687022643945, latitude: 44.5705207469033, stopType: 'Bus Stop Non-Standard', gotime: \'6889\', location: \'HERRING COVE RD AT CIVIC 988\' }, </v>
      </c>
    </row>
    <row r="2279" spans="1:12" x14ac:dyDescent="0.25">
      <c r="A2279">
        <v>-63.615138047707099</v>
      </c>
      <c r="B2279">
        <v>44.618483540404704</v>
      </c>
      <c r="C2279">
        <v>768</v>
      </c>
      <c r="D2279" t="s">
        <v>22</v>
      </c>
      <c r="E2279" t="s">
        <v>12</v>
      </c>
      <c r="F2279" t="s">
        <v>13</v>
      </c>
      <c r="G2279" t="s">
        <v>14</v>
      </c>
      <c r="H2279">
        <v>6890</v>
      </c>
      <c r="I2279" t="s">
        <v>4600</v>
      </c>
      <c r="J2279" t="s">
        <v>4601</v>
      </c>
      <c r="K2279" t="s">
        <v>17</v>
      </c>
      <c r="L2279" t="str">
        <f t="shared" si="35"/>
        <v xml:space="preserve">{ longitude: -63.6151380477071, latitude: 44.6184835404047, stopType: 'Bus Stop Shelter Accessible', gotime: \'6890\', location: \'HERRING COVE RD NS CIRCLE DR\' }, </v>
      </c>
    </row>
    <row r="2280" spans="1:12" x14ac:dyDescent="0.25">
      <c r="A2280">
        <v>-63.616813054680499</v>
      </c>
      <c r="B2280">
        <v>44.625659260681097</v>
      </c>
      <c r="C2280">
        <v>769</v>
      </c>
      <c r="D2280" t="s">
        <v>18</v>
      </c>
      <c r="E2280" t="s">
        <v>12</v>
      </c>
      <c r="F2280" t="s">
        <v>13</v>
      </c>
      <c r="G2280" t="s">
        <v>4602</v>
      </c>
      <c r="H2280">
        <v>6891</v>
      </c>
      <c r="I2280" t="s">
        <v>4603</v>
      </c>
      <c r="J2280" t="s">
        <v>4604</v>
      </c>
      <c r="K2280" t="s">
        <v>17</v>
      </c>
      <c r="L2280" t="str">
        <f t="shared" si="35"/>
        <v xml:space="preserve">{ longitude: -63.6168130546805, latitude: 44.6256592606811, stopType: 'Bus Stop Shelter Non-Standard', gotime: \'6891\', location: \'HERRING COVE RD &lt;NS&gt; CIVIC 172\' }, </v>
      </c>
    </row>
    <row r="2281" spans="1:12" x14ac:dyDescent="0.25">
      <c r="A2281">
        <v>-63.615730294495897</v>
      </c>
      <c r="B2281">
        <v>44.608121319549802</v>
      </c>
      <c r="C2281">
        <v>770</v>
      </c>
      <c r="D2281" t="s">
        <v>29</v>
      </c>
      <c r="E2281" t="s">
        <v>12</v>
      </c>
      <c r="F2281" t="s">
        <v>13</v>
      </c>
      <c r="G2281" t="s">
        <v>14</v>
      </c>
      <c r="H2281">
        <v>6892</v>
      </c>
      <c r="I2281" t="s">
        <v>4605</v>
      </c>
      <c r="J2281" t="s">
        <v>4606</v>
      </c>
      <c r="K2281" t="s">
        <v>17</v>
      </c>
      <c r="L2281" t="str">
        <f t="shared" si="35"/>
        <v xml:space="preserve">{ longitude: -63.6157302944959, latitude: 44.6081213195498, stopType: 'Bus Stop Accessible', gotime: \'6892\', location: \'HERRING COVE RD NS CIVIC 427\' }, </v>
      </c>
    </row>
    <row r="2282" spans="1:12" x14ac:dyDescent="0.25">
      <c r="A2282">
        <v>-63.605180888748301</v>
      </c>
      <c r="B2282">
        <v>44.598811793005297</v>
      </c>
      <c r="C2282">
        <v>771</v>
      </c>
      <c r="D2282" t="s">
        <v>29</v>
      </c>
      <c r="E2282" t="s">
        <v>12</v>
      </c>
      <c r="F2282" t="s">
        <v>13</v>
      </c>
      <c r="G2282" t="s">
        <v>19</v>
      </c>
      <c r="H2282">
        <v>6893</v>
      </c>
      <c r="I2282" t="s">
        <v>4607</v>
      </c>
      <c r="J2282" t="s">
        <v>4608</v>
      </c>
      <c r="K2282" t="s">
        <v>17</v>
      </c>
      <c r="L2282" t="str">
        <f t="shared" si="35"/>
        <v xml:space="preserve">{ longitude: -63.6051808887483, latitude: 44.5988117930053, stopType: 'Bus Stop Accessible', gotime: \'6893\', location: \'HERRING COVE RD NS CIVIC 569\' }, </v>
      </c>
    </row>
    <row r="2283" spans="1:12" x14ac:dyDescent="0.25">
      <c r="A2283">
        <v>-63.590908975637298</v>
      </c>
      <c r="B2283">
        <v>44.586854456175701</v>
      </c>
      <c r="C2283">
        <v>772</v>
      </c>
      <c r="D2283" t="s">
        <v>11</v>
      </c>
      <c r="E2283" t="s">
        <v>12</v>
      </c>
      <c r="F2283" t="s">
        <v>25</v>
      </c>
      <c r="G2283" t="s">
        <v>26</v>
      </c>
      <c r="H2283">
        <v>6894</v>
      </c>
      <c r="I2283" t="s">
        <v>4609</v>
      </c>
      <c r="J2283" t="s">
        <v>4610</v>
      </c>
      <c r="K2283" t="s">
        <v>17</v>
      </c>
      <c r="L2283" t="str">
        <f t="shared" si="35"/>
        <v xml:space="preserve">{ longitude: -63.5909089756373, latitude: 44.5868544561757, stopType: 'Bus Stop Non-Standard', gotime: \'6894\', location: \'HERRING COVE RD NS CIVIC 726\' }, </v>
      </c>
    </row>
    <row r="2284" spans="1:12" x14ac:dyDescent="0.25">
      <c r="A2284">
        <v>-63.5839463385907</v>
      </c>
      <c r="B2284">
        <v>44.581929890663702</v>
      </c>
      <c r="C2284">
        <v>773</v>
      </c>
      <c r="D2284" t="s">
        <v>11</v>
      </c>
      <c r="E2284" t="s">
        <v>12</v>
      </c>
      <c r="F2284" t="s">
        <v>25</v>
      </c>
      <c r="G2284" t="s">
        <v>26</v>
      </c>
      <c r="H2284">
        <v>6895</v>
      </c>
      <c r="I2284" t="s">
        <v>4611</v>
      </c>
      <c r="J2284" t="s">
        <v>4612</v>
      </c>
      <c r="K2284" t="s">
        <v>17</v>
      </c>
      <c r="L2284" t="str">
        <f t="shared" si="35"/>
        <v xml:space="preserve">{ longitude: -63.5839463385907, latitude: 44.5819298906637, stopType: 'Bus Stop Non-Standard', gotime: \'6895\', location: \'HERRING COVE RD NS CIVIC 819\' }, </v>
      </c>
    </row>
    <row r="2285" spans="1:12" x14ac:dyDescent="0.25">
      <c r="A2285">
        <v>-63.576740395461997</v>
      </c>
      <c r="B2285">
        <v>44.577335925556099</v>
      </c>
      <c r="C2285">
        <v>774</v>
      </c>
      <c r="D2285" t="s">
        <v>103</v>
      </c>
      <c r="E2285" t="s">
        <v>12</v>
      </c>
      <c r="F2285" t="s">
        <v>25</v>
      </c>
      <c r="G2285" t="s">
        <v>65</v>
      </c>
      <c r="H2285">
        <v>6896</v>
      </c>
      <c r="I2285" t="s">
        <v>4613</v>
      </c>
      <c r="J2285" t="s">
        <v>4614</v>
      </c>
      <c r="K2285" t="s">
        <v>17</v>
      </c>
      <c r="L2285" t="str">
        <f t="shared" si="35"/>
        <v xml:space="preserve">{ longitude: -63.576740395462, latitude: 44.5773359255561, stopType: 'Bus Stop Inaccessible', gotime: \'6896\', location: \'HERRING COVE RD NS CIVIC 896\' }, </v>
      </c>
    </row>
    <row r="2286" spans="1:12" x14ac:dyDescent="0.25">
      <c r="A2286">
        <v>-63.5790447524152</v>
      </c>
      <c r="B2286">
        <v>44.684119117631496</v>
      </c>
      <c r="C2286">
        <v>775</v>
      </c>
      <c r="D2286" t="s">
        <v>22</v>
      </c>
      <c r="E2286" t="s">
        <v>12</v>
      </c>
      <c r="F2286" t="s">
        <v>25</v>
      </c>
      <c r="G2286" t="s">
        <v>199</v>
      </c>
      <c r="H2286">
        <v>6017</v>
      </c>
      <c r="I2286" t="s">
        <v>4615</v>
      </c>
      <c r="J2286" t="s">
        <v>4616</v>
      </c>
      <c r="K2286" t="s">
        <v>17</v>
      </c>
      <c r="L2286" t="str">
        <f t="shared" si="35"/>
        <v xml:space="preserve">{ longitude: -63.5790447524152, latitude: 44.6841191176315, stopType: 'Bus Stop Shelter Accessible', gotime: \'6017\', location: \'ALBRO LAKE RD FS CEDAR COURT\' }, </v>
      </c>
    </row>
    <row r="2287" spans="1:12" x14ac:dyDescent="0.25">
      <c r="A2287">
        <v>-63.584831419056499</v>
      </c>
      <c r="B2287">
        <v>44.6787388069515</v>
      </c>
      <c r="C2287">
        <v>776</v>
      </c>
      <c r="D2287" t="s">
        <v>29</v>
      </c>
      <c r="E2287" t="s">
        <v>12</v>
      </c>
      <c r="F2287" t="s">
        <v>25</v>
      </c>
      <c r="G2287" t="s">
        <v>19</v>
      </c>
      <c r="H2287">
        <v>6018</v>
      </c>
      <c r="I2287" t="s">
        <v>4617</v>
      </c>
      <c r="J2287" t="s">
        <v>4618</v>
      </c>
      <c r="K2287" t="s">
        <v>17</v>
      </c>
      <c r="L2287" t="str">
        <f t="shared" si="35"/>
        <v xml:space="preserve">{ longitude: -63.5848314190565, latitude: 44.6787388069515, stopType: 'Bus Stop Accessible', gotime: \'6018\', location: \'ALBRO LAKE RD FS CHAPMAN ST\' }, </v>
      </c>
    </row>
    <row r="2288" spans="1:12" x14ac:dyDescent="0.25">
      <c r="A2288">
        <v>-63.586130129585101</v>
      </c>
      <c r="B2288">
        <v>44.677711988966998</v>
      </c>
      <c r="C2288">
        <v>777</v>
      </c>
      <c r="D2288" t="s">
        <v>29</v>
      </c>
      <c r="E2288" t="s">
        <v>12</v>
      </c>
      <c r="F2288" t="s">
        <v>13</v>
      </c>
      <c r="G2288" t="s">
        <v>19</v>
      </c>
      <c r="H2288">
        <v>6019</v>
      </c>
      <c r="I2288" t="s">
        <v>4619</v>
      </c>
      <c r="J2288" t="s">
        <v>4620</v>
      </c>
      <c r="K2288" t="s">
        <v>17</v>
      </c>
      <c r="L2288" t="str">
        <f t="shared" si="35"/>
        <v xml:space="preserve">{ longitude: -63.5861301295851, latitude: 44.677711988967, stopType: 'Bus Stop Accessible', gotime: \'6019\', location: \'ALBRO LAKE RD FS RICHMOND ST\' }, </v>
      </c>
    </row>
    <row r="2289" spans="1:12" x14ac:dyDescent="0.25">
      <c r="A2289">
        <v>-63.585134536443697</v>
      </c>
      <c r="B2289">
        <v>44.678714236487203</v>
      </c>
      <c r="C2289">
        <v>778</v>
      </c>
      <c r="D2289" t="s">
        <v>103</v>
      </c>
      <c r="E2289" t="s">
        <v>12</v>
      </c>
      <c r="F2289" t="s">
        <v>25</v>
      </c>
      <c r="G2289" t="s">
        <v>26</v>
      </c>
      <c r="H2289">
        <v>6020</v>
      </c>
      <c r="I2289" t="s">
        <v>4621</v>
      </c>
      <c r="J2289" t="s">
        <v>4622</v>
      </c>
      <c r="K2289" t="s">
        <v>17</v>
      </c>
      <c r="L2289" t="str">
        <f t="shared" si="35"/>
        <v xml:space="preserve">{ longitude: -63.5851345364437, latitude: 44.6787142364872, stopType: 'Bus Stop Inaccessible', gotime: \'6020\', location: \'ALBRO LAKE RD NS OPP CHAPMAN ST\' }, </v>
      </c>
    </row>
    <row r="2290" spans="1:12" x14ac:dyDescent="0.25">
      <c r="A2290">
        <v>-63.583203985485902</v>
      </c>
      <c r="B2290">
        <v>44.680354703088298</v>
      </c>
      <c r="C2290">
        <v>779</v>
      </c>
      <c r="D2290" t="s">
        <v>29</v>
      </c>
      <c r="E2290" t="s">
        <v>12</v>
      </c>
      <c r="F2290" t="s">
        <v>25</v>
      </c>
      <c r="G2290" t="s">
        <v>199</v>
      </c>
      <c r="H2290">
        <v>6021</v>
      </c>
      <c r="I2290" t="s">
        <v>4623</v>
      </c>
      <c r="J2290" t="s">
        <v>4624</v>
      </c>
      <c r="K2290" t="s">
        <v>17</v>
      </c>
      <c r="L2290" t="str">
        <f t="shared" si="35"/>
        <v xml:space="preserve">{ longitude: -63.5832039854859, latitude: 44.6803547030883, stopType: 'Bus Stop Accessible', gotime: \'6021\', location: \'ALBRO LAKE RD NS OPP SLAYTER ST\' }, </v>
      </c>
    </row>
    <row r="2291" spans="1:12" x14ac:dyDescent="0.25">
      <c r="A2291">
        <v>-63.586309000559602</v>
      </c>
      <c r="B2291">
        <v>44.677823666840801</v>
      </c>
      <c r="C2291">
        <v>780</v>
      </c>
      <c r="D2291" t="s">
        <v>29</v>
      </c>
      <c r="E2291" t="s">
        <v>12</v>
      </c>
      <c r="F2291" t="s">
        <v>25</v>
      </c>
      <c r="G2291" t="s">
        <v>26</v>
      </c>
      <c r="H2291">
        <v>6022</v>
      </c>
      <c r="I2291" t="s">
        <v>4625</v>
      </c>
      <c r="J2291" t="s">
        <v>4626</v>
      </c>
      <c r="K2291" t="s">
        <v>17</v>
      </c>
      <c r="L2291" t="str">
        <f t="shared" si="35"/>
        <v xml:space="preserve">{ longitude: -63.5863090005596, latitude: 44.6778236668408, stopType: 'Bus Stop Accessible', gotime: \'6022\', location: \'ALBRO LAKE RD  NS RICHMOND ST\' }, </v>
      </c>
    </row>
    <row r="2292" spans="1:12" x14ac:dyDescent="0.25">
      <c r="A2292">
        <v>-63.578882347719002</v>
      </c>
      <c r="B2292">
        <v>44.684018810955997</v>
      </c>
      <c r="C2292">
        <v>781</v>
      </c>
      <c r="D2292" t="s">
        <v>29</v>
      </c>
      <c r="E2292" t="s">
        <v>12</v>
      </c>
      <c r="F2292" t="s">
        <v>25</v>
      </c>
      <c r="G2292" t="s">
        <v>26</v>
      </c>
      <c r="H2292">
        <v>6023</v>
      </c>
      <c r="I2292" t="s">
        <v>4627</v>
      </c>
      <c r="J2292" s="1" t="s">
        <v>4628</v>
      </c>
      <c r="K2292" t="s">
        <v>17</v>
      </c>
      <c r="L2292" t="str">
        <f t="shared" si="35"/>
        <v xml:space="preserve">{ longitude: -63.578882347719, latitude: 44.684018810956, stopType: 'Bus Stop Accessible', gotime: \'6023\', location: \'ALBRO LAKE RD  NS CIVIC 176\' }, </v>
      </c>
    </row>
    <row r="2293" spans="1:12" x14ac:dyDescent="0.25">
      <c r="A2293">
        <v>-63.5809644984109</v>
      </c>
      <c r="B2293">
        <v>44.682379638623402</v>
      </c>
      <c r="C2293">
        <v>782</v>
      </c>
      <c r="D2293" t="s">
        <v>22</v>
      </c>
      <c r="E2293" t="s">
        <v>12</v>
      </c>
      <c r="F2293" t="s">
        <v>25</v>
      </c>
      <c r="G2293" t="s">
        <v>19</v>
      </c>
      <c r="H2293">
        <v>6024</v>
      </c>
      <c r="I2293" t="s">
        <v>4629</v>
      </c>
      <c r="J2293" t="s">
        <v>4630</v>
      </c>
      <c r="K2293" t="s">
        <v>17</v>
      </c>
      <c r="L2293" t="str">
        <f t="shared" si="35"/>
        <v xml:space="preserve">{ longitude: -63.5809644984109, latitude: 44.6823796386234, stopType: 'Bus Stop Shelter Accessible', gotime: \'6024\', location: \'ALBRO LAKE RD  OPP SHERIDAN ST\' }, </v>
      </c>
    </row>
    <row r="2294" spans="1:12" x14ac:dyDescent="0.25">
      <c r="A2294">
        <v>-63.571425078150803</v>
      </c>
      <c r="B2294">
        <v>44.666341540955202</v>
      </c>
      <c r="C2294">
        <v>783</v>
      </c>
      <c r="D2294" t="s">
        <v>22</v>
      </c>
      <c r="E2294" t="s">
        <v>12</v>
      </c>
      <c r="F2294" t="s">
        <v>13</v>
      </c>
      <c r="G2294" t="s">
        <v>14</v>
      </c>
      <c r="H2294">
        <v>6025</v>
      </c>
      <c r="I2294" t="s">
        <v>4631</v>
      </c>
      <c r="J2294" t="s">
        <v>4632</v>
      </c>
      <c r="K2294" t="s">
        <v>17</v>
      </c>
      <c r="L2294" t="str">
        <f t="shared" si="35"/>
        <v xml:space="preserve">{ longitude: -63.5714250781508, latitude: 44.6663415409552, stopType: 'Bus Stop Shelter Accessible', gotime: \'6025\', location: \'ALDERNEY DR &lt;NB&gt; AT ALDERNEY MANOR\' }, </v>
      </c>
    </row>
    <row r="2295" spans="1:12" x14ac:dyDescent="0.25">
      <c r="A2295">
        <v>-63.571561077295101</v>
      </c>
      <c r="B2295">
        <v>44.666188211137303</v>
      </c>
      <c r="C2295">
        <v>784</v>
      </c>
      <c r="D2295" t="s">
        <v>22</v>
      </c>
      <c r="E2295" t="s">
        <v>12</v>
      </c>
      <c r="F2295" t="s">
        <v>13</v>
      </c>
      <c r="G2295" t="s">
        <v>14</v>
      </c>
      <c r="H2295">
        <v>6026</v>
      </c>
      <c r="I2295" t="s">
        <v>4633</v>
      </c>
      <c r="J2295" t="s">
        <v>4634</v>
      </c>
      <c r="K2295" t="s">
        <v>17</v>
      </c>
      <c r="L2295" t="str">
        <f t="shared" si="35"/>
        <v xml:space="preserve">{ longitude: -63.5715610772951, latitude: 44.6661882111373, stopType: 'Bus Stop Shelter Accessible', gotime: \'6026\', location: \'ALDERNEY DR &lt;SB&gt; OPP ALDERNEY MANOR\' }, </v>
      </c>
    </row>
    <row r="2296" spans="1:12" x14ac:dyDescent="0.25">
      <c r="A2296">
        <v>-63.568663662474101</v>
      </c>
      <c r="B2296">
        <v>44.664370519806702</v>
      </c>
      <c r="C2296">
        <v>785</v>
      </c>
      <c r="D2296" t="s">
        <v>29</v>
      </c>
      <c r="E2296" t="s">
        <v>12</v>
      </c>
      <c r="F2296" t="s">
        <v>25</v>
      </c>
      <c r="G2296" t="s">
        <v>19</v>
      </c>
      <c r="H2296">
        <v>6027</v>
      </c>
      <c r="I2296" t="s">
        <v>4635</v>
      </c>
      <c r="J2296" t="s">
        <v>4636</v>
      </c>
      <c r="K2296" t="s">
        <v>17</v>
      </c>
      <c r="L2296" t="str">
        <f t="shared" si="35"/>
        <v xml:space="preserve">{ longitude: -63.5686636624741, latitude: 44.6643705198067, stopType: 'Bus Stop Accessible', gotime: \'6027\', location: \'ALDERNEY DR METROLINK\' }, </v>
      </c>
    </row>
    <row r="2297" spans="1:12" x14ac:dyDescent="0.25">
      <c r="A2297">
        <v>-63.5654756402921</v>
      </c>
      <c r="B2297">
        <v>44.664122272290399</v>
      </c>
      <c r="C2297">
        <v>786</v>
      </c>
      <c r="D2297" t="s">
        <v>29</v>
      </c>
      <c r="E2297" t="s">
        <v>12</v>
      </c>
      <c r="F2297" t="s">
        <v>13</v>
      </c>
      <c r="G2297" t="s">
        <v>19</v>
      </c>
      <c r="H2297">
        <v>6028</v>
      </c>
      <c r="I2297" t="s">
        <v>4637</v>
      </c>
      <c r="J2297" t="s">
        <v>4638</v>
      </c>
      <c r="K2297" t="s">
        <v>17</v>
      </c>
      <c r="L2297" t="str">
        <f t="shared" si="35"/>
        <v xml:space="preserve">{ longitude: -63.5654756402921, latitude: 44.6641222722904, stopType: 'Bus Stop Accessible', gotime: \'6028\', location: \'ALDERNEY DR &lt;EB&gt; NS PRINCE ST\' }, </v>
      </c>
    </row>
    <row r="2298" spans="1:12" x14ac:dyDescent="0.25">
      <c r="A2298">
        <v>-63.565944018393601</v>
      </c>
      <c r="B2298">
        <v>44.664105314767198</v>
      </c>
      <c r="C2298">
        <v>787</v>
      </c>
      <c r="D2298" t="s">
        <v>29</v>
      </c>
      <c r="E2298" t="s">
        <v>12</v>
      </c>
      <c r="F2298" t="s">
        <v>25</v>
      </c>
      <c r="G2298" t="s">
        <v>26</v>
      </c>
      <c r="H2298">
        <v>6029</v>
      </c>
      <c r="I2298" t="s">
        <v>4639</v>
      </c>
      <c r="J2298" t="s">
        <v>4640</v>
      </c>
      <c r="K2298" t="s">
        <v>17</v>
      </c>
      <c r="L2298" t="str">
        <f t="shared" si="35"/>
        <v xml:space="preserve">{ longitude: -63.5659440183936, latitude: 44.6641053147672, stopType: 'Bus Stop Accessible', gotime: \'6029\', location: \'ALDERNEY DR &lt;WB&gt; NS PRINCE ST\' }, </v>
      </c>
    </row>
    <row r="2299" spans="1:12" x14ac:dyDescent="0.25">
      <c r="A2299">
        <v>-63.569584206415101</v>
      </c>
      <c r="B2299">
        <v>44.665161001125199</v>
      </c>
      <c r="C2299">
        <v>788</v>
      </c>
      <c r="D2299" t="s">
        <v>22</v>
      </c>
      <c r="E2299" t="s">
        <v>12</v>
      </c>
      <c r="F2299" t="s">
        <v>25</v>
      </c>
      <c r="G2299" t="s">
        <v>19</v>
      </c>
      <c r="H2299">
        <v>6030</v>
      </c>
      <c r="I2299" t="s">
        <v>4641</v>
      </c>
      <c r="J2299" t="s">
        <v>4642</v>
      </c>
      <c r="K2299" t="s">
        <v>17</v>
      </c>
      <c r="L2299" t="str">
        <f t="shared" si="35"/>
        <v xml:space="preserve">{ longitude: -63.5695842064151, latitude: 44.6651610011252, stopType: 'Bus Stop Shelter Accessible', gotime: \'6030\', location: \'ALDERNEY DR METROLINK [IB]\' }, </v>
      </c>
    </row>
    <row r="2300" spans="1:12" x14ac:dyDescent="0.25">
      <c r="A2300">
        <v>-63.568930763135398</v>
      </c>
      <c r="B2300">
        <v>44.664590671587398</v>
      </c>
      <c r="C2300">
        <v>789</v>
      </c>
      <c r="D2300" t="s">
        <v>1573</v>
      </c>
      <c r="E2300" t="s">
        <v>12</v>
      </c>
      <c r="F2300" t="s">
        <v>13</v>
      </c>
      <c r="G2300" t="s">
        <v>19</v>
      </c>
      <c r="H2300">
        <v>6031</v>
      </c>
      <c r="I2300" t="s">
        <v>4643</v>
      </c>
      <c r="J2300" t="s">
        <v>4644</v>
      </c>
      <c r="K2300" t="s">
        <v>17</v>
      </c>
      <c r="L2300" t="str">
        <f t="shared" si="35"/>
        <v xml:space="preserve">{ longitude: -63.5689307631354, latitude: 44.6645906715874, stopType: 'Bus Terminal Accessible', gotime: \'6031\', location: \'ALDERNEY DR AT TERMINAL\' }, </v>
      </c>
    </row>
    <row r="2301" spans="1:12" x14ac:dyDescent="0.25">
      <c r="A2301">
        <v>-63.632693340997903</v>
      </c>
      <c r="B2301">
        <v>44.658988732260298</v>
      </c>
      <c r="C2301">
        <v>790</v>
      </c>
      <c r="D2301" t="s">
        <v>11</v>
      </c>
      <c r="E2301" t="s">
        <v>12</v>
      </c>
      <c r="F2301" t="s">
        <v>13</v>
      </c>
      <c r="G2301" t="s">
        <v>14</v>
      </c>
      <c r="H2301">
        <v>6032</v>
      </c>
      <c r="I2301" t="s">
        <v>4645</v>
      </c>
      <c r="J2301" t="s">
        <v>4646</v>
      </c>
      <c r="K2301" t="s">
        <v>17</v>
      </c>
      <c r="L2301" t="str">
        <f t="shared" si="35"/>
        <v xml:space="preserve">{ longitude: -63.6326933409979, latitude: 44.6589887322603, stopType: 'Bus Stop Non-Standard', gotime: \'6032\', location: \'ALMA CR  NS TITUS ST\' }, </v>
      </c>
    </row>
    <row r="2302" spans="1:12" x14ac:dyDescent="0.25">
      <c r="A2302">
        <v>-63.483393336909302</v>
      </c>
      <c r="B2302">
        <v>44.6779078472347</v>
      </c>
      <c r="C2302">
        <v>791</v>
      </c>
      <c r="D2302" t="s">
        <v>11</v>
      </c>
      <c r="E2302" t="s">
        <v>12</v>
      </c>
      <c r="F2302" t="s">
        <v>25</v>
      </c>
      <c r="G2302" t="s">
        <v>26</v>
      </c>
      <c r="H2302">
        <v>6033</v>
      </c>
      <c r="I2302" t="s">
        <v>4647</v>
      </c>
      <c r="J2302" t="s">
        <v>4648</v>
      </c>
      <c r="K2302" t="s">
        <v>17</v>
      </c>
      <c r="L2302" t="str">
        <f t="shared" si="35"/>
        <v xml:space="preserve">{ longitude: -63.4833933369093, latitude: 44.6779078472347, stopType: 'Bus Stop Non-Standard', gotime: \'6033\', location: \'ARKLOW DR FS ASHLEY\' }, </v>
      </c>
    </row>
    <row r="2303" spans="1:12" x14ac:dyDescent="0.25">
      <c r="A2303">
        <v>-63.4868986792737</v>
      </c>
      <c r="B2303">
        <v>44.677255019786102</v>
      </c>
      <c r="C2303">
        <v>792</v>
      </c>
      <c r="D2303" t="s">
        <v>29</v>
      </c>
      <c r="E2303" t="s">
        <v>12</v>
      </c>
      <c r="F2303" t="s">
        <v>25</v>
      </c>
      <c r="G2303" t="s">
        <v>19</v>
      </c>
      <c r="H2303">
        <v>6034</v>
      </c>
      <c r="I2303" t="s">
        <v>4649</v>
      </c>
      <c r="J2303" t="s">
        <v>4650</v>
      </c>
      <c r="K2303" t="s">
        <v>17</v>
      </c>
      <c r="L2303" t="str">
        <f t="shared" si="35"/>
        <v xml:space="preserve">{ longitude: -63.4868986792737, latitude: 44.6772550197861, stopType: 'Bus Stop Accessible', gotime: \'6034\', location: \'ARKLOW DR FS DALKEITH\' }, </v>
      </c>
    </row>
    <row r="2304" spans="1:12" x14ac:dyDescent="0.25">
      <c r="A2304">
        <v>-63.572779098258003</v>
      </c>
      <c r="B2304">
        <v>44.626588399830801</v>
      </c>
      <c r="C2304">
        <v>793</v>
      </c>
      <c r="D2304" t="s">
        <v>29</v>
      </c>
      <c r="E2304" t="s">
        <v>12</v>
      </c>
      <c r="F2304" t="s">
        <v>13</v>
      </c>
      <c r="G2304" t="s">
        <v>19</v>
      </c>
      <c r="H2304">
        <v>8022</v>
      </c>
      <c r="I2304" t="s">
        <v>4651</v>
      </c>
      <c r="J2304" t="s">
        <v>4652</v>
      </c>
      <c r="K2304" t="s">
        <v>17</v>
      </c>
      <c r="L2304" t="str">
        <f t="shared" si="35"/>
        <v xml:space="preserve">{ longitude: -63.572779098258, latitude: 44.6265883998308, stopType: 'Bus Stop Accessible', gotime: \'8022\', location: \'POINT PLEASANT OPP YOUNG ST &lt;EB&gt;\' }, </v>
      </c>
    </row>
    <row r="2305" spans="1:12" x14ac:dyDescent="0.25">
      <c r="A2305">
        <v>-63.566141262781599</v>
      </c>
      <c r="B2305">
        <v>44.627459852769199</v>
      </c>
      <c r="C2305">
        <v>794</v>
      </c>
      <c r="D2305" t="s">
        <v>29</v>
      </c>
      <c r="E2305" t="s">
        <v>12</v>
      </c>
      <c r="F2305" t="s">
        <v>25</v>
      </c>
      <c r="G2305" t="s">
        <v>160</v>
      </c>
      <c r="H2305">
        <v>8023</v>
      </c>
      <c r="I2305" t="s">
        <v>4653</v>
      </c>
      <c r="J2305" t="s">
        <v>4654</v>
      </c>
      <c r="K2305" t="s">
        <v>17</v>
      </c>
      <c r="L2305" t="str">
        <f t="shared" si="35"/>
        <v xml:space="preserve">{ longitude: -63.5661412627816, latitude: 44.6274598527692, stopType: 'Bus Stop Accessible', gotime: \'8023\', location: \'POINT PLEASENT PARK OPP CANTEEN\' }, </v>
      </c>
    </row>
    <row r="2306" spans="1:12" x14ac:dyDescent="0.25">
      <c r="A2306">
        <v>-63.498387735247398</v>
      </c>
      <c r="B2306">
        <v>44.676627389033101</v>
      </c>
      <c r="C2306">
        <v>795</v>
      </c>
      <c r="D2306" t="s">
        <v>11</v>
      </c>
      <c r="E2306" t="s">
        <v>12</v>
      </c>
      <c r="F2306" t="s">
        <v>25</v>
      </c>
      <c r="G2306" t="s">
        <v>26</v>
      </c>
      <c r="H2306">
        <v>8024</v>
      </c>
      <c r="I2306" t="s">
        <v>4655</v>
      </c>
      <c r="J2306" t="s">
        <v>4656</v>
      </c>
      <c r="K2306" t="s">
        <v>17</v>
      </c>
      <c r="L2306" t="str">
        <f t="shared" si="35"/>
        <v xml:space="preserve">{ longitude: -63.4983877352474, latitude: 44.6766273890331, stopType: 'Bus Stop Non-Standard', gotime: \'8024\', location: \'POPLAR AT CIVIC 118\' }, </v>
      </c>
    </row>
    <row r="2307" spans="1:12" x14ac:dyDescent="0.25">
      <c r="A2307">
        <v>-63.497442992822201</v>
      </c>
      <c r="B2307">
        <v>44.6743601680258</v>
      </c>
      <c r="C2307">
        <v>796</v>
      </c>
      <c r="D2307" t="s">
        <v>29</v>
      </c>
      <c r="E2307" t="s">
        <v>12</v>
      </c>
      <c r="F2307" t="s">
        <v>25</v>
      </c>
      <c r="G2307" t="s">
        <v>26</v>
      </c>
      <c r="H2307">
        <v>8025</v>
      </c>
      <c r="I2307" t="s">
        <v>4657</v>
      </c>
      <c r="J2307" t="s">
        <v>4658</v>
      </c>
      <c r="K2307" t="s">
        <v>17</v>
      </c>
      <c r="L2307" t="str">
        <f t="shared" ref="L2307:L2370" si="36">CONCATENATE( "{ longitude: ", A2307, ", latitude: ", B2307, ", stopType: '", D2307, "', gotime: \'", H2307, "\', location: \'", I2307, "\' }, ")</f>
        <v xml:space="preserve">{ longitude: -63.4974429928222, latitude: 44.6743601680258, stopType: 'Bus Stop Accessible', gotime: \'8025\', location: \'POPLAR AT CIVIC 62\' }, </v>
      </c>
    </row>
    <row r="2308" spans="1:12" x14ac:dyDescent="0.25">
      <c r="A2308">
        <v>-63.498199494406499</v>
      </c>
      <c r="B2308">
        <v>44.676571739508802</v>
      </c>
      <c r="C2308">
        <v>797</v>
      </c>
      <c r="D2308" t="s">
        <v>11</v>
      </c>
      <c r="E2308" t="s">
        <v>12</v>
      </c>
      <c r="F2308" t="s">
        <v>25</v>
      </c>
      <c r="G2308" t="s">
        <v>26</v>
      </c>
      <c r="H2308">
        <v>8026</v>
      </c>
      <c r="I2308" t="s">
        <v>4659</v>
      </c>
      <c r="J2308" t="s">
        <v>4660</v>
      </c>
      <c r="K2308" t="s">
        <v>17</v>
      </c>
      <c r="L2308" t="str">
        <f t="shared" si="36"/>
        <v xml:space="preserve">{ longitude: -63.4981994944065, latitude: 44.6765717395088, stopType: 'Bus Stop Non-Standard', gotime: \'8026\', location: \'POPLAR NS CIVIC 117\' }, </v>
      </c>
    </row>
    <row r="2309" spans="1:12" x14ac:dyDescent="0.25">
      <c r="A2309">
        <v>-63.497362827308301</v>
      </c>
      <c r="B2309">
        <v>44.6746204562779</v>
      </c>
      <c r="C2309">
        <v>798</v>
      </c>
      <c r="D2309" t="s">
        <v>11</v>
      </c>
      <c r="E2309" t="s">
        <v>12</v>
      </c>
      <c r="F2309" t="s">
        <v>25</v>
      </c>
      <c r="G2309" t="s">
        <v>26</v>
      </c>
      <c r="H2309">
        <v>8027</v>
      </c>
      <c r="I2309" t="s">
        <v>4661</v>
      </c>
      <c r="J2309" t="s">
        <v>4662</v>
      </c>
      <c r="K2309" t="s">
        <v>17</v>
      </c>
      <c r="L2309" t="str">
        <f t="shared" si="36"/>
        <v xml:space="preserve">{ longitude: -63.4973628273083, latitude: 44.6746204562779, stopType: 'Bus Stop Non-Standard', gotime: \'8027\', location: \'POPLAR NS EVERGREEN\' }, </v>
      </c>
    </row>
    <row r="2310" spans="1:12" x14ac:dyDescent="0.25">
      <c r="A2310">
        <v>-63.543955367956897</v>
      </c>
      <c r="B2310">
        <v>44.6684502189703</v>
      </c>
      <c r="C2310">
        <v>799</v>
      </c>
      <c r="D2310" t="s">
        <v>22</v>
      </c>
      <c r="E2310" t="s">
        <v>12</v>
      </c>
      <c r="F2310" t="s">
        <v>25</v>
      </c>
      <c r="G2310" t="s">
        <v>26</v>
      </c>
      <c r="H2310">
        <v>8028</v>
      </c>
      <c r="I2310" t="s">
        <v>4663</v>
      </c>
      <c r="J2310" t="s">
        <v>4664</v>
      </c>
      <c r="K2310" t="s">
        <v>17</v>
      </c>
      <c r="L2310" t="str">
        <f t="shared" si="36"/>
        <v xml:space="preserve">{ longitude: -63.5439553679569, latitude: 44.6684502189703, stopType: 'Bus Stop Shelter Accessible', gotime: \'8028\', location: \'PORTLAND ST NS JOFFERE\' }, </v>
      </c>
    </row>
    <row r="2311" spans="1:12" x14ac:dyDescent="0.25">
      <c r="A2311">
        <v>-63.516270271832603</v>
      </c>
      <c r="B2311">
        <v>44.664885187071597</v>
      </c>
      <c r="C2311">
        <v>800</v>
      </c>
      <c r="D2311" t="s">
        <v>29</v>
      </c>
      <c r="E2311" t="s">
        <v>12</v>
      </c>
      <c r="F2311" t="s">
        <v>25</v>
      </c>
      <c r="G2311" t="s">
        <v>26</v>
      </c>
      <c r="H2311">
        <v>8031</v>
      </c>
      <c r="I2311" t="s">
        <v>4665</v>
      </c>
      <c r="J2311" t="s">
        <v>4666</v>
      </c>
      <c r="K2311" t="s">
        <v>17</v>
      </c>
      <c r="L2311" t="str">
        <f t="shared" si="36"/>
        <v xml:space="preserve">{ longitude: -63.5162702718326, latitude: 44.6648851870716, stopType: 'Bus Stop Accessible', gotime: \'8031\', location: \'PORTLAND  EST.BLVD.WEST. AT PARK\' }, </v>
      </c>
    </row>
    <row r="2312" spans="1:12" x14ac:dyDescent="0.25">
      <c r="A2312">
        <v>-63.5175819180727</v>
      </c>
      <c r="B2312">
        <v>44.6633845215012</v>
      </c>
      <c r="C2312">
        <v>801</v>
      </c>
      <c r="D2312" t="s">
        <v>29</v>
      </c>
      <c r="E2312" t="s">
        <v>12</v>
      </c>
      <c r="F2312" t="s">
        <v>25</v>
      </c>
      <c r="G2312" t="s">
        <v>26</v>
      </c>
      <c r="H2312">
        <v>8034</v>
      </c>
      <c r="I2312" t="s">
        <v>4667</v>
      </c>
      <c r="J2312" t="s">
        <v>4668</v>
      </c>
      <c r="K2312" t="s">
        <v>17</v>
      </c>
      <c r="L2312" t="str">
        <f t="shared" si="36"/>
        <v xml:space="preserve">{ longitude: -63.5175819180727, latitude: 44.6633845215012, stopType: 'Bus Stop Accessible', gotime: \'8034\', location: \'PORTLAND EST.BLVD.WEST NS OLD BIRCH RD\' }, </v>
      </c>
    </row>
    <row r="2313" spans="1:12" x14ac:dyDescent="0.25">
      <c r="A2313">
        <v>-63.590778057249601</v>
      </c>
      <c r="B2313">
        <v>44.687255039983398</v>
      </c>
      <c r="C2313">
        <v>802</v>
      </c>
      <c r="D2313" t="s">
        <v>22</v>
      </c>
      <c r="E2313" t="s">
        <v>12</v>
      </c>
      <c r="F2313" t="s">
        <v>25</v>
      </c>
      <c r="G2313" t="s">
        <v>19</v>
      </c>
      <c r="H2313">
        <v>6926</v>
      </c>
      <c r="I2313" t="s">
        <v>4669</v>
      </c>
      <c r="J2313" t="s">
        <v>4670</v>
      </c>
      <c r="K2313" t="s">
        <v>17</v>
      </c>
      <c r="L2313" t="str">
        <f t="shared" si="36"/>
        <v xml:space="preserve">{ longitude: -63.5907780572496, latitude: 44.6872550399834, stopType: 'Bus Stop Shelter Accessible', gotime: \'6926\', location: \'HIGHFIELD PARK DR AT CIVIC 80\' }, </v>
      </c>
    </row>
    <row r="2314" spans="1:12" x14ac:dyDescent="0.25">
      <c r="A2314">
        <v>-63.586022335737802</v>
      </c>
      <c r="B2314">
        <v>44.689637998786601</v>
      </c>
      <c r="C2314">
        <v>803</v>
      </c>
      <c r="D2314" t="s">
        <v>22</v>
      </c>
      <c r="E2314" t="s">
        <v>12</v>
      </c>
      <c r="F2314" t="s">
        <v>25</v>
      </c>
      <c r="G2314" t="s">
        <v>26</v>
      </c>
      <c r="H2314">
        <v>6927</v>
      </c>
      <c r="I2314" t="s">
        <v>4671</v>
      </c>
      <c r="J2314" t="s">
        <v>4672</v>
      </c>
      <c r="K2314" t="s">
        <v>17</v>
      </c>
      <c r="L2314" t="str">
        <f t="shared" si="36"/>
        <v xml:space="preserve">{ longitude: -63.5860223357378, latitude: 44.6896379987866, stopType: 'Bus Stop Shelter Accessible', gotime: \'6927\', location: \'HIGHFIELD PARK DR OPP CIVIC 21\' }, </v>
      </c>
    </row>
    <row r="2315" spans="1:12" x14ac:dyDescent="0.25">
      <c r="A2315">
        <v>-63.584441827057802</v>
      </c>
      <c r="B2315">
        <v>44.690660304585499</v>
      </c>
      <c r="C2315">
        <v>804</v>
      </c>
      <c r="D2315" t="s">
        <v>29</v>
      </c>
      <c r="E2315" t="s">
        <v>12</v>
      </c>
      <c r="F2315" t="s">
        <v>25</v>
      </c>
      <c r="G2315" t="s">
        <v>19</v>
      </c>
      <c r="H2315">
        <v>6928</v>
      </c>
      <c r="I2315" t="s">
        <v>4673</v>
      </c>
      <c r="J2315" t="s">
        <v>4674</v>
      </c>
      <c r="K2315" t="s">
        <v>17</v>
      </c>
      <c r="L2315" t="str">
        <f t="shared" si="36"/>
        <v xml:space="preserve">{ longitude: -63.5844418270578, latitude: 44.6906603045855, stopType: 'Bus Stop Accessible', gotime: \'6928\', location: \'HIGHFIELD PARK DR AT CIVIC 15\' }, </v>
      </c>
    </row>
    <row r="2316" spans="1:12" x14ac:dyDescent="0.25">
      <c r="A2316">
        <v>-63.589334718770303</v>
      </c>
      <c r="B2316">
        <v>44.684363631630802</v>
      </c>
      <c r="C2316">
        <v>805</v>
      </c>
      <c r="D2316" t="s">
        <v>22</v>
      </c>
      <c r="E2316" t="s">
        <v>12</v>
      </c>
      <c r="F2316" t="s">
        <v>25</v>
      </c>
      <c r="G2316" t="s">
        <v>19</v>
      </c>
      <c r="H2316">
        <v>6929</v>
      </c>
      <c r="I2316" t="s">
        <v>4675</v>
      </c>
      <c r="J2316" t="s">
        <v>4676</v>
      </c>
      <c r="K2316" t="s">
        <v>17</v>
      </c>
      <c r="L2316" t="str">
        <f t="shared" si="36"/>
        <v xml:space="preserve">{ longitude: -63.5893347187703, latitude: 44.6843636316308, stopType: 'Bus Stop Shelter Accessible', gotime: \'6929\', location: \'HIGHFIELD TERMINAL &lt;NB&gt;\' }, </v>
      </c>
    </row>
    <row r="2317" spans="1:12" x14ac:dyDescent="0.25">
      <c r="A2317">
        <v>-63.589207738470201</v>
      </c>
      <c r="B2317">
        <v>44.684416617263501</v>
      </c>
      <c r="C2317">
        <v>806</v>
      </c>
      <c r="D2317" t="s">
        <v>22</v>
      </c>
      <c r="E2317" t="s">
        <v>12</v>
      </c>
      <c r="F2317" t="s">
        <v>25</v>
      </c>
      <c r="G2317" t="s">
        <v>19</v>
      </c>
      <c r="H2317">
        <v>6930</v>
      </c>
      <c r="I2317" t="s">
        <v>4677</v>
      </c>
      <c r="J2317" t="s">
        <v>4678</v>
      </c>
      <c r="K2317" t="s">
        <v>17</v>
      </c>
      <c r="L2317" t="str">
        <f t="shared" si="36"/>
        <v xml:space="preserve">{ longitude: -63.5892077384702, latitude: 44.6844166172635, stopType: 'Bus Stop Shelter Accessible', gotime: \'6930\', location: \'HIGHFIELD TERMINAL &lt;SB&gt;\' }, </v>
      </c>
    </row>
    <row r="2318" spans="1:12" x14ac:dyDescent="0.25">
      <c r="A2318">
        <v>-63.617640662804398</v>
      </c>
      <c r="B2318">
        <v>44.626803518808103</v>
      </c>
      <c r="C2318">
        <v>807</v>
      </c>
      <c r="D2318" t="s">
        <v>22</v>
      </c>
      <c r="E2318" t="s">
        <v>12</v>
      </c>
      <c r="F2318" t="s">
        <v>13</v>
      </c>
      <c r="G2318" t="s">
        <v>14</v>
      </c>
      <c r="H2318">
        <v>6931</v>
      </c>
      <c r="I2318" t="s">
        <v>4679</v>
      </c>
      <c r="J2318" t="s">
        <v>4680</v>
      </c>
      <c r="K2318" t="s">
        <v>17</v>
      </c>
      <c r="L2318" t="str">
        <f t="shared" si="36"/>
        <v xml:space="preserve">{ longitude: -63.6176406628044, latitude: 44.6268035188081, stopType: 'Bus Stop Shelter Accessible', gotime: \'6931\', location: \'HIGHFIELD OPP PUNCH BOWL DR\' }, </v>
      </c>
    </row>
    <row r="2319" spans="1:12" x14ac:dyDescent="0.25">
      <c r="A2319">
        <v>-63.4918343685708</v>
      </c>
      <c r="B2319">
        <v>44.693739278639796</v>
      </c>
      <c r="C2319">
        <v>808</v>
      </c>
      <c r="D2319" t="s">
        <v>103</v>
      </c>
      <c r="E2319" t="s">
        <v>12</v>
      </c>
      <c r="F2319" t="s">
        <v>13</v>
      </c>
      <c r="G2319" t="s">
        <v>65</v>
      </c>
      <c r="H2319">
        <v>6932</v>
      </c>
      <c r="I2319" t="s">
        <v>4681</v>
      </c>
      <c r="J2319" t="s">
        <v>4682</v>
      </c>
      <c r="K2319" t="s">
        <v>17</v>
      </c>
      <c r="L2319" t="str">
        <f t="shared" si="36"/>
        <v xml:space="preserve">{ longitude: -63.4918343685708, latitude: 44.6937392786398, stopType: 'Bus Stop Inaccessible', gotime: \'6932\', location: \'HILLSBORO DR FS CIVIC 12\' }, </v>
      </c>
    </row>
    <row r="2320" spans="1:12" x14ac:dyDescent="0.25">
      <c r="A2320">
        <v>-63.491928484088398</v>
      </c>
      <c r="B2320">
        <v>44.6934270100273</v>
      </c>
      <c r="C2320">
        <v>809</v>
      </c>
      <c r="D2320" t="s">
        <v>103</v>
      </c>
      <c r="E2320" t="s">
        <v>12</v>
      </c>
      <c r="F2320" t="s">
        <v>25</v>
      </c>
      <c r="G2320" t="s">
        <v>65</v>
      </c>
      <c r="H2320">
        <v>6933</v>
      </c>
      <c r="I2320" t="s">
        <v>4683</v>
      </c>
      <c r="J2320" t="s">
        <v>4684</v>
      </c>
      <c r="K2320" t="s">
        <v>17</v>
      </c>
      <c r="L2320" t="str">
        <f t="shared" si="36"/>
        <v xml:space="preserve">{ longitude: -63.4919284840884, latitude: 44.6934270100273, stopType: 'Bus Stop Inaccessible', gotime: \'6933\', location: \'HILLSBORO DR FS CIVIC 15\' }, </v>
      </c>
    </row>
    <row r="2321" spans="1:12" x14ac:dyDescent="0.25">
      <c r="A2321">
        <v>-63.493257513631598</v>
      </c>
      <c r="B2321">
        <v>44.6968226193638</v>
      </c>
      <c r="C2321">
        <v>810</v>
      </c>
      <c r="D2321" t="s">
        <v>103</v>
      </c>
      <c r="E2321" t="s">
        <v>12</v>
      </c>
      <c r="F2321" t="s">
        <v>25</v>
      </c>
      <c r="G2321" t="s">
        <v>65</v>
      </c>
      <c r="H2321">
        <v>6934</v>
      </c>
      <c r="I2321" t="s">
        <v>4685</v>
      </c>
      <c r="J2321" t="s">
        <v>4686</v>
      </c>
      <c r="K2321" t="s">
        <v>17</v>
      </c>
      <c r="L2321" t="str">
        <f t="shared" si="36"/>
        <v xml:space="preserve">{ longitude: -63.4932575136316, latitude: 44.6968226193638, stopType: 'Bus Stop Inaccessible', gotime: \'6934\', location: \'HILLSBORO DR FS HWY #7\' }, </v>
      </c>
    </row>
    <row r="2322" spans="1:12" x14ac:dyDescent="0.25">
      <c r="A2322">
        <v>-63.492839496889303</v>
      </c>
      <c r="B2322">
        <v>44.696188954972399</v>
      </c>
      <c r="C2322">
        <v>811</v>
      </c>
      <c r="D2322" t="s">
        <v>29</v>
      </c>
      <c r="E2322" t="s">
        <v>12</v>
      </c>
      <c r="F2322" t="s">
        <v>25</v>
      </c>
      <c r="G2322" t="s">
        <v>26</v>
      </c>
      <c r="H2322">
        <v>6935</v>
      </c>
      <c r="I2322" t="s">
        <v>4687</v>
      </c>
      <c r="J2322" t="s">
        <v>4688</v>
      </c>
      <c r="K2322" t="s">
        <v>17</v>
      </c>
      <c r="L2322" t="str">
        <f t="shared" si="36"/>
        <v xml:space="preserve">{ longitude: -63.4928394968893, latitude: 44.6961889549724, stopType: 'Bus Stop Accessible', gotime: \'6935\', location: \'HILLSBORO DR NS BARBARA DR\' }, </v>
      </c>
    </row>
    <row r="2323" spans="1:12" x14ac:dyDescent="0.25">
      <c r="A2323">
        <v>-63.492413494514402</v>
      </c>
      <c r="B2323">
        <v>44.695194150799097</v>
      </c>
      <c r="C2323">
        <v>812</v>
      </c>
      <c r="D2323" t="s">
        <v>11</v>
      </c>
      <c r="E2323" t="s">
        <v>12</v>
      </c>
      <c r="F2323" t="s">
        <v>13</v>
      </c>
      <c r="G2323" t="s">
        <v>14</v>
      </c>
      <c r="H2323">
        <v>6936</v>
      </c>
      <c r="I2323" t="s">
        <v>4689</v>
      </c>
      <c r="J2323" t="s">
        <v>4690</v>
      </c>
      <c r="K2323" t="s">
        <v>17</v>
      </c>
      <c r="L2323" t="str">
        <f t="shared" si="36"/>
        <v xml:space="preserve">{ longitude: -63.4924134945144, latitude: 44.6951941507991, stopType: 'Bus Stop Non-Standard', gotime: \'6936\', location: \'HILLSBORO DR NS CIVIC 2A\' }, </v>
      </c>
    </row>
    <row r="2324" spans="1:12" x14ac:dyDescent="0.25">
      <c r="A2324">
        <v>-63.492557162012602</v>
      </c>
      <c r="B2324">
        <v>44.6950075046962</v>
      </c>
      <c r="C2324">
        <v>813</v>
      </c>
      <c r="D2324" t="s">
        <v>103</v>
      </c>
      <c r="E2324" t="s">
        <v>12</v>
      </c>
      <c r="F2324" t="s">
        <v>25</v>
      </c>
      <c r="G2324" t="s">
        <v>65</v>
      </c>
      <c r="H2324">
        <v>6937</v>
      </c>
      <c r="I2324" t="s">
        <v>4691</v>
      </c>
      <c r="J2324" t="s">
        <v>4692</v>
      </c>
      <c r="K2324" t="s">
        <v>17</v>
      </c>
      <c r="L2324" t="str">
        <f t="shared" si="36"/>
        <v xml:space="preserve">{ longitude: -63.4925571620126, latitude: 44.6950075046962, stopType: 'Bus Stop Inaccessible', gotime: \'6937\', location: \'HILLSBORO DR NS CIVIC 3\' }, </v>
      </c>
    </row>
    <row r="2325" spans="1:12" x14ac:dyDescent="0.25">
      <c r="A2325">
        <v>-63.569206050168098</v>
      </c>
      <c r="B2325">
        <v>44.639069315935899</v>
      </c>
      <c r="C2325">
        <v>814</v>
      </c>
      <c r="D2325" t="s">
        <v>29</v>
      </c>
      <c r="E2325" t="s">
        <v>12</v>
      </c>
      <c r="F2325" t="s">
        <v>13</v>
      </c>
      <c r="G2325" t="s">
        <v>14</v>
      </c>
      <c r="H2325">
        <v>6938</v>
      </c>
      <c r="I2325" t="s">
        <v>4693</v>
      </c>
      <c r="J2325" t="s">
        <v>4694</v>
      </c>
      <c r="K2325" t="s">
        <v>17</v>
      </c>
      <c r="L2325" t="str">
        <f t="shared" si="36"/>
        <v xml:space="preserve">{ longitude: -63.5692060501681, latitude: 44.6390693159359, stopType: 'Bus Stop Accessible', gotime: \'6938\', location: \'HOLLIS ST FS BARRINGTON ST\' }, </v>
      </c>
    </row>
    <row r="2326" spans="1:12" x14ac:dyDescent="0.25">
      <c r="A2326">
        <v>-63.858316911192603</v>
      </c>
      <c r="B2326">
        <v>44.702771384938401</v>
      </c>
      <c r="C2326">
        <v>815</v>
      </c>
      <c r="D2326" t="s">
        <v>29</v>
      </c>
      <c r="E2326" t="s">
        <v>12</v>
      </c>
      <c r="F2326" t="s">
        <v>13</v>
      </c>
      <c r="G2326" t="s">
        <v>14</v>
      </c>
      <c r="H2326">
        <v>6940</v>
      </c>
      <c r="I2326" t="s">
        <v>4695</v>
      </c>
      <c r="J2326" t="s">
        <v>4696</v>
      </c>
      <c r="K2326" t="s">
        <v>17</v>
      </c>
      <c r="L2326" t="str">
        <f t="shared" si="36"/>
        <v xml:space="preserve">{ longitude: -63.8583169111926, latitude: 44.7027713849384, stopType: 'Bus Stop Accessible', gotime: \'6940\', location: \'HUBLEY CENTER\' }, </v>
      </c>
    </row>
    <row r="2327" spans="1:12" x14ac:dyDescent="0.25">
      <c r="A2327">
        <v>-63.485684728588502</v>
      </c>
      <c r="B2327">
        <v>44.698608734130197</v>
      </c>
      <c r="C2327">
        <v>816</v>
      </c>
      <c r="D2327" t="s">
        <v>11</v>
      </c>
      <c r="E2327" t="s">
        <v>12</v>
      </c>
      <c r="F2327" t="s">
        <v>13</v>
      </c>
      <c r="G2327" t="s">
        <v>14</v>
      </c>
      <c r="H2327">
        <v>6941</v>
      </c>
      <c r="I2327" t="s">
        <v>4697</v>
      </c>
      <c r="J2327" t="s">
        <v>4698</v>
      </c>
      <c r="K2327" t="s">
        <v>17</v>
      </c>
      <c r="L2327" t="str">
        <f t="shared" si="36"/>
        <v xml:space="preserve">{ longitude: -63.4856847285885, latitude: 44.6986087341302, stopType: 'Bus Stop Non-Standard', gotime: \'6941\', location: \'HWY #7 AT CIVIC 802\' }, </v>
      </c>
    </row>
    <row r="2328" spans="1:12" x14ac:dyDescent="0.25">
      <c r="A2328">
        <v>-63.606135504141697</v>
      </c>
      <c r="B2328">
        <v>44.642669417254503</v>
      </c>
      <c r="C2328">
        <v>817</v>
      </c>
      <c r="D2328" t="s">
        <v>29</v>
      </c>
      <c r="E2328" t="s">
        <v>12</v>
      </c>
      <c r="F2328" t="s">
        <v>13</v>
      </c>
      <c r="G2328" t="s">
        <v>14</v>
      </c>
      <c r="H2328">
        <v>8142</v>
      </c>
      <c r="I2328" t="s">
        <v>4699</v>
      </c>
      <c r="J2328" t="s">
        <v>4700</v>
      </c>
      <c r="K2328" t="s">
        <v>17</v>
      </c>
      <c r="L2328" t="str">
        <f t="shared" si="36"/>
        <v xml:space="preserve">{ longitude: -63.6061355041417, latitude: 44.6426694172545, stopType: 'Bus Stop Accessible', gotime: \'8142\', location: \'QUINPOOL RD NS BLOOMINGDLE &lt;EB&gt;\' }, </v>
      </c>
    </row>
    <row r="2329" spans="1:12" x14ac:dyDescent="0.25">
      <c r="A2329">
        <v>-63.6109490340097</v>
      </c>
      <c r="B2329">
        <v>44.641245247369902</v>
      </c>
      <c r="C2329">
        <v>818</v>
      </c>
      <c r="D2329" t="s">
        <v>29</v>
      </c>
      <c r="E2329" t="s">
        <v>12</v>
      </c>
      <c r="F2329" t="s">
        <v>13</v>
      </c>
      <c r="G2329" t="s">
        <v>14</v>
      </c>
      <c r="H2329">
        <v>8143</v>
      </c>
      <c r="I2329" t="s">
        <v>4701</v>
      </c>
      <c r="J2329" t="s">
        <v>4702</v>
      </c>
      <c r="K2329" t="s">
        <v>17</v>
      </c>
      <c r="L2329" t="str">
        <f t="shared" si="36"/>
        <v xml:space="preserve">{ longitude: -63.6109490340097, latitude: 44.6412452473699, stopType: 'Bus Stop Accessible', gotime: \'8143\', location: \'QUINPOOL RD NS MACDONALD\' }, </v>
      </c>
    </row>
    <row r="2330" spans="1:12" x14ac:dyDescent="0.25">
      <c r="A2330">
        <v>-63.611058674954201</v>
      </c>
      <c r="B2330">
        <v>44.640982947248197</v>
      </c>
      <c r="C2330">
        <v>819</v>
      </c>
      <c r="D2330" t="s">
        <v>29</v>
      </c>
      <c r="E2330" t="s">
        <v>12</v>
      </c>
      <c r="F2330" t="s">
        <v>13</v>
      </c>
      <c r="G2330" t="s">
        <v>14</v>
      </c>
      <c r="H2330">
        <v>8144</v>
      </c>
      <c r="I2330" t="s">
        <v>4703</v>
      </c>
      <c r="J2330" t="s">
        <v>4704</v>
      </c>
      <c r="K2330" t="s">
        <v>17</v>
      </c>
      <c r="L2330" t="str">
        <f t="shared" si="36"/>
        <v xml:space="preserve">{ longitude: -63.6110586749542, latitude: 44.6409829472482, stopType: 'Bus Stop Accessible', gotime: \'8144\', location: \'QUINPOOL RD NS OPP MACDONALD &lt;EB&gt;\' }, </v>
      </c>
    </row>
    <row r="2331" spans="1:12" x14ac:dyDescent="0.25">
      <c r="A2331">
        <v>-63.606169127461399</v>
      </c>
      <c r="B2331">
        <v>44.642819436743999</v>
      </c>
      <c r="C2331">
        <v>820</v>
      </c>
      <c r="D2331" t="s">
        <v>29</v>
      </c>
      <c r="E2331" t="s">
        <v>12</v>
      </c>
      <c r="F2331" t="s">
        <v>13</v>
      </c>
      <c r="G2331" t="s">
        <v>14</v>
      </c>
      <c r="H2331">
        <v>8145</v>
      </c>
      <c r="I2331" t="s">
        <v>4705</v>
      </c>
      <c r="J2331" t="s">
        <v>4706</v>
      </c>
      <c r="K2331" t="s">
        <v>17</v>
      </c>
      <c r="L2331" t="str">
        <f t="shared" si="36"/>
        <v xml:space="preserve">{ longitude: -63.6061691274614, latitude: 44.642819436744, stopType: 'Bus Stop Accessible', gotime: \'8145\', location: \'QUINPOOL RD NS NEWTON\' }, </v>
      </c>
    </row>
    <row r="2332" spans="1:12" x14ac:dyDescent="0.25">
      <c r="A2332">
        <v>-63.603967273264502</v>
      </c>
      <c r="B2332">
        <v>44.643488685154203</v>
      </c>
      <c r="C2332">
        <v>821</v>
      </c>
      <c r="D2332" t="s">
        <v>29</v>
      </c>
      <c r="E2332" t="s">
        <v>12</v>
      </c>
      <c r="F2332" t="s">
        <v>13</v>
      </c>
      <c r="G2332" t="s">
        <v>14</v>
      </c>
      <c r="H2332">
        <v>8146</v>
      </c>
      <c r="I2332" t="s">
        <v>4707</v>
      </c>
      <c r="J2332" t="s">
        <v>4708</v>
      </c>
      <c r="K2332" t="s">
        <v>17</v>
      </c>
      <c r="L2332" t="str">
        <f t="shared" si="36"/>
        <v xml:space="preserve">{ longitude: -63.6039672732645, latitude: 44.6434886851542, stopType: 'Bus Stop Accessible', gotime: \'8146\', location: \'QUINPOOL RD NS POPLAR &lt;WB&gt;\' }, </v>
      </c>
    </row>
    <row r="2333" spans="1:12" x14ac:dyDescent="0.25">
      <c r="A2333">
        <v>-63.598128450871002</v>
      </c>
      <c r="B2333">
        <v>44.645045044224098</v>
      </c>
      <c r="C2333">
        <v>822</v>
      </c>
      <c r="D2333" t="s">
        <v>29</v>
      </c>
      <c r="E2333" t="s">
        <v>12</v>
      </c>
      <c r="F2333" t="s">
        <v>13</v>
      </c>
      <c r="G2333" t="s">
        <v>14</v>
      </c>
      <c r="H2333">
        <v>8147</v>
      </c>
      <c r="I2333" t="s">
        <v>4709</v>
      </c>
      <c r="J2333" t="s">
        <v>4710</v>
      </c>
      <c r="K2333" t="s">
        <v>17</v>
      </c>
      <c r="L2333" t="str">
        <f t="shared" si="36"/>
        <v xml:space="preserve">{ longitude: -63.598128450871, latitude: 44.6450450442241, stopType: 'Bus Stop Accessible', gotime: \'8147\', location: \'QUINPOOL RD NS PRESTON\' }, </v>
      </c>
    </row>
    <row r="2334" spans="1:12" x14ac:dyDescent="0.25">
      <c r="A2334">
        <v>-63.5977421101719</v>
      </c>
      <c r="B2334">
        <v>44.6453428550303</v>
      </c>
      <c r="C2334">
        <v>823</v>
      </c>
      <c r="D2334" t="s">
        <v>29</v>
      </c>
      <c r="E2334" t="s">
        <v>12</v>
      </c>
      <c r="F2334" t="s">
        <v>13</v>
      </c>
      <c r="G2334" t="s">
        <v>19</v>
      </c>
      <c r="H2334">
        <v>8148</v>
      </c>
      <c r="I2334" t="s">
        <v>4711</v>
      </c>
      <c r="J2334" t="s">
        <v>4712</v>
      </c>
      <c r="K2334" t="s">
        <v>17</v>
      </c>
      <c r="L2334" t="str">
        <f t="shared" si="36"/>
        <v xml:space="preserve">{ longitude: -63.5977421101719, latitude: 44.6453428550303, stopType: 'Bus Stop Accessible', gotime: \'8148\', location: \'QUINPOOL RD NS PRESTON &lt;WB&gt;\' }, </v>
      </c>
    </row>
    <row r="2335" spans="1:12" x14ac:dyDescent="0.25">
      <c r="A2335">
        <v>-63.593581507325602</v>
      </c>
      <c r="B2335">
        <v>44.646310412832698</v>
      </c>
      <c r="C2335">
        <v>824</v>
      </c>
      <c r="D2335" t="s">
        <v>29</v>
      </c>
      <c r="E2335" t="s">
        <v>12</v>
      </c>
      <c r="F2335" t="s">
        <v>13</v>
      </c>
      <c r="G2335" t="s">
        <v>14</v>
      </c>
      <c r="H2335">
        <v>8149</v>
      </c>
      <c r="I2335" t="s">
        <v>4713</v>
      </c>
      <c r="J2335" t="s">
        <v>4714</v>
      </c>
      <c r="K2335" t="s">
        <v>17</v>
      </c>
      <c r="L2335" t="str">
        <f t="shared" si="36"/>
        <v xml:space="preserve">{ longitude: -63.5935815073256, latitude: 44.6463104128327, stopType: 'Bus Stop Accessible', gotime: \'8149\', location: \'QUINPOOL RD NS VERNON &lt;EB&gt;\' }, </v>
      </c>
    </row>
    <row r="2336" spans="1:12" x14ac:dyDescent="0.25">
      <c r="A2336">
        <v>-63.5914695743352</v>
      </c>
      <c r="B2336">
        <v>44.646870876218799</v>
      </c>
      <c r="C2336">
        <v>825</v>
      </c>
      <c r="D2336" t="s">
        <v>29</v>
      </c>
      <c r="E2336" t="s">
        <v>12</v>
      </c>
      <c r="F2336" t="s">
        <v>13</v>
      </c>
      <c r="G2336" t="s">
        <v>14</v>
      </c>
      <c r="H2336">
        <v>8150</v>
      </c>
      <c r="I2336" t="s">
        <v>4715</v>
      </c>
      <c r="J2336" t="s">
        <v>4716</v>
      </c>
      <c r="K2336" t="s">
        <v>17</v>
      </c>
      <c r="L2336" t="str">
        <f t="shared" si="36"/>
        <v xml:space="preserve">{ longitude: -63.5914695743352, latitude: 44.6468708762188, stopType: 'Bus Stop Accessible', gotime: \'8150\', location: \'QUINPOOL RD NS WINDSOR ST &lt;EB&gt;\' }, </v>
      </c>
    </row>
    <row r="2337" spans="1:12" x14ac:dyDescent="0.25">
      <c r="A2337">
        <v>-63.591251787062397</v>
      </c>
      <c r="B2337">
        <v>44.647173875671299</v>
      </c>
      <c r="C2337">
        <v>826</v>
      </c>
      <c r="D2337" t="s">
        <v>22</v>
      </c>
      <c r="E2337" t="s">
        <v>12</v>
      </c>
      <c r="F2337" t="s">
        <v>13</v>
      </c>
      <c r="G2337" t="s">
        <v>19</v>
      </c>
      <c r="H2337">
        <v>8151</v>
      </c>
      <c r="I2337" t="s">
        <v>4717</v>
      </c>
      <c r="J2337" t="s">
        <v>4718</v>
      </c>
      <c r="K2337" t="s">
        <v>17</v>
      </c>
      <c r="L2337" t="str">
        <f t="shared" si="36"/>
        <v xml:space="preserve">{ longitude: -63.5912517870624, latitude: 44.6471738756713, stopType: 'Bus Stop Shelter Accessible', gotime: \'8151\', location: \'QUINPOOL RD NS WINDSOR ST &lt;WB&gt;\' }, </v>
      </c>
    </row>
    <row r="2338" spans="1:12" x14ac:dyDescent="0.25">
      <c r="A2338">
        <v>-63.608180290260101</v>
      </c>
      <c r="B2338">
        <v>44.642012940119798</v>
      </c>
      <c r="C2338">
        <v>827</v>
      </c>
      <c r="D2338" t="s">
        <v>29</v>
      </c>
      <c r="E2338" t="s">
        <v>12</v>
      </c>
      <c r="F2338" t="s">
        <v>13</v>
      </c>
      <c r="G2338" t="s">
        <v>14</v>
      </c>
      <c r="H2338">
        <v>8152</v>
      </c>
      <c r="I2338" t="s">
        <v>4719</v>
      </c>
      <c r="J2338" t="s">
        <v>4720</v>
      </c>
      <c r="K2338" t="s">
        <v>17</v>
      </c>
      <c r="L2338" t="str">
        <f t="shared" si="36"/>
        <v xml:space="preserve">{ longitude: -63.6081802902601, latitude: 44.6420129401198, stopType: 'Bus Stop Accessible', gotime: \'8152\', location: \'QUINPOOL RD NS WOODLAWN TERR &lt;EB&gt;\' }, </v>
      </c>
    </row>
    <row r="2339" spans="1:12" x14ac:dyDescent="0.25">
      <c r="A2339">
        <v>-63.6165132015797</v>
      </c>
      <c r="B2339">
        <v>44.6411434419283</v>
      </c>
      <c r="C2339">
        <v>828</v>
      </c>
      <c r="D2339" t="s">
        <v>29</v>
      </c>
      <c r="E2339" t="s">
        <v>12</v>
      </c>
      <c r="F2339" t="s">
        <v>13</v>
      </c>
      <c r="G2339" t="s">
        <v>14</v>
      </c>
      <c r="H2339">
        <v>8153</v>
      </c>
      <c r="I2339" t="s">
        <v>4721</v>
      </c>
      <c r="J2339" t="s">
        <v>4722</v>
      </c>
      <c r="K2339" t="s">
        <v>17</v>
      </c>
      <c r="L2339" t="str">
        <f t="shared" si="36"/>
        <v xml:space="preserve">{ longitude: -63.6165132015797, latitude: 44.6411434419283, stopType: 'Bus Stop Accessible', gotime: \'8153\', location: \'QUINPOOL RD OPP CIVIC 7111\' }, </v>
      </c>
    </row>
    <row r="2340" spans="1:12" x14ac:dyDescent="0.25">
      <c r="A2340">
        <v>-63.613904317649499</v>
      </c>
      <c r="B2340">
        <v>44.640573522603397</v>
      </c>
      <c r="C2340">
        <v>829</v>
      </c>
      <c r="D2340" t="s">
        <v>29</v>
      </c>
      <c r="E2340" t="s">
        <v>12</v>
      </c>
      <c r="F2340" t="s">
        <v>13</v>
      </c>
      <c r="G2340" t="s">
        <v>14</v>
      </c>
      <c r="H2340">
        <v>8154</v>
      </c>
      <c r="I2340" t="s">
        <v>4723</v>
      </c>
      <c r="J2340" t="s">
        <v>4724</v>
      </c>
      <c r="K2340" t="s">
        <v>17</v>
      </c>
      <c r="L2340" t="str">
        <f t="shared" si="36"/>
        <v xml:space="preserve">{ longitude: -63.6139043176495, latitude: 44.6405735226034, stopType: 'Bus Stop Accessible', gotime: \'8154\', location: \'QUINPOOL RD OPP HORSESHOE &lt;NB&gt;\' }, </v>
      </c>
    </row>
    <row r="2341" spans="1:12" x14ac:dyDescent="0.25">
      <c r="A2341">
        <v>-63.609446210803803</v>
      </c>
      <c r="B2341">
        <v>44.6416063090522</v>
      </c>
      <c r="C2341">
        <v>830</v>
      </c>
      <c r="D2341" t="s">
        <v>29</v>
      </c>
      <c r="E2341" t="s">
        <v>12</v>
      </c>
      <c r="F2341" t="s">
        <v>13</v>
      </c>
      <c r="G2341" t="s">
        <v>14</v>
      </c>
      <c r="H2341">
        <v>8155</v>
      </c>
      <c r="I2341" t="s">
        <v>4725</v>
      </c>
      <c r="J2341" t="s">
        <v>4726</v>
      </c>
      <c r="K2341" t="s">
        <v>17</v>
      </c>
      <c r="L2341" t="str">
        <f t="shared" si="36"/>
        <v xml:space="preserve">{ longitude: -63.6094462108038, latitude: 44.6416063090522, stopType: 'Bus Stop Accessible', gotime: \'8155\', location: \'QUINPOOL RD OPP QUINN &lt;EB&gt;\' }, </v>
      </c>
    </row>
    <row r="2342" spans="1:12" x14ac:dyDescent="0.25">
      <c r="A2342">
        <v>-63.5812067266803</v>
      </c>
      <c r="B2342">
        <v>44.677533438182103</v>
      </c>
      <c r="C2342">
        <v>831</v>
      </c>
      <c r="D2342" t="s">
        <v>22</v>
      </c>
      <c r="E2342" t="s">
        <v>12</v>
      </c>
      <c r="F2342" t="s">
        <v>13</v>
      </c>
      <c r="G2342" t="s">
        <v>19</v>
      </c>
      <c r="H2342">
        <v>8425</v>
      </c>
      <c r="I2342" t="s">
        <v>4727</v>
      </c>
      <c r="J2342" t="s">
        <v>4728</v>
      </c>
      <c r="K2342" t="s">
        <v>17</v>
      </c>
      <c r="L2342" t="str">
        <f t="shared" si="36"/>
        <v xml:space="preserve">{ longitude: -63.5812067266803, latitude: 44.6775334381821, stopType: 'Bus Stop Shelter Accessible', gotime: \'8425\', location: \'VICTORIA RD NS MOIRA ST\' }, </v>
      </c>
    </row>
    <row r="2343" spans="1:12" x14ac:dyDescent="0.25">
      <c r="A2343">
        <v>-63.586807948068703</v>
      </c>
      <c r="B2343">
        <v>44.6810144591919</v>
      </c>
      <c r="C2343">
        <v>832</v>
      </c>
      <c r="D2343" t="s">
        <v>22</v>
      </c>
      <c r="E2343" t="s">
        <v>12</v>
      </c>
      <c r="F2343" t="s">
        <v>13</v>
      </c>
      <c r="G2343" t="s">
        <v>19</v>
      </c>
      <c r="H2343">
        <v>8426</v>
      </c>
      <c r="I2343" t="s">
        <v>4729</v>
      </c>
      <c r="J2343" t="s">
        <v>4730</v>
      </c>
      <c r="K2343" t="s">
        <v>17</v>
      </c>
      <c r="L2343" t="str">
        <f t="shared" si="36"/>
        <v xml:space="preserve">{ longitude: -63.5868079480687, latitude: 44.6810144591919, stopType: 'Bus Stop Shelter Accessible', gotime: \'8426\', location: \'VICTORIA RD NS PRIMROSE ST\' }, </v>
      </c>
    </row>
    <row r="2344" spans="1:12" x14ac:dyDescent="0.25">
      <c r="A2344">
        <v>-63.571732535226303</v>
      </c>
      <c r="B2344">
        <v>44.671564158176402</v>
      </c>
      <c r="C2344">
        <v>833</v>
      </c>
      <c r="D2344" t="s">
        <v>11</v>
      </c>
      <c r="E2344" t="s">
        <v>12</v>
      </c>
      <c r="F2344" t="s">
        <v>13</v>
      </c>
      <c r="G2344" t="s">
        <v>14</v>
      </c>
      <c r="H2344">
        <v>8427</v>
      </c>
      <c r="I2344" t="s">
        <v>4731</v>
      </c>
      <c r="J2344" t="s">
        <v>4732</v>
      </c>
      <c r="K2344" t="s">
        <v>17</v>
      </c>
      <c r="L2344" t="str">
        <f t="shared" si="36"/>
        <v xml:space="preserve">{ longitude: -63.5717325352263, latitude: 44.6715641581764, stopType: 'Bus Stop Non-Standard', gotime: \'8427\', location: \'VICTORIA RD NS THISTLE ST\' }, </v>
      </c>
    </row>
    <row r="2345" spans="1:12" x14ac:dyDescent="0.25">
      <c r="A2345">
        <v>-63.579197559378599</v>
      </c>
      <c r="B2345">
        <v>44.676495606965197</v>
      </c>
      <c r="C2345">
        <v>834</v>
      </c>
      <c r="D2345" t="s">
        <v>29</v>
      </c>
      <c r="E2345" t="s">
        <v>12</v>
      </c>
      <c r="F2345" t="s">
        <v>13</v>
      </c>
      <c r="G2345" t="s">
        <v>19</v>
      </c>
      <c r="H2345">
        <v>8428</v>
      </c>
      <c r="I2345" t="s">
        <v>4733</v>
      </c>
      <c r="J2345" t="s">
        <v>4734</v>
      </c>
      <c r="K2345" t="s">
        <v>17</v>
      </c>
      <c r="L2345" t="str">
        <f t="shared" si="36"/>
        <v xml:space="preserve">{ longitude: -63.5791975593786, latitude: 44.6764956069652, stopType: 'Bus Stop Accessible', gotime: \'8428\', location: \'VICTORIA RD AT CIVIC 182\' }, </v>
      </c>
    </row>
    <row r="2346" spans="1:12" x14ac:dyDescent="0.25">
      <c r="A2346">
        <v>-63.678337278126598</v>
      </c>
      <c r="B2346">
        <v>44.679638846772299</v>
      </c>
      <c r="C2346">
        <v>835</v>
      </c>
      <c r="D2346" t="s">
        <v>29</v>
      </c>
      <c r="E2346" t="s">
        <v>12</v>
      </c>
      <c r="F2346" t="s">
        <v>25</v>
      </c>
      <c r="G2346" t="s">
        <v>19</v>
      </c>
      <c r="H2346">
        <v>9028</v>
      </c>
      <c r="I2346" t="s">
        <v>4735</v>
      </c>
      <c r="J2346" t="s">
        <v>4736</v>
      </c>
      <c r="K2346" t="s">
        <v>17</v>
      </c>
      <c r="L2346" t="str">
        <f t="shared" si="36"/>
        <v xml:space="preserve">{ longitude: -63.6783372781266, latitude: 44.6796388467723, stopType: 'Bus Stop Accessible', gotime: \'9028\', location: \'PARKLAND DR FS THE WEDGEWOOD\' }, </v>
      </c>
    </row>
    <row r="2347" spans="1:12" x14ac:dyDescent="0.25">
      <c r="A2347">
        <v>-63.677746425447801</v>
      </c>
      <c r="B2347">
        <v>44.682172515810699</v>
      </c>
      <c r="C2347">
        <v>836</v>
      </c>
      <c r="D2347" t="s">
        <v>29</v>
      </c>
      <c r="E2347" t="s">
        <v>12</v>
      </c>
      <c r="F2347" t="s">
        <v>25</v>
      </c>
      <c r="G2347" t="s">
        <v>19</v>
      </c>
      <c r="H2347">
        <v>9029</v>
      </c>
      <c r="I2347" t="s">
        <v>4737</v>
      </c>
      <c r="J2347" t="s">
        <v>4738</v>
      </c>
      <c r="K2347" t="s">
        <v>17</v>
      </c>
      <c r="L2347" t="str">
        <f t="shared" si="36"/>
        <v xml:space="preserve">{ longitude: -63.6777464254478, latitude: 44.6821725158107, stopType: 'Bus Stop Accessible', gotime: \'9029\', location: \'PARKLAND DR FS CASTLE HILL\' }, </v>
      </c>
    </row>
    <row r="2348" spans="1:12" x14ac:dyDescent="0.25">
      <c r="A2348">
        <v>-63.6753470758375</v>
      </c>
      <c r="B2348">
        <v>44.6832441812819</v>
      </c>
      <c r="C2348">
        <v>837</v>
      </c>
      <c r="D2348" t="s">
        <v>29</v>
      </c>
      <c r="E2348" t="s">
        <v>12</v>
      </c>
      <c r="F2348" t="s">
        <v>25</v>
      </c>
      <c r="G2348" t="s">
        <v>19</v>
      </c>
      <c r="H2348">
        <v>9030</v>
      </c>
      <c r="I2348" t="s">
        <v>4739</v>
      </c>
      <c r="J2348" t="s">
        <v>4740</v>
      </c>
      <c r="K2348" t="s">
        <v>17</v>
      </c>
      <c r="L2348" t="str">
        <f t="shared" si="36"/>
        <v xml:space="preserve">{ longitude: -63.6753470758375, latitude: 44.6832441812819, stopType: 'Bus Stop Accessible', gotime: \'9030\', location: \'PARKLAND DR OPP LAWTONS\' }, </v>
      </c>
    </row>
    <row r="2349" spans="1:12" x14ac:dyDescent="0.25">
      <c r="A2349">
        <v>-63.664887484398299</v>
      </c>
      <c r="B2349">
        <v>44.681492425383396</v>
      </c>
      <c r="C2349">
        <v>838</v>
      </c>
      <c r="D2349" t="s">
        <v>29</v>
      </c>
      <c r="E2349" t="s">
        <v>12</v>
      </c>
      <c r="F2349" t="s">
        <v>13</v>
      </c>
      <c r="G2349" t="s">
        <v>19</v>
      </c>
      <c r="H2349">
        <v>9031</v>
      </c>
      <c r="I2349" t="s">
        <v>4741</v>
      </c>
      <c r="J2349" t="s">
        <v>4742</v>
      </c>
      <c r="K2349" t="s">
        <v>17</v>
      </c>
      <c r="L2349" t="str">
        <f t="shared" si="36"/>
        <v xml:space="preserve">{ longitude: -63.6648874843983, latitude: 44.6814924253834, stopType: 'Bus Stop Accessible', gotime: \'9031\', location: \'KEARNEY LAKE RD FS PINEWOOD TERR\' }, </v>
      </c>
    </row>
    <row r="2350" spans="1:12" x14ac:dyDescent="0.25">
      <c r="A2350">
        <v>-63.662741632264897</v>
      </c>
      <c r="B2350">
        <v>44.681721505797803</v>
      </c>
      <c r="C2350">
        <v>839</v>
      </c>
      <c r="D2350" t="s">
        <v>29</v>
      </c>
      <c r="E2350" t="s">
        <v>12</v>
      </c>
      <c r="F2350" t="s">
        <v>25</v>
      </c>
      <c r="G2350" t="s">
        <v>19</v>
      </c>
      <c r="H2350">
        <v>9032</v>
      </c>
      <c r="I2350" t="s">
        <v>4743</v>
      </c>
      <c r="J2350" t="s">
        <v>4744</v>
      </c>
      <c r="K2350" t="s">
        <v>17</v>
      </c>
      <c r="L2350" t="str">
        <f t="shared" si="36"/>
        <v xml:space="preserve">{ longitude: -63.6627416322649, latitude: 44.6817215057978, stopType: 'Bus Stop Accessible', gotime: \'9032\', location: \'KEARNEY LAKE RD AT CIVIC 30\' }, </v>
      </c>
    </row>
    <row r="2351" spans="1:12" x14ac:dyDescent="0.25">
      <c r="A2351">
        <v>-63.662634724411802</v>
      </c>
      <c r="B2351">
        <v>44.681848517990403</v>
      </c>
      <c r="C2351">
        <v>840</v>
      </c>
      <c r="D2351" t="s">
        <v>29</v>
      </c>
      <c r="E2351" t="s">
        <v>12</v>
      </c>
      <c r="F2351" t="s">
        <v>13</v>
      </c>
      <c r="G2351" t="s">
        <v>19</v>
      </c>
      <c r="H2351">
        <v>9033</v>
      </c>
      <c r="I2351" t="s">
        <v>4745</v>
      </c>
      <c r="J2351" t="s">
        <v>4746</v>
      </c>
      <c r="K2351" t="s">
        <v>17</v>
      </c>
      <c r="L2351" t="str">
        <f t="shared" si="36"/>
        <v xml:space="preserve">{ longitude: -63.6626347244118, latitude: 44.6818485179904, stopType: 'Bus Stop Accessible', gotime: \'9033\', location: \'KEARNEY LAKE RD FS DAKIN DR\' }, </v>
      </c>
    </row>
    <row r="2352" spans="1:12" x14ac:dyDescent="0.25">
      <c r="A2352">
        <v>-63.675113903549999</v>
      </c>
      <c r="B2352">
        <v>44.683674483770403</v>
      </c>
      <c r="C2352">
        <v>841</v>
      </c>
      <c r="D2352" t="s">
        <v>29</v>
      </c>
      <c r="E2352" t="s">
        <v>12</v>
      </c>
      <c r="F2352" t="s">
        <v>25</v>
      </c>
      <c r="G2352" t="s">
        <v>19</v>
      </c>
      <c r="H2352">
        <v>9034</v>
      </c>
      <c r="I2352" t="s">
        <v>4747</v>
      </c>
      <c r="J2352" t="s">
        <v>4748</v>
      </c>
      <c r="K2352" t="s">
        <v>17</v>
      </c>
      <c r="L2352" t="str">
        <f t="shared" si="36"/>
        <v xml:space="preserve">{ longitude: -63.67511390355, latitude: 44.6836744837704, stopType: 'Bus Stop Accessible', gotime: \'9034\', location: \'PARKLAND DR AT CIVIC 980\' }, </v>
      </c>
    </row>
    <row r="2353" spans="1:12" x14ac:dyDescent="0.25">
      <c r="A2353">
        <v>-63.467217731932699</v>
      </c>
      <c r="B2353">
        <v>44.716515370685002</v>
      </c>
      <c r="C2353">
        <v>842</v>
      </c>
      <c r="D2353" t="s">
        <v>103</v>
      </c>
      <c r="E2353" t="s">
        <v>12</v>
      </c>
      <c r="F2353" t="s">
        <v>25</v>
      </c>
      <c r="G2353" t="s">
        <v>65</v>
      </c>
      <c r="H2353">
        <v>7111</v>
      </c>
      <c r="I2353" t="s">
        <v>4749</v>
      </c>
      <c r="J2353" t="s">
        <v>4750</v>
      </c>
      <c r="K2353" t="s">
        <v>17</v>
      </c>
      <c r="L2353" t="str">
        <f t="shared" si="36"/>
        <v xml:space="preserve">{ longitude: -63.4672177319327, latitude: 44.716515370685, stopType: 'Bus Stop Inaccessible', gotime: \'7111\', location: \'LAKE MAJOR RD AT CIVIC 301\' }, </v>
      </c>
    </row>
    <row r="2354" spans="1:12" x14ac:dyDescent="0.25">
      <c r="A2354">
        <v>-63.467336779165301</v>
      </c>
      <c r="B2354">
        <v>44.705563849823903</v>
      </c>
      <c r="C2354">
        <v>843</v>
      </c>
      <c r="D2354" t="s">
        <v>11</v>
      </c>
      <c r="E2354" t="s">
        <v>12</v>
      </c>
      <c r="F2354" t="s">
        <v>25</v>
      </c>
      <c r="G2354" t="s">
        <v>26</v>
      </c>
      <c r="H2354">
        <v>7112</v>
      </c>
      <c r="I2354" t="s">
        <v>4751</v>
      </c>
      <c r="J2354" t="s">
        <v>4752</v>
      </c>
      <c r="K2354" t="s">
        <v>17</v>
      </c>
      <c r="L2354" t="str">
        <f t="shared" si="36"/>
        <v xml:space="preserve">{ longitude: -63.4673367791653, latitude: 44.7055638498239, stopType: 'Bus Stop Non-Standard', gotime: \'7112\', location: \'LAKE MAJOR RD NS CRANEHILL RD\' }, </v>
      </c>
    </row>
    <row r="2355" spans="1:12" x14ac:dyDescent="0.25">
      <c r="A2355">
        <v>-63.464289400888802</v>
      </c>
      <c r="B2355">
        <v>44.744810713764103</v>
      </c>
      <c r="C2355">
        <v>844</v>
      </c>
      <c r="D2355" t="s">
        <v>103</v>
      </c>
      <c r="E2355" t="s">
        <v>12</v>
      </c>
      <c r="F2355" t="s">
        <v>25</v>
      </c>
      <c r="G2355" t="s">
        <v>65</v>
      </c>
      <c r="H2355">
        <v>7113</v>
      </c>
      <c r="I2355" t="s">
        <v>4753</v>
      </c>
      <c r="J2355" t="s">
        <v>4754</v>
      </c>
      <c r="K2355" t="s">
        <v>17</v>
      </c>
      <c r="L2355" t="str">
        <f t="shared" si="36"/>
        <v xml:space="preserve">{ longitude: -63.4642894008888, latitude: 44.7448107137641, stopType: 'Bus Stop Inaccessible', gotime: \'7113\', location: \'NORTH PRESTON RD OPP CIVIC 1032\' }, </v>
      </c>
    </row>
    <row r="2356" spans="1:12" x14ac:dyDescent="0.25">
      <c r="A2356">
        <v>-63.471056319587603</v>
      </c>
      <c r="B2356">
        <v>44.702897520638203</v>
      </c>
      <c r="C2356">
        <v>845</v>
      </c>
      <c r="D2356" t="s">
        <v>29</v>
      </c>
      <c r="E2356" t="s">
        <v>12</v>
      </c>
      <c r="F2356" t="s">
        <v>25</v>
      </c>
      <c r="G2356" t="s">
        <v>26</v>
      </c>
      <c r="H2356">
        <v>6942</v>
      </c>
      <c r="I2356" t="s">
        <v>4755</v>
      </c>
      <c r="J2356" t="s">
        <v>4756</v>
      </c>
      <c r="K2356" t="s">
        <v>17</v>
      </c>
      <c r="L2356" t="str">
        <f t="shared" si="36"/>
        <v xml:space="preserve">{ longitude: -63.4710563195876, latitude: 44.7028975206382, stopType: 'Bus Stop Accessible', gotime: \'6942\', location: \'HWY #7 [IB] FS CHERRYBROOK RD\' }, </v>
      </c>
    </row>
    <row r="2357" spans="1:12" x14ac:dyDescent="0.25">
      <c r="A2357">
        <v>-63.470147860167899</v>
      </c>
      <c r="B2357">
        <v>44.702891311472698</v>
      </c>
      <c r="C2357">
        <v>846</v>
      </c>
      <c r="D2357" t="s">
        <v>11</v>
      </c>
      <c r="E2357" t="s">
        <v>12</v>
      </c>
      <c r="F2357" t="s">
        <v>13</v>
      </c>
      <c r="G2357" t="s">
        <v>14</v>
      </c>
      <c r="H2357">
        <v>6943</v>
      </c>
      <c r="I2357" t="s">
        <v>4757</v>
      </c>
      <c r="J2357" t="s">
        <v>4758</v>
      </c>
      <c r="K2357" t="s">
        <v>17</v>
      </c>
      <c r="L2357" t="str">
        <f t="shared" si="36"/>
        <v xml:space="preserve">{ longitude: -63.4701478601679, latitude: 44.7028913114727, stopType: 'Bus Stop Non-Standard', gotime: \'6943\', location: \'HWY #7 OPP CHERRYBROOK RD\' }, </v>
      </c>
    </row>
    <row r="2358" spans="1:12" x14ac:dyDescent="0.25">
      <c r="A2358">
        <v>-63.486438368733502</v>
      </c>
      <c r="B2358">
        <v>44.698589236495302</v>
      </c>
      <c r="C2358">
        <v>847</v>
      </c>
      <c r="D2358" t="s">
        <v>11</v>
      </c>
      <c r="E2358" t="s">
        <v>12</v>
      </c>
      <c r="F2358" t="s">
        <v>25</v>
      </c>
      <c r="G2358" t="s">
        <v>26</v>
      </c>
      <c r="H2358">
        <v>6944</v>
      </c>
      <c r="I2358" t="s">
        <v>4759</v>
      </c>
      <c r="J2358" t="s">
        <v>4760</v>
      </c>
      <c r="K2358" t="s">
        <v>17</v>
      </c>
      <c r="L2358" t="str">
        <f t="shared" si="36"/>
        <v xml:space="preserve">{ longitude: -63.4864383687335, latitude: 44.6985892364953, stopType: 'Bus Stop Non-Standard', gotime: \'6944\', location: \'HWY #7 FS MACLAUGHLIN RD\' }, </v>
      </c>
    </row>
    <row r="2359" spans="1:12" x14ac:dyDescent="0.25">
      <c r="A2359">
        <v>-63.4781721004559</v>
      </c>
      <c r="B2359">
        <v>44.701539464206597</v>
      </c>
      <c r="C2359">
        <v>848</v>
      </c>
      <c r="D2359" t="s">
        <v>11</v>
      </c>
      <c r="E2359" t="s">
        <v>12</v>
      </c>
      <c r="F2359" t="s">
        <v>25</v>
      </c>
      <c r="G2359" t="s">
        <v>26</v>
      </c>
      <c r="H2359">
        <v>6945</v>
      </c>
      <c r="I2359" t="s">
        <v>4761</v>
      </c>
      <c r="J2359" t="s">
        <v>4762</v>
      </c>
      <c r="K2359" t="s">
        <v>17</v>
      </c>
      <c r="L2359" t="str">
        <f t="shared" si="36"/>
        <v xml:space="preserve">{ longitude: -63.4781721004559, latitude: 44.7015394642066, stopType: 'Bus Stop Non-Standard', gotime: \'6945\', location: \'HWY #7 AT WESTPHAL WAY\' }, </v>
      </c>
    </row>
    <row r="2360" spans="1:12" x14ac:dyDescent="0.25">
      <c r="A2360">
        <v>-63.483917712214499</v>
      </c>
      <c r="B2360">
        <v>44.699862791509403</v>
      </c>
      <c r="C2360">
        <v>849</v>
      </c>
      <c r="D2360" t="s">
        <v>29</v>
      </c>
      <c r="E2360" t="s">
        <v>12</v>
      </c>
      <c r="F2360" t="s">
        <v>25</v>
      </c>
      <c r="G2360" t="s">
        <v>19</v>
      </c>
      <c r="H2360">
        <v>6946</v>
      </c>
      <c r="I2360" t="s">
        <v>4763</v>
      </c>
      <c r="J2360" t="s">
        <v>4764</v>
      </c>
      <c r="K2360" t="s">
        <v>17</v>
      </c>
      <c r="L2360" t="str">
        <f t="shared" si="36"/>
        <v xml:space="preserve">{ longitude: -63.4839177122145, latitude: 44.6998627915094, stopType: 'Bus Stop Accessible', gotime: \'6946\', location: \'HWY #7 FS RILEY RD\' }, </v>
      </c>
    </row>
    <row r="2361" spans="1:12" x14ac:dyDescent="0.25">
      <c r="A2361">
        <v>-63.483699640619797</v>
      </c>
      <c r="B2361">
        <v>44.699748894874098</v>
      </c>
      <c r="C2361">
        <v>850</v>
      </c>
      <c r="D2361" t="s">
        <v>29</v>
      </c>
      <c r="E2361" t="s">
        <v>12</v>
      </c>
      <c r="F2361" t="s">
        <v>13</v>
      </c>
      <c r="G2361" t="s">
        <v>14</v>
      </c>
      <c r="H2361">
        <v>6947</v>
      </c>
      <c r="I2361" t="s">
        <v>4765</v>
      </c>
      <c r="J2361" t="s">
        <v>4766</v>
      </c>
      <c r="K2361" t="s">
        <v>17</v>
      </c>
      <c r="L2361" t="str">
        <f t="shared" si="36"/>
        <v xml:space="preserve">{ longitude: -63.4836996406198, latitude: 44.6997488948741, stopType: 'Bus Stop Accessible', gotime: \'6947\', location: \'HWY #7 OPP CIVIC 925\' }, </v>
      </c>
    </row>
    <row r="2362" spans="1:12" x14ac:dyDescent="0.25">
      <c r="A2362">
        <v>-63.477910662000198</v>
      </c>
      <c r="B2362">
        <v>44.701387639810903</v>
      </c>
      <c r="C2362">
        <v>851</v>
      </c>
      <c r="D2362" t="s">
        <v>11</v>
      </c>
      <c r="E2362" t="s">
        <v>12</v>
      </c>
      <c r="F2362" t="s">
        <v>13</v>
      </c>
      <c r="G2362" t="s">
        <v>19</v>
      </c>
      <c r="H2362">
        <v>6948</v>
      </c>
      <c r="I2362" t="s">
        <v>4767</v>
      </c>
      <c r="J2362" s="1" t="s">
        <v>4768</v>
      </c>
      <c r="K2362" t="s">
        <v>17</v>
      </c>
      <c r="L2362" t="str">
        <f t="shared" si="36"/>
        <v xml:space="preserve">{ longitude: -63.4779106620002, latitude: 44.7013876398109, stopType: 'Bus Stop Non-Standard', gotime: \'6948\', location: \'HWY #7 OPP WESTPHAL WAY\' }, </v>
      </c>
    </row>
    <row r="2363" spans="1:12" x14ac:dyDescent="0.25">
      <c r="A2363">
        <v>-63.583026635177603</v>
      </c>
      <c r="B2363">
        <v>44.694162973435603</v>
      </c>
      <c r="C2363">
        <v>852</v>
      </c>
      <c r="D2363" t="s">
        <v>11</v>
      </c>
      <c r="E2363" t="s">
        <v>12</v>
      </c>
      <c r="F2363" t="s">
        <v>13</v>
      </c>
      <c r="G2363" t="s">
        <v>14</v>
      </c>
      <c r="H2363">
        <v>6949</v>
      </c>
      <c r="I2363" t="s">
        <v>4769</v>
      </c>
      <c r="J2363" t="s">
        <v>4770</v>
      </c>
      <c r="K2363" t="s">
        <v>17</v>
      </c>
      <c r="L2363" t="str">
        <f t="shared" si="36"/>
        <v xml:space="preserve">{ longitude: -63.5830266351776, latitude: 44.6941629734356, stopType: 'Bus Stop Non-Standard', gotime: \'6949\', location: \'ILSLEY AVE OPP CIV 200\' }, </v>
      </c>
    </row>
    <row r="2364" spans="1:12" x14ac:dyDescent="0.25">
      <c r="A2364">
        <v>-63.592352305430602</v>
      </c>
      <c r="B2364">
        <v>44.702774042150502</v>
      </c>
      <c r="C2364">
        <v>853</v>
      </c>
      <c r="D2364" t="s">
        <v>29</v>
      </c>
      <c r="E2364" t="s">
        <v>12</v>
      </c>
      <c r="F2364" t="s">
        <v>25</v>
      </c>
      <c r="G2364" t="s">
        <v>26</v>
      </c>
      <c r="H2364">
        <v>6950</v>
      </c>
      <c r="I2364" t="s">
        <v>4771</v>
      </c>
      <c r="J2364" t="s">
        <v>4772</v>
      </c>
      <c r="K2364" t="s">
        <v>17</v>
      </c>
      <c r="L2364" t="str">
        <f t="shared" si="36"/>
        <v xml:space="preserve">{ longitude: -63.5923523054306, latitude: 44.7027740421505, stopType: 'Bus Stop Accessible', gotime: \'6950\', location: \'ILSLEY AVE AT CIVIC 40\' }, </v>
      </c>
    </row>
    <row r="2365" spans="1:12" x14ac:dyDescent="0.25">
      <c r="A2365">
        <v>-63.595204691792901</v>
      </c>
      <c r="B2365">
        <v>44.704362622223996</v>
      </c>
      <c r="C2365">
        <v>854</v>
      </c>
      <c r="D2365" t="s">
        <v>22</v>
      </c>
      <c r="E2365" t="s">
        <v>12</v>
      </c>
      <c r="F2365" t="s">
        <v>25</v>
      </c>
      <c r="G2365" t="s">
        <v>19</v>
      </c>
      <c r="H2365">
        <v>6951</v>
      </c>
      <c r="I2365" t="s">
        <v>4773</v>
      </c>
      <c r="J2365" t="s">
        <v>4774</v>
      </c>
      <c r="K2365" t="s">
        <v>17</v>
      </c>
      <c r="L2365" t="str">
        <f t="shared" si="36"/>
        <v xml:space="preserve">{ longitude: -63.5952046917929, latitude: 44.704362622224, stopType: 'Bus Stop Shelter Accessible', gotime: \'6951\', location: \'ILSLEY AVE FS WRIGHT AVE\' }, </v>
      </c>
    </row>
    <row r="2366" spans="1:12" x14ac:dyDescent="0.25">
      <c r="A2366">
        <v>-63.581149701831897</v>
      </c>
      <c r="B2366">
        <v>44.653546954495901</v>
      </c>
      <c r="C2366">
        <v>855</v>
      </c>
      <c r="D2366" t="s">
        <v>29</v>
      </c>
      <c r="E2366" t="s">
        <v>12</v>
      </c>
      <c r="F2366" t="s">
        <v>13</v>
      </c>
      <c r="G2366" t="s">
        <v>19</v>
      </c>
      <c r="H2366">
        <v>6125</v>
      </c>
      <c r="I2366" t="s">
        <v>4775</v>
      </c>
      <c r="J2366" t="s">
        <v>4776</v>
      </c>
      <c r="K2366" t="s">
        <v>17</v>
      </c>
      <c r="L2366" t="str">
        <f t="shared" si="36"/>
        <v xml:space="preserve">{ longitude: -63.5811497018319, latitude: 44.6535469544959, stopType: 'Bus Stop Accessible', gotime: \'6125\', location: \'BARRINGTON ST &lt;SB&gt; AT CIVIC 2170\' }, </v>
      </c>
    </row>
    <row r="2367" spans="1:12" x14ac:dyDescent="0.25">
      <c r="A2367">
        <v>-63.573394605501903</v>
      </c>
      <c r="B2367">
        <v>44.6455798884814</v>
      </c>
      <c r="C2367">
        <v>856</v>
      </c>
      <c r="D2367" t="s">
        <v>11</v>
      </c>
      <c r="E2367" t="s">
        <v>12</v>
      </c>
      <c r="F2367" t="s">
        <v>13</v>
      </c>
      <c r="G2367" t="s">
        <v>14</v>
      </c>
      <c r="H2367">
        <v>6126</v>
      </c>
      <c r="I2367" t="s">
        <v>552</v>
      </c>
      <c r="J2367" t="s">
        <v>4777</v>
      </c>
      <c r="K2367" t="s">
        <v>17</v>
      </c>
      <c r="L2367" t="str">
        <f t="shared" si="36"/>
        <v xml:space="preserve">{ longitude: -63.5733946055019, latitude: 44.6455798884814, stopType: 'Bus Stop Non-Standard', gotime: \'6126\', location: \'BARRINGTON ST &lt;SB&gt; NS BLOWERS ST\' }, </v>
      </c>
    </row>
    <row r="2368" spans="1:12" x14ac:dyDescent="0.25">
      <c r="A2368">
        <v>-63.578431183681303</v>
      </c>
      <c r="B2368">
        <v>44.6336842314848</v>
      </c>
      <c r="C2368">
        <v>857</v>
      </c>
      <c r="D2368" t="s">
        <v>29</v>
      </c>
      <c r="E2368" t="s">
        <v>12</v>
      </c>
      <c r="F2368" t="s">
        <v>13</v>
      </c>
      <c r="G2368" t="s">
        <v>14</v>
      </c>
      <c r="H2368">
        <v>6969</v>
      </c>
      <c r="I2368" t="s">
        <v>4778</v>
      </c>
      <c r="J2368" t="s">
        <v>4779</v>
      </c>
      <c r="K2368" t="s">
        <v>17</v>
      </c>
      <c r="L2368" t="str">
        <f t="shared" si="36"/>
        <v xml:space="preserve">{ longitude: -63.5784311836813, latitude: 44.6336842314848, stopType: 'Bus Stop Accessible', gotime: \'6969\', location: \'INGLIS ST EB NS TOWER RD\' }, </v>
      </c>
    </row>
    <row r="2369" spans="1:12" x14ac:dyDescent="0.25">
      <c r="A2369">
        <v>-63.577480644771903</v>
      </c>
      <c r="B2369">
        <v>44.634062558035701</v>
      </c>
      <c r="C2369">
        <v>858</v>
      </c>
      <c r="D2369" t="s">
        <v>29</v>
      </c>
      <c r="E2369" t="s">
        <v>12</v>
      </c>
      <c r="F2369" t="s">
        <v>13</v>
      </c>
      <c r="G2369" t="s">
        <v>19</v>
      </c>
      <c r="H2369">
        <v>6970</v>
      </c>
      <c r="I2369" t="s">
        <v>4780</v>
      </c>
      <c r="J2369" t="s">
        <v>4781</v>
      </c>
      <c r="K2369" t="s">
        <v>17</v>
      </c>
      <c r="L2369" t="str">
        <f t="shared" si="36"/>
        <v xml:space="preserve">{ longitude: -63.5774806447719, latitude: 44.6340625580357, stopType: 'Bus Stop Accessible', gotime: \'6970\', location: \'INGLIS ST WB NS TOWER RD\' }, </v>
      </c>
    </row>
    <row r="2370" spans="1:12" x14ac:dyDescent="0.25">
      <c r="A2370">
        <v>-63.572794713297903</v>
      </c>
      <c r="B2370">
        <v>44.635256500138802</v>
      </c>
      <c r="C2370">
        <v>859</v>
      </c>
      <c r="D2370" t="s">
        <v>29</v>
      </c>
      <c r="E2370" t="s">
        <v>12</v>
      </c>
      <c r="F2370" t="s">
        <v>13</v>
      </c>
      <c r="G2370" t="s">
        <v>14</v>
      </c>
      <c r="H2370">
        <v>6972</v>
      </c>
      <c r="I2370" t="s">
        <v>4782</v>
      </c>
      <c r="J2370" t="s">
        <v>4783</v>
      </c>
      <c r="K2370" t="s">
        <v>17</v>
      </c>
      <c r="L2370" t="str">
        <f t="shared" si="36"/>
        <v xml:space="preserve">{ longitude: -63.5727947132979, latitude: 44.6352565001388, stopType: 'Bus Stop Accessible', gotime: \'6972\', location: \'INGLIS ST OPP SOUTH BLAND ST\' }, </v>
      </c>
    </row>
    <row r="2371" spans="1:12" x14ac:dyDescent="0.25">
      <c r="A2371">
        <v>-63.536131630464801</v>
      </c>
      <c r="B2371">
        <v>44.6884838909221</v>
      </c>
      <c r="C2371">
        <v>860</v>
      </c>
      <c r="D2371" t="s">
        <v>18</v>
      </c>
      <c r="E2371" t="s">
        <v>12</v>
      </c>
      <c r="F2371" t="s">
        <v>13</v>
      </c>
      <c r="G2371" t="s">
        <v>19</v>
      </c>
      <c r="H2371">
        <v>6974</v>
      </c>
      <c r="I2371" t="s">
        <v>4784</v>
      </c>
      <c r="J2371" t="s">
        <v>4785</v>
      </c>
      <c r="K2371" t="s">
        <v>17</v>
      </c>
      <c r="L2371" t="str">
        <f t="shared" ref="L2371:L2434" si="37">CONCATENATE( "{ longitude: ", A2371, ", latitude: ", B2371, ", stopType: '", D2371, "', gotime: \'", H2371, "\', location: \'", I2371, "\' }, ")</f>
        <v xml:space="preserve">{ longitude: -63.5361316304648, latitude: 44.6884838909221, stopType: 'Bus Stop Shelter Non-Standard', gotime: \'6974\', location: \'INVERARY DR NS STRATH LANE\' }, </v>
      </c>
    </row>
    <row r="2372" spans="1:12" x14ac:dyDescent="0.25">
      <c r="A2372">
        <v>-63.543508505071998</v>
      </c>
      <c r="B2372">
        <v>44.646541075767701</v>
      </c>
      <c r="C2372">
        <v>861</v>
      </c>
      <c r="D2372" t="s">
        <v>103</v>
      </c>
      <c r="E2372" t="s">
        <v>12</v>
      </c>
      <c r="F2372" t="s">
        <v>25</v>
      </c>
      <c r="G2372" t="s">
        <v>65</v>
      </c>
      <c r="H2372">
        <v>6975</v>
      </c>
      <c r="I2372" t="s">
        <v>4786</v>
      </c>
      <c r="J2372" t="s">
        <v>4787</v>
      </c>
      <c r="K2372" t="s">
        <v>17</v>
      </c>
      <c r="L2372" t="str">
        <f t="shared" si="37"/>
        <v xml:space="preserve">{ longitude: -63.543508505072, latitude: 44.6465410757677, stopType: 'Bus Stop Inaccessible', gotime: \'6975\', location: \'IRVING ST NS PLEASANT ST\' }, </v>
      </c>
    </row>
    <row r="2373" spans="1:12" x14ac:dyDescent="0.25">
      <c r="A2373">
        <v>-63.743147083617202</v>
      </c>
      <c r="B2373">
        <v>44.658537948364902</v>
      </c>
      <c r="C2373">
        <v>862</v>
      </c>
      <c r="D2373" t="s">
        <v>29</v>
      </c>
      <c r="E2373" t="s">
        <v>12</v>
      </c>
      <c r="F2373" t="s">
        <v>13</v>
      </c>
      <c r="G2373" t="s">
        <v>14</v>
      </c>
      <c r="H2373">
        <v>6976</v>
      </c>
      <c r="I2373" t="s">
        <v>4788</v>
      </c>
      <c r="J2373" t="s">
        <v>4789</v>
      </c>
      <c r="K2373" t="s">
        <v>17</v>
      </c>
      <c r="L2373" t="str">
        <f t="shared" si="37"/>
        <v xml:space="preserve">{ longitude: -63.7431470836172, latitude: 44.6585379483649, stopType: 'Bus Stop Accessible', gotime: \'6976\', location: \'JAMES ST AT CIVIC 30\' }, </v>
      </c>
    </row>
    <row r="2374" spans="1:12" x14ac:dyDescent="0.25">
      <c r="A2374">
        <v>-63.743193822150701</v>
      </c>
      <c r="B2374">
        <v>44.658696293863997</v>
      </c>
      <c r="C2374">
        <v>863</v>
      </c>
      <c r="D2374" t="s">
        <v>103</v>
      </c>
      <c r="E2374" t="s">
        <v>12</v>
      </c>
      <c r="F2374" t="s">
        <v>13</v>
      </c>
      <c r="G2374" t="s">
        <v>65</v>
      </c>
      <c r="H2374">
        <v>6977</v>
      </c>
      <c r="I2374" t="s">
        <v>4790</v>
      </c>
      <c r="J2374" t="s">
        <v>4791</v>
      </c>
      <c r="K2374" t="s">
        <v>17</v>
      </c>
      <c r="L2374" t="str">
        <f t="shared" si="37"/>
        <v xml:space="preserve">{ longitude: -63.7431938221507, latitude: 44.658696293864, stopType: 'Bus Stop Inaccessible', gotime: \'6977\', location: \'JAMES ST NS CIVIC 27\' }, </v>
      </c>
    </row>
    <row r="2375" spans="1:12" x14ac:dyDescent="0.25">
      <c r="A2375">
        <v>-63.630391523052801</v>
      </c>
      <c r="B2375">
        <v>44.653164853197097</v>
      </c>
      <c r="C2375">
        <v>864</v>
      </c>
      <c r="D2375" t="s">
        <v>22</v>
      </c>
      <c r="E2375" t="s">
        <v>12</v>
      </c>
      <c r="F2375" t="s">
        <v>13</v>
      </c>
      <c r="G2375" t="s">
        <v>19</v>
      </c>
      <c r="H2375">
        <v>6978</v>
      </c>
      <c r="I2375" t="s">
        <v>4792</v>
      </c>
      <c r="J2375" t="s">
        <v>4793</v>
      </c>
      <c r="K2375" t="s">
        <v>17</v>
      </c>
      <c r="L2375" t="str">
        <f t="shared" si="37"/>
        <v xml:space="preserve">{ longitude: -63.6303915230528, latitude: 44.6531648531971, stopType: 'Bus Stop Shelter Accessible', gotime: \'6978\', location: \'JOSEPH HOWE DR FS BAYERS RD &lt;SB&gt;\' }, </v>
      </c>
    </row>
    <row r="2376" spans="1:12" x14ac:dyDescent="0.25">
      <c r="A2376">
        <v>-63.630708992912197</v>
      </c>
      <c r="B2376">
        <v>44.651443545193402</v>
      </c>
      <c r="C2376">
        <v>865</v>
      </c>
      <c r="D2376" t="s">
        <v>29</v>
      </c>
      <c r="E2376" t="s">
        <v>12</v>
      </c>
      <c r="F2376" t="s">
        <v>13</v>
      </c>
      <c r="G2376" t="s">
        <v>19</v>
      </c>
      <c r="H2376">
        <v>6979</v>
      </c>
      <c r="I2376" t="s">
        <v>4794</v>
      </c>
      <c r="J2376" t="s">
        <v>4795</v>
      </c>
      <c r="K2376" t="s">
        <v>17</v>
      </c>
      <c r="L2376" t="str">
        <f t="shared" si="37"/>
        <v xml:space="preserve">{ longitude: -63.6307089929122, latitude: 44.6514435451934, stopType: 'Bus Stop Accessible', gotime: \'6979\', location: \'JOSEPH HOWE DR SB AT BI-HI\' }, </v>
      </c>
    </row>
    <row r="2377" spans="1:12" x14ac:dyDescent="0.25">
      <c r="A2377">
        <v>-63.630454332962699</v>
      </c>
      <c r="B2377">
        <v>44.651492905133097</v>
      </c>
      <c r="C2377">
        <v>866</v>
      </c>
      <c r="D2377" t="s">
        <v>22</v>
      </c>
      <c r="E2377" t="s">
        <v>12</v>
      </c>
      <c r="F2377" t="s">
        <v>13</v>
      </c>
      <c r="G2377" t="s">
        <v>19</v>
      </c>
      <c r="H2377">
        <v>6980</v>
      </c>
      <c r="I2377" t="s">
        <v>4796</v>
      </c>
      <c r="J2377" t="s">
        <v>4797</v>
      </c>
      <c r="K2377" t="s">
        <v>17</v>
      </c>
      <c r="L2377" t="str">
        <f t="shared" si="37"/>
        <v xml:space="preserve">{ longitude: -63.6304543329627, latitude: 44.6514929051331, stopType: 'Bus Stop Shelter Accessible', gotime: \'6980\', location: \'JOSEPH HOWE DR NB AT BI-HI\' }, </v>
      </c>
    </row>
    <row r="2378" spans="1:12" x14ac:dyDescent="0.25">
      <c r="A2378">
        <v>-63.589799833220702</v>
      </c>
      <c r="B2378">
        <v>44.7148619814838</v>
      </c>
      <c r="C2378">
        <v>867</v>
      </c>
      <c r="D2378" t="s">
        <v>11</v>
      </c>
      <c r="E2378" t="s">
        <v>12</v>
      </c>
      <c r="F2378" t="s">
        <v>13</v>
      </c>
      <c r="G2378" t="s">
        <v>14</v>
      </c>
      <c r="H2378">
        <v>6000</v>
      </c>
      <c r="I2378" t="s">
        <v>4798</v>
      </c>
      <c r="J2378" t="s">
        <v>4799</v>
      </c>
      <c r="K2378" t="s">
        <v>17</v>
      </c>
      <c r="L2378" t="str">
        <f t="shared" si="37"/>
        <v xml:space="preserve">{ longitude: -63.5897998332207, latitude: 44.7148619814838, stopType: 'Bus Stop Non-Standard', gotime: \'6000\', location: \'AKERLEY BLVD FS BURNSIDE DR\' }, </v>
      </c>
    </row>
    <row r="2379" spans="1:12" x14ac:dyDescent="0.25">
      <c r="A2379">
        <v>-63.595871913904702</v>
      </c>
      <c r="B2379">
        <v>44.713050074852497</v>
      </c>
      <c r="C2379">
        <v>868</v>
      </c>
      <c r="D2379" t="s">
        <v>103</v>
      </c>
      <c r="E2379" t="s">
        <v>12</v>
      </c>
      <c r="F2379" t="s">
        <v>13</v>
      </c>
      <c r="G2379" t="s">
        <v>65</v>
      </c>
      <c r="H2379">
        <v>6001</v>
      </c>
      <c r="I2379" t="s">
        <v>4800</v>
      </c>
      <c r="J2379" t="s">
        <v>4801</v>
      </c>
      <c r="K2379" t="s">
        <v>17</v>
      </c>
      <c r="L2379" t="str">
        <f t="shared" si="37"/>
        <v xml:space="preserve">{ longitude: -63.5958719139047, latitude: 44.7130500748525, stopType: 'Bus Stop Inaccessible', gotime: \'6001\', location: \'AKERLEY BLVD FS CIVIC 95\' }, </v>
      </c>
    </row>
    <row r="2380" spans="1:12" x14ac:dyDescent="0.25">
      <c r="A2380">
        <v>-63.601713986503</v>
      </c>
      <c r="B2380">
        <v>44.711037772871599</v>
      </c>
      <c r="C2380">
        <v>869</v>
      </c>
      <c r="D2380" t="s">
        <v>103</v>
      </c>
      <c r="E2380" t="s">
        <v>12</v>
      </c>
      <c r="F2380" t="s">
        <v>25</v>
      </c>
      <c r="G2380" t="s">
        <v>65</v>
      </c>
      <c r="H2380">
        <v>6002</v>
      </c>
      <c r="I2380" t="s">
        <v>4802</v>
      </c>
      <c r="J2380" t="s">
        <v>4803</v>
      </c>
      <c r="K2380" t="s">
        <v>17</v>
      </c>
      <c r="L2380" t="str">
        <f t="shared" si="37"/>
        <v xml:space="preserve">{ longitude: -63.601713986503, latitude: 44.7110377728716, stopType: 'Bus Stop Inaccessible', gotime: \'6002\', location: \'AKERLEY BLVD WB FS JOE ZATZMAN AVE\' }, </v>
      </c>
    </row>
    <row r="2381" spans="1:12" x14ac:dyDescent="0.25">
      <c r="A2381">
        <v>-63.598245509205299</v>
      </c>
      <c r="B2381">
        <v>44.711990591647101</v>
      </c>
      <c r="C2381">
        <v>870</v>
      </c>
      <c r="D2381" t="s">
        <v>11</v>
      </c>
      <c r="E2381" t="s">
        <v>12</v>
      </c>
      <c r="F2381" t="s">
        <v>13</v>
      </c>
      <c r="G2381" t="s">
        <v>14</v>
      </c>
      <c r="H2381">
        <v>6003</v>
      </c>
      <c r="I2381" t="s">
        <v>4804</v>
      </c>
      <c r="J2381" t="s">
        <v>4805</v>
      </c>
      <c r="K2381" t="s">
        <v>17</v>
      </c>
      <c r="L2381" t="str">
        <f t="shared" si="37"/>
        <v xml:space="preserve">{ longitude: -63.5982455092053, latitude: 44.7119905916471, stopType: 'Bus Stop Non-Standard', gotime: \'6003\', location: \'AKERLEY BLVD EB FS JOE ZATZMAN AVE\' }, </v>
      </c>
    </row>
    <row r="2382" spans="1:12" x14ac:dyDescent="0.25">
      <c r="A2382">
        <v>-63.585674590544002</v>
      </c>
      <c r="B2382">
        <v>44.716239905150601</v>
      </c>
      <c r="C2382">
        <v>871</v>
      </c>
      <c r="D2382" t="s">
        <v>18</v>
      </c>
      <c r="E2382" t="s">
        <v>12</v>
      </c>
      <c r="F2382" t="s">
        <v>13</v>
      </c>
      <c r="G2382" t="s">
        <v>19</v>
      </c>
      <c r="H2382">
        <v>6004</v>
      </c>
      <c r="I2382" t="s">
        <v>4806</v>
      </c>
      <c r="J2382" t="s">
        <v>4807</v>
      </c>
      <c r="K2382" t="s">
        <v>17</v>
      </c>
      <c r="L2382" t="str">
        <f t="shared" si="37"/>
        <v xml:space="preserve">{ longitude: -63.585674590544, latitude: 44.7162399051506, stopType: 'Bus Stop Shelter Non-Standard', gotime: \'6004\', location: \'AKERLEY BLVD FS WILLIAMS AVE\' }, </v>
      </c>
    </row>
    <row r="2383" spans="1:12" x14ac:dyDescent="0.25">
      <c r="A2383">
        <v>-63.611103800048497</v>
      </c>
      <c r="B2383">
        <v>44.7041238058994</v>
      </c>
      <c r="C2383">
        <v>872</v>
      </c>
      <c r="D2383" t="s">
        <v>29</v>
      </c>
      <c r="E2383" t="s">
        <v>12</v>
      </c>
      <c r="F2383" t="s">
        <v>13</v>
      </c>
      <c r="G2383" t="s">
        <v>14</v>
      </c>
      <c r="H2383">
        <v>6005</v>
      </c>
      <c r="I2383" t="s">
        <v>4808</v>
      </c>
      <c r="J2383" t="s">
        <v>4809</v>
      </c>
      <c r="K2383" t="s">
        <v>17</v>
      </c>
      <c r="L2383" t="str">
        <f t="shared" si="37"/>
        <v xml:space="preserve">{ longitude: -63.6111038000485, latitude: 44.7041238058994, stopType: 'Bus Stop Accessible', gotime: \'6005\', location: \'AKERLEY BLVD AT WINDMILL RD\' }, </v>
      </c>
    </row>
    <row r="2384" spans="1:12" x14ac:dyDescent="0.25">
      <c r="A2384">
        <v>-63.609684075458503</v>
      </c>
      <c r="B2384">
        <v>44.705526866579497</v>
      </c>
      <c r="C2384">
        <v>873</v>
      </c>
      <c r="D2384" t="s">
        <v>29</v>
      </c>
      <c r="E2384" t="s">
        <v>12</v>
      </c>
      <c r="F2384" t="s">
        <v>13</v>
      </c>
      <c r="G2384" t="s">
        <v>14</v>
      </c>
      <c r="H2384">
        <v>6006</v>
      </c>
      <c r="I2384" t="s">
        <v>4810</v>
      </c>
      <c r="J2384" t="s">
        <v>4811</v>
      </c>
      <c r="K2384" t="s">
        <v>17</v>
      </c>
      <c r="L2384" t="str">
        <f t="shared" si="37"/>
        <v xml:space="preserve">{ longitude: -63.6096840754585, latitude: 44.7055268665795, stopType: 'Bus Stop Accessible', gotime: \'6006\', location: \'AKERLEY BLVD EB AT CIVIC 10\' }, </v>
      </c>
    </row>
    <row r="2385" spans="1:12" x14ac:dyDescent="0.25">
      <c r="A2385">
        <v>-63.650523354324399</v>
      </c>
      <c r="B2385">
        <v>44.740039165875601</v>
      </c>
      <c r="C2385">
        <v>874</v>
      </c>
      <c r="D2385" t="s">
        <v>103</v>
      </c>
      <c r="E2385" t="s">
        <v>12</v>
      </c>
      <c r="F2385" t="s">
        <v>25</v>
      </c>
      <c r="G2385" t="s">
        <v>65</v>
      </c>
      <c r="H2385">
        <v>8174</v>
      </c>
      <c r="I2385" t="s">
        <v>4812</v>
      </c>
      <c r="J2385" t="s">
        <v>4813</v>
      </c>
      <c r="K2385" t="s">
        <v>17</v>
      </c>
      <c r="L2385" t="str">
        <f t="shared" si="37"/>
        <v xml:space="preserve">{ longitude: -63.6505233543244, latitude: 44.7400391658756, stopType: 'Bus Stop Inaccessible', gotime: \'8174\', location: \'RIVERVIEW NS ROCK MANOR\' }, </v>
      </c>
    </row>
    <row r="2386" spans="1:12" x14ac:dyDescent="0.25">
      <c r="A2386">
        <v>-63.586304339005302</v>
      </c>
      <c r="B2386">
        <v>44.682935470630397</v>
      </c>
      <c r="C2386">
        <v>875</v>
      </c>
      <c r="D2386" t="s">
        <v>11</v>
      </c>
      <c r="E2386" t="s">
        <v>12</v>
      </c>
      <c r="F2386" t="s">
        <v>25</v>
      </c>
      <c r="G2386" t="s">
        <v>26</v>
      </c>
      <c r="H2386">
        <v>8176</v>
      </c>
      <c r="I2386" t="s">
        <v>4814</v>
      </c>
      <c r="J2386" t="s">
        <v>4815</v>
      </c>
      <c r="K2386" t="s">
        <v>17</v>
      </c>
      <c r="L2386" t="str">
        <f t="shared" si="37"/>
        <v xml:space="preserve">{ longitude: -63.5863043390053, latitude: 44.6829354706304, stopType: 'Bus Stop Non-Standard', gotime: \'8176\', location: \'ROBERT BURNS FS PRIMROSE ST\' }, </v>
      </c>
    </row>
    <row r="2387" spans="1:12" x14ac:dyDescent="0.25">
      <c r="A2387">
        <v>-63.585902417850498</v>
      </c>
      <c r="B2387">
        <v>44.682824257613198</v>
      </c>
      <c r="C2387">
        <v>876</v>
      </c>
      <c r="D2387" t="s">
        <v>103</v>
      </c>
      <c r="E2387" t="s">
        <v>12</v>
      </c>
      <c r="F2387" t="s">
        <v>25</v>
      </c>
      <c r="G2387" t="s">
        <v>65</v>
      </c>
      <c r="H2387">
        <v>8177</v>
      </c>
      <c r="I2387" t="s">
        <v>4816</v>
      </c>
      <c r="J2387" t="s">
        <v>4817</v>
      </c>
      <c r="K2387" t="s">
        <v>17</v>
      </c>
      <c r="L2387" t="str">
        <f t="shared" si="37"/>
        <v xml:space="preserve">{ longitude: -63.5859024178505, latitude: 44.6828242576132, stopType: 'Bus Stop Inaccessible', gotime: \'8177\', location: \'ROBERT BURNS FS PRIMROSE ST &lt;WB&gt;\' }, </v>
      </c>
    </row>
    <row r="2388" spans="1:12" x14ac:dyDescent="0.25">
      <c r="A2388">
        <v>-63.593829392890797</v>
      </c>
      <c r="B2388">
        <v>44.653019997017999</v>
      </c>
      <c r="C2388">
        <v>877</v>
      </c>
      <c r="D2388" t="s">
        <v>22</v>
      </c>
      <c r="E2388" t="s">
        <v>12</v>
      </c>
      <c r="F2388" t="s">
        <v>13</v>
      </c>
      <c r="G2388" t="s">
        <v>19</v>
      </c>
      <c r="H2388">
        <v>8178</v>
      </c>
      <c r="I2388" t="s">
        <v>4818</v>
      </c>
      <c r="J2388" t="s">
        <v>4819</v>
      </c>
      <c r="K2388" t="s">
        <v>17</v>
      </c>
      <c r="L2388" t="str">
        <f t="shared" si="37"/>
        <v xml:space="preserve">{ longitude: -63.5938293928908, latitude: 44.653019997018, stopType: 'Bus Stop Shelter Accessible', gotime: \'8178\', location: \'ROBIE ST FS CHARLES ST &lt;SB&gt;\' }, </v>
      </c>
    </row>
    <row r="2389" spans="1:12" x14ac:dyDescent="0.25">
      <c r="A2389">
        <v>-63.588514368606099</v>
      </c>
      <c r="B2389">
        <v>44.643789654388002</v>
      </c>
      <c r="C2389">
        <v>878</v>
      </c>
      <c r="D2389" t="s">
        <v>22</v>
      </c>
      <c r="E2389" t="s">
        <v>12</v>
      </c>
      <c r="F2389" t="s">
        <v>13</v>
      </c>
      <c r="G2389" t="s">
        <v>19</v>
      </c>
      <c r="H2389">
        <v>8179</v>
      </c>
      <c r="I2389" t="s">
        <v>4820</v>
      </c>
      <c r="J2389" t="s">
        <v>4821</v>
      </c>
      <c r="K2389" t="s">
        <v>17</v>
      </c>
      <c r="L2389" t="str">
        <f t="shared" si="37"/>
        <v xml:space="preserve">{ longitude: -63.5885143686061, latitude: 44.643789654388, stopType: 'Bus Stop Shelter Accessible', gotime: \'8179\', location: \'ROBIE ST &lt;NB&gt; FS VETERNS MEMORIAL LANE\' }, </v>
      </c>
    </row>
    <row r="2390" spans="1:12" x14ac:dyDescent="0.25">
      <c r="A2390">
        <v>-63.610994279257497</v>
      </c>
      <c r="B2390">
        <v>44.665540458945003</v>
      </c>
      <c r="C2390">
        <v>879</v>
      </c>
      <c r="D2390" t="s">
        <v>29</v>
      </c>
      <c r="E2390" t="s">
        <v>12</v>
      </c>
      <c r="F2390" t="s">
        <v>13</v>
      </c>
      <c r="G2390" t="s">
        <v>19</v>
      </c>
      <c r="H2390">
        <v>8180</v>
      </c>
      <c r="I2390" t="s">
        <v>4822</v>
      </c>
      <c r="J2390" t="s">
        <v>4823</v>
      </c>
      <c r="K2390" t="s">
        <v>17</v>
      </c>
      <c r="L2390" t="str">
        <f t="shared" si="37"/>
        <v xml:space="preserve">{ longitude: -63.6109942792575, latitude: 44.665540458945, stopType: 'Bus Stop Accessible', gotime: \'8180\', location: \'ROBIE ST FS LADY HAMMOND RD &lt;NB&gt;\' }, </v>
      </c>
    </row>
    <row r="2391" spans="1:12" x14ac:dyDescent="0.25">
      <c r="A2391">
        <v>-63.595010022392003</v>
      </c>
      <c r="B2391">
        <v>44.654803572021002</v>
      </c>
      <c r="C2391">
        <v>880</v>
      </c>
      <c r="D2391" t="s">
        <v>29</v>
      </c>
      <c r="E2391" t="s">
        <v>12</v>
      </c>
      <c r="F2391" t="s">
        <v>13</v>
      </c>
      <c r="G2391" t="s">
        <v>19</v>
      </c>
      <c r="H2391">
        <v>8181</v>
      </c>
      <c r="I2391" t="s">
        <v>4824</v>
      </c>
      <c r="J2391" t="s">
        <v>4825</v>
      </c>
      <c r="K2391" t="s">
        <v>17</v>
      </c>
      <c r="L2391" t="str">
        <f t="shared" si="37"/>
        <v xml:space="preserve">{ longitude: -63.595010022392, latitude: 44.654803572021, stopType: 'Bus Stop Accessible', gotime: \'8181\', location: \'ROBIE ST FS NORTH ST &lt;NB&gt;\' }, </v>
      </c>
    </row>
    <row r="2392" spans="1:12" x14ac:dyDescent="0.25">
      <c r="A2392">
        <v>-63.59692554798</v>
      </c>
      <c r="B2392">
        <v>44.655979614555498</v>
      </c>
      <c r="C2392">
        <v>881</v>
      </c>
      <c r="D2392" t="s">
        <v>29</v>
      </c>
      <c r="E2392" t="s">
        <v>12</v>
      </c>
      <c r="F2392" t="s">
        <v>13</v>
      </c>
      <c r="G2392" t="s">
        <v>19</v>
      </c>
      <c r="H2392">
        <v>8182</v>
      </c>
      <c r="I2392" t="s">
        <v>4826</v>
      </c>
      <c r="J2392" t="s">
        <v>4827</v>
      </c>
      <c r="K2392" t="s">
        <v>17</v>
      </c>
      <c r="L2392" t="str">
        <f t="shared" si="37"/>
        <v xml:space="preserve">{ longitude: -63.59692554798, latitude: 44.6559796145555, stopType: 'Bus Stop Accessible', gotime: \'8182\', location: \'ROBIE ST FS OF MAY &lt;SB&gt;\' }, </v>
      </c>
    </row>
    <row r="2393" spans="1:12" x14ac:dyDescent="0.25">
      <c r="A2393">
        <v>-63.590077091329803</v>
      </c>
      <c r="B2393">
        <v>44.646108308765101</v>
      </c>
      <c r="C2393">
        <v>882</v>
      </c>
      <c r="D2393" t="s">
        <v>22</v>
      </c>
      <c r="E2393" t="s">
        <v>12</v>
      </c>
      <c r="F2393" t="s">
        <v>13</v>
      </c>
      <c r="G2393" t="s">
        <v>19</v>
      </c>
      <c r="H2393">
        <v>8183</v>
      </c>
      <c r="I2393" t="s">
        <v>4828</v>
      </c>
      <c r="J2393" t="s">
        <v>4829</v>
      </c>
      <c r="K2393" t="s">
        <v>17</v>
      </c>
      <c r="L2393" t="str">
        <f t="shared" si="37"/>
        <v xml:space="preserve">{ longitude: -63.5900770913298, latitude: 44.6461083087651, stopType: 'Bus Stop Shelter Accessible', gotime: \'8183\', location: \'ROBIE ST &lt;SB&gt; FS PEPPERELL ST\' }, </v>
      </c>
    </row>
    <row r="2394" spans="1:12" x14ac:dyDescent="0.25">
      <c r="A2394">
        <v>-63.590521330121199</v>
      </c>
      <c r="B2394">
        <v>44.6476102195263</v>
      </c>
      <c r="C2394">
        <v>883</v>
      </c>
      <c r="D2394" t="s">
        <v>22</v>
      </c>
      <c r="E2394" t="s">
        <v>12</v>
      </c>
      <c r="F2394" t="s">
        <v>13</v>
      </c>
      <c r="G2394" t="s">
        <v>19</v>
      </c>
      <c r="H2394">
        <v>8184</v>
      </c>
      <c r="I2394" t="s">
        <v>4830</v>
      </c>
      <c r="J2394" t="s">
        <v>4831</v>
      </c>
      <c r="K2394" t="s">
        <v>17</v>
      </c>
      <c r="L2394" t="str">
        <f t="shared" si="37"/>
        <v xml:space="preserve">{ longitude: -63.5905213301212, latitude: 44.6476102195263, stopType: 'Bus Stop Shelter Accessible', gotime: \'8184\', location: \'ROBIE ST FS QUINPOOL RD &lt;NB&gt;\' }, </v>
      </c>
    </row>
    <row r="2395" spans="1:12" x14ac:dyDescent="0.25">
      <c r="A2395">
        <v>-63.5869203189608</v>
      </c>
      <c r="B2395">
        <v>44.640719515557699</v>
      </c>
      <c r="C2395">
        <v>884</v>
      </c>
      <c r="D2395" t="s">
        <v>22</v>
      </c>
      <c r="E2395" t="s">
        <v>12</v>
      </c>
      <c r="F2395" t="s">
        <v>13</v>
      </c>
      <c r="G2395" t="s">
        <v>19</v>
      </c>
      <c r="H2395">
        <v>8185</v>
      </c>
      <c r="I2395" t="s">
        <v>4832</v>
      </c>
      <c r="J2395" t="s">
        <v>4833</v>
      </c>
      <c r="K2395" t="s">
        <v>17</v>
      </c>
      <c r="L2395" t="str">
        <f t="shared" si="37"/>
        <v xml:space="preserve">{ longitude: -63.5869203189608, latitude: 44.6407195155577, stopType: 'Bus Stop Shelter Accessible', gotime: \'8185\', location: \'ROBIE ST FS SPRING GARDEN RD&lt;NB&gt;\' }, </v>
      </c>
    </row>
    <row r="2396" spans="1:12" x14ac:dyDescent="0.25">
      <c r="A2396">
        <v>-63.586732326865999</v>
      </c>
      <c r="B2396">
        <v>44.639725966349097</v>
      </c>
      <c r="C2396">
        <v>885</v>
      </c>
      <c r="D2396" t="s">
        <v>22</v>
      </c>
      <c r="E2396" t="s">
        <v>12</v>
      </c>
      <c r="F2396" t="s">
        <v>13</v>
      </c>
      <c r="G2396" t="s">
        <v>19</v>
      </c>
      <c r="H2396">
        <v>8186</v>
      </c>
      <c r="I2396" t="s">
        <v>4834</v>
      </c>
      <c r="J2396" t="s">
        <v>4835</v>
      </c>
      <c r="K2396" t="s">
        <v>17</v>
      </c>
      <c r="L2396" t="str">
        <f t="shared" si="37"/>
        <v xml:space="preserve">{ longitude: -63.586732326866, latitude: 44.6397259663491, stopType: 'Bus Stop Shelter Accessible', gotime: \'8186\', location: \'ROBIE ST FS SPRING GARDEN RD&lt;SB&gt;\' }, </v>
      </c>
    </row>
    <row r="2397" spans="1:12" x14ac:dyDescent="0.25">
      <c r="A2397">
        <v>-63.519969173665999</v>
      </c>
      <c r="B2397">
        <v>44.677372619582698</v>
      </c>
      <c r="C2397">
        <v>886</v>
      </c>
      <c r="D2397" t="s">
        <v>11</v>
      </c>
      <c r="E2397" t="s">
        <v>12</v>
      </c>
      <c r="F2397" t="s">
        <v>25</v>
      </c>
      <c r="G2397" t="s">
        <v>26</v>
      </c>
      <c r="H2397">
        <v>6630</v>
      </c>
      <c r="I2397" t="s">
        <v>4836</v>
      </c>
      <c r="J2397" t="s">
        <v>4837</v>
      </c>
      <c r="K2397" t="s">
        <v>17</v>
      </c>
      <c r="L2397" t="str">
        <f t="shared" si="37"/>
        <v xml:space="preserve">{ longitude: -63.519969173666, latitude: 44.6773726195827, stopType: 'Bus Stop Non-Standard', gotime: \'6630\', location: \'ELLENVALE AVE FS ANDERSON ST\' }, </v>
      </c>
    </row>
    <row r="2398" spans="1:12" x14ac:dyDescent="0.25">
      <c r="A2398">
        <v>-63.650305357848602</v>
      </c>
      <c r="B2398">
        <v>44.678534288345801</v>
      </c>
      <c r="C2398">
        <v>887</v>
      </c>
      <c r="D2398" t="s">
        <v>22</v>
      </c>
      <c r="E2398" t="s">
        <v>12</v>
      </c>
      <c r="F2398" t="s">
        <v>13</v>
      </c>
      <c r="G2398" t="s">
        <v>19</v>
      </c>
      <c r="H2398">
        <v>6288</v>
      </c>
      <c r="I2398" t="s">
        <v>4838</v>
      </c>
      <c r="J2398" t="s">
        <v>4839</v>
      </c>
      <c r="K2398" t="s">
        <v>17</v>
      </c>
      <c r="L2398" t="str">
        <f t="shared" si="37"/>
        <v xml:space="preserve">{ longitude: -63.6503053578486, latitude: 44.6785342883458, stopType: 'Bus Stop Shelter Accessible', gotime: \'6288\', location: \'BEDFORD HWY OPP TREMONT DR\' }, </v>
      </c>
    </row>
    <row r="2399" spans="1:12" x14ac:dyDescent="0.25">
      <c r="A2399">
        <v>-63.658989170172603</v>
      </c>
      <c r="B2399">
        <v>44.665566411884498</v>
      </c>
      <c r="C2399">
        <v>888</v>
      </c>
      <c r="D2399" t="s">
        <v>29</v>
      </c>
      <c r="E2399" t="s">
        <v>12</v>
      </c>
      <c r="F2399" t="s">
        <v>25</v>
      </c>
      <c r="G2399" t="s">
        <v>26</v>
      </c>
      <c r="H2399">
        <v>8156</v>
      </c>
      <c r="I2399" t="s">
        <v>4840</v>
      </c>
      <c r="J2399" s="1" t="s">
        <v>4841</v>
      </c>
      <c r="K2399" t="s">
        <v>17</v>
      </c>
      <c r="L2399" t="str">
        <f t="shared" si="37"/>
        <v xml:space="preserve">{ longitude: -63.6589891701726, latitude: 44.6655664118845, stopType: 'Bus Stop Accessible', gotime: \'8156\', location: \'RADCLIFFE NS DUNBRACK ST\' }, </v>
      </c>
    </row>
    <row r="2400" spans="1:12" x14ac:dyDescent="0.25">
      <c r="A2400">
        <v>-63.6651005319777</v>
      </c>
      <c r="B2400">
        <v>44.6641532950052</v>
      </c>
      <c r="C2400">
        <v>889</v>
      </c>
      <c r="D2400" t="s">
        <v>29</v>
      </c>
      <c r="E2400" t="s">
        <v>12</v>
      </c>
      <c r="F2400" t="s">
        <v>25</v>
      </c>
      <c r="G2400" t="s">
        <v>26</v>
      </c>
      <c r="H2400">
        <v>8157</v>
      </c>
      <c r="I2400" t="s">
        <v>4842</v>
      </c>
      <c r="J2400" t="s">
        <v>4843</v>
      </c>
      <c r="K2400" t="s">
        <v>17</v>
      </c>
      <c r="L2400" t="str">
        <f t="shared" si="37"/>
        <v xml:space="preserve">{ longitude: -63.6651005319777, latitude: 44.6641532950052, stopType: 'Bus Stop Accessible', gotime: \'8157\', location: \'RADCLIFFE FS ESSEX CIVIC 190 &lt;WB&gt;\' }, </v>
      </c>
    </row>
    <row r="2401" spans="1:12" x14ac:dyDescent="0.25">
      <c r="A2401">
        <v>-63.664241087882303</v>
      </c>
      <c r="B2401">
        <v>44.661654077946203</v>
      </c>
      <c r="C2401">
        <v>890</v>
      </c>
      <c r="D2401" t="s">
        <v>29</v>
      </c>
      <c r="E2401" t="s">
        <v>12</v>
      </c>
      <c r="F2401" t="s">
        <v>25</v>
      </c>
      <c r="G2401" t="s">
        <v>26</v>
      </c>
      <c r="H2401">
        <v>8158</v>
      </c>
      <c r="I2401" t="s">
        <v>4844</v>
      </c>
      <c r="J2401" t="s">
        <v>4845</v>
      </c>
      <c r="K2401" t="s">
        <v>17</v>
      </c>
      <c r="L2401" t="str">
        <f t="shared" si="37"/>
        <v xml:space="preserve">{ longitude: -63.6642410878823, latitude: 44.6616540779462, stopType: 'Bus Stop Accessible', gotime: \'8158\', location: \'RADCLIFFE FS LACEWOOD DR\' }, </v>
      </c>
    </row>
    <row r="2402" spans="1:12" x14ac:dyDescent="0.25">
      <c r="A2402">
        <v>-63.661457795344802</v>
      </c>
      <c r="B2402">
        <v>44.665782559178098</v>
      </c>
      <c r="C2402">
        <v>891</v>
      </c>
      <c r="D2402" t="s">
        <v>29</v>
      </c>
      <c r="E2402" t="s">
        <v>12</v>
      </c>
      <c r="F2402" t="s">
        <v>25</v>
      </c>
      <c r="G2402" t="s">
        <v>26</v>
      </c>
      <c r="H2402">
        <v>8159</v>
      </c>
      <c r="I2402" t="s">
        <v>4846</v>
      </c>
      <c r="J2402" t="s">
        <v>4847</v>
      </c>
      <c r="K2402" t="s">
        <v>17</v>
      </c>
      <c r="L2402" t="str">
        <f t="shared" si="37"/>
        <v xml:space="preserve">{ longitude: -63.6614577953448, latitude: 44.6657825591781, stopType: 'Bus Stop Accessible', gotime: \'8159\', location: \'RADCLIFFE NS BARKTON\' }, </v>
      </c>
    </row>
    <row r="2403" spans="1:12" x14ac:dyDescent="0.25">
      <c r="A2403">
        <v>-63.536127889913601</v>
      </c>
      <c r="B2403">
        <v>44.6872109407796</v>
      </c>
      <c r="C2403">
        <v>892</v>
      </c>
      <c r="D2403" t="s">
        <v>103</v>
      </c>
      <c r="E2403" t="s">
        <v>12</v>
      </c>
      <c r="F2403" t="s">
        <v>13</v>
      </c>
      <c r="G2403" t="s">
        <v>65</v>
      </c>
      <c r="H2403">
        <v>8160</v>
      </c>
      <c r="I2403" t="s">
        <v>4848</v>
      </c>
      <c r="J2403" t="s">
        <v>4849</v>
      </c>
      <c r="K2403" t="s">
        <v>17</v>
      </c>
      <c r="L2403" t="str">
        <f t="shared" si="37"/>
        <v xml:space="preserve">{ longitude: -63.5361278899136, latitude: 44.6872109407796, stopType: 'Bus Stop Inaccessible', gotime: \'8160\', location: \'RAYMOOR FS STRATH\' }, </v>
      </c>
    </row>
    <row r="2404" spans="1:12" x14ac:dyDescent="0.25">
      <c r="A2404">
        <v>-63.533625376579799</v>
      </c>
      <c r="B2404">
        <v>44.6857059192902</v>
      </c>
      <c r="C2404">
        <v>893</v>
      </c>
      <c r="D2404" t="s">
        <v>103</v>
      </c>
      <c r="E2404" t="s">
        <v>12</v>
      </c>
      <c r="F2404" t="s">
        <v>13</v>
      </c>
      <c r="G2404" t="s">
        <v>65</v>
      </c>
      <c r="H2404">
        <v>8161</v>
      </c>
      <c r="I2404" t="s">
        <v>4850</v>
      </c>
      <c r="J2404" t="s">
        <v>4851</v>
      </c>
      <c r="K2404" t="s">
        <v>17</v>
      </c>
      <c r="L2404" t="str">
        <f t="shared" si="37"/>
        <v xml:space="preserve">{ longitude: -63.5336253765798, latitude: 44.6857059192902, stopType: 'Bus Stop Inaccessible', gotime: \'8161\', location: \'RAYMOOR AT CIVIC 22 &lt;SB&gt;\' }, </v>
      </c>
    </row>
    <row r="2405" spans="1:12" x14ac:dyDescent="0.25">
      <c r="A2405">
        <v>-63.531650287447498</v>
      </c>
      <c r="B2405">
        <v>44.684216655757702</v>
      </c>
      <c r="C2405">
        <v>894</v>
      </c>
      <c r="D2405" t="s">
        <v>103</v>
      </c>
      <c r="E2405" t="s">
        <v>12</v>
      </c>
      <c r="F2405" t="s">
        <v>13</v>
      </c>
      <c r="G2405" t="s">
        <v>65</v>
      </c>
      <c r="H2405">
        <v>8162</v>
      </c>
      <c r="I2405" t="s">
        <v>4852</v>
      </c>
      <c r="J2405" t="s">
        <v>4853</v>
      </c>
      <c r="K2405" t="s">
        <v>17</v>
      </c>
      <c r="L2405" t="str">
        <f t="shared" si="37"/>
        <v xml:space="preserve">{ longitude: -63.5316502874475, latitude: 44.6842166557577, stopType: 'Bus Stop Inaccessible', gotime: \'8162\', location: \'RAYMOOR NS MAIN ST &lt;SB&gt;\' }, </v>
      </c>
    </row>
    <row r="2406" spans="1:12" x14ac:dyDescent="0.25">
      <c r="A2406">
        <v>-63.748733073072003</v>
      </c>
      <c r="B2406">
        <v>44.660908918344099</v>
      </c>
      <c r="C2406">
        <v>895</v>
      </c>
      <c r="D2406" t="s">
        <v>11</v>
      </c>
      <c r="E2406" t="s">
        <v>12</v>
      </c>
      <c r="F2406" t="s">
        <v>13</v>
      </c>
      <c r="G2406" t="s">
        <v>14</v>
      </c>
      <c r="H2406">
        <v>8163</v>
      </c>
      <c r="I2406" t="s">
        <v>4854</v>
      </c>
      <c r="J2406" t="s">
        <v>4855</v>
      </c>
      <c r="K2406" t="s">
        <v>17</v>
      </c>
      <c r="L2406" t="str">
        <f t="shared" si="37"/>
        <v xml:space="preserve">{ longitude: -63.748733073072, latitude: 44.6609089183441, stopType: 'Bus Stop Non-Standard', gotime: \'8163\', location: \'RICHARD NS CIVIC 56 [IB]\' }, </v>
      </c>
    </row>
    <row r="2407" spans="1:12" x14ac:dyDescent="0.25">
      <c r="A2407">
        <v>-63.6161811775413</v>
      </c>
      <c r="B2407">
        <v>44.671803948649</v>
      </c>
      <c r="C2407">
        <v>896</v>
      </c>
      <c r="D2407" t="s">
        <v>22</v>
      </c>
      <c r="E2407" t="s">
        <v>12</v>
      </c>
      <c r="F2407" t="s">
        <v>25</v>
      </c>
      <c r="G2407" t="s">
        <v>19</v>
      </c>
      <c r="H2407">
        <v>8165</v>
      </c>
      <c r="I2407" t="s">
        <v>4856</v>
      </c>
      <c r="J2407" t="s">
        <v>4857</v>
      </c>
      <c r="K2407" t="s">
        <v>17</v>
      </c>
      <c r="L2407" t="str">
        <f t="shared" si="37"/>
        <v xml:space="preserve">{ longitude: -63.6161811775413, latitude: 44.671803948649, stopType: 'Bus Stop Shelter Accessible', gotime: \'8165\', location: \'RICHMOND MANOR TURNING LOOP TO MUMFORD\' }, </v>
      </c>
    </row>
    <row r="2408" spans="1:12" x14ac:dyDescent="0.25">
      <c r="A2408">
        <v>-63.619945244505097</v>
      </c>
      <c r="B2408">
        <v>44.628882976141902</v>
      </c>
      <c r="C2408">
        <v>897</v>
      </c>
      <c r="D2408" t="s">
        <v>11</v>
      </c>
      <c r="E2408" t="s">
        <v>12</v>
      </c>
      <c r="F2408" t="s">
        <v>13</v>
      </c>
      <c r="G2408" t="s">
        <v>14</v>
      </c>
      <c r="H2408">
        <v>8166</v>
      </c>
      <c r="I2408" t="s">
        <v>4858</v>
      </c>
      <c r="J2408" t="s">
        <v>4859</v>
      </c>
      <c r="K2408" t="s">
        <v>17</v>
      </c>
      <c r="L2408" t="str">
        <f t="shared" si="37"/>
        <v xml:space="preserve">{ longitude: -63.6199452445051, latitude: 44.6288829761419, stopType: 'Bus Stop Non-Standard', gotime: \'8166\', location: \'RIDGEVALLEY FS CAVENDISH\' }, </v>
      </c>
    </row>
    <row r="2409" spans="1:12" x14ac:dyDescent="0.25">
      <c r="A2409">
        <v>-63.621404728708399</v>
      </c>
      <c r="B2409">
        <v>44.630098656979101</v>
      </c>
      <c r="C2409">
        <v>898</v>
      </c>
      <c r="D2409" t="s">
        <v>11</v>
      </c>
      <c r="E2409" t="s">
        <v>12</v>
      </c>
      <c r="F2409" t="s">
        <v>13</v>
      </c>
      <c r="G2409" t="s">
        <v>14</v>
      </c>
      <c r="H2409">
        <v>8167</v>
      </c>
      <c r="I2409" t="s">
        <v>4860</v>
      </c>
      <c r="J2409" t="s">
        <v>4861</v>
      </c>
      <c r="K2409" t="s">
        <v>17</v>
      </c>
      <c r="L2409" t="str">
        <f t="shared" si="37"/>
        <v xml:space="preserve">{ longitude: -63.6214047287084, latitude: 44.6300986569791, stopType: 'Bus Stop Non-Standard', gotime: \'8167\', location: \'RIDGEVALLEY AT CIVIC 39 [IB]\' }, </v>
      </c>
    </row>
    <row r="2410" spans="1:12" x14ac:dyDescent="0.25">
      <c r="A2410">
        <v>-63.621156614725699</v>
      </c>
      <c r="B2410">
        <v>44.6298118142441</v>
      </c>
      <c r="C2410">
        <v>899</v>
      </c>
      <c r="D2410" t="s">
        <v>29</v>
      </c>
      <c r="E2410" t="s">
        <v>12</v>
      </c>
      <c r="F2410" t="s">
        <v>13</v>
      </c>
      <c r="G2410" t="s">
        <v>14</v>
      </c>
      <c r="H2410">
        <v>8168</v>
      </c>
      <c r="I2410" t="s">
        <v>4862</v>
      </c>
      <c r="J2410" t="s">
        <v>4863</v>
      </c>
      <c r="K2410" t="s">
        <v>17</v>
      </c>
      <c r="L2410" t="str">
        <f t="shared" si="37"/>
        <v xml:space="preserve">{ longitude: -63.6211566147257, latitude: 44.6298118142441, stopType: 'Bus Stop Accessible', gotime: \'8168\', location: \'RIDGEVALLEY NS BROMLEY\' }, </v>
      </c>
    </row>
    <row r="2411" spans="1:12" x14ac:dyDescent="0.25">
      <c r="A2411">
        <v>-63.619188638397198</v>
      </c>
      <c r="B2411">
        <v>44.627694659198603</v>
      </c>
      <c r="C2411">
        <v>900</v>
      </c>
      <c r="D2411" t="s">
        <v>29</v>
      </c>
      <c r="E2411" t="s">
        <v>12</v>
      </c>
      <c r="F2411" t="s">
        <v>13</v>
      </c>
      <c r="G2411" t="s">
        <v>19</v>
      </c>
      <c r="H2411">
        <v>8169</v>
      </c>
      <c r="I2411" t="s">
        <v>4864</v>
      </c>
      <c r="J2411" t="s">
        <v>4865</v>
      </c>
      <c r="K2411" t="s">
        <v>17</v>
      </c>
      <c r="L2411" t="str">
        <f t="shared" si="37"/>
        <v xml:space="preserve">{ longitude: -63.6191886383972, latitude: 44.6276946591986, stopType: 'Bus Stop Accessible', gotime: \'8169\', location: \'RIDGEVALLEY NS HIGHFIELD\' }, </v>
      </c>
    </row>
    <row r="2412" spans="1:12" x14ac:dyDescent="0.25">
      <c r="A2412">
        <v>-63.6512219546753</v>
      </c>
      <c r="B2412">
        <v>44.7414843008997</v>
      </c>
      <c r="C2412">
        <v>901</v>
      </c>
      <c r="D2412" t="s">
        <v>103</v>
      </c>
      <c r="E2412" t="s">
        <v>12</v>
      </c>
      <c r="F2412" t="s">
        <v>25</v>
      </c>
      <c r="G2412" t="s">
        <v>65</v>
      </c>
      <c r="H2412">
        <v>8170</v>
      </c>
      <c r="I2412" t="s">
        <v>4866</v>
      </c>
      <c r="J2412" t="s">
        <v>4867</v>
      </c>
      <c r="K2412" t="s">
        <v>17</v>
      </c>
      <c r="L2412" t="str">
        <f t="shared" si="37"/>
        <v xml:space="preserve">{ longitude: -63.6512219546753, latitude: 44.7414843008997, stopType: 'Bus Stop Inaccessible', gotime: \'8170\', location: \'RIVERVIEW CR AT CIVIC 46\' }, </v>
      </c>
    </row>
    <row r="2413" spans="1:12" x14ac:dyDescent="0.25">
      <c r="A2413">
        <v>-63.650815640557099</v>
      </c>
      <c r="B2413">
        <v>44.743362202153698</v>
      </c>
      <c r="C2413">
        <v>902</v>
      </c>
      <c r="D2413" t="s">
        <v>11</v>
      </c>
      <c r="E2413" t="s">
        <v>12</v>
      </c>
      <c r="F2413" t="s">
        <v>25</v>
      </c>
      <c r="G2413" t="s">
        <v>26</v>
      </c>
      <c r="H2413">
        <v>8173</v>
      </c>
      <c r="I2413" t="s">
        <v>742</v>
      </c>
      <c r="J2413" t="s">
        <v>4868</v>
      </c>
      <c r="K2413" t="s">
        <v>17</v>
      </c>
      <c r="L2413" t="str">
        <f t="shared" si="37"/>
        <v xml:space="preserve">{ longitude: -63.6508156405571, latitude: 44.7433622021537, stopType: 'Bus Stop Non-Standard', gotime: \'8173\', location: \' \' }, </v>
      </c>
    </row>
    <row r="2414" spans="1:12" x14ac:dyDescent="0.25">
      <c r="A2414">
        <v>-63.587269082776999</v>
      </c>
      <c r="B2414">
        <v>44.700222615037703</v>
      </c>
      <c r="C2414">
        <v>903</v>
      </c>
      <c r="D2414" t="s">
        <v>11</v>
      </c>
      <c r="E2414" t="s">
        <v>12</v>
      </c>
      <c r="F2414" t="s">
        <v>25</v>
      </c>
      <c r="G2414" t="s">
        <v>26</v>
      </c>
      <c r="H2414">
        <v>6956</v>
      </c>
      <c r="I2414" t="s">
        <v>4869</v>
      </c>
      <c r="J2414" t="s">
        <v>4870</v>
      </c>
      <c r="K2414" t="s">
        <v>17</v>
      </c>
      <c r="L2414" t="str">
        <f t="shared" si="37"/>
        <v xml:space="preserve">{ longitude: -63.587269082777, latitude: 44.7002226150377, stopType: 'Bus Stop Non-Standard', gotime: \'6956\', location: \'ILSLEY AVE NS RADDALL\' }, </v>
      </c>
    </row>
    <row r="2415" spans="1:12" x14ac:dyDescent="0.25">
      <c r="A2415">
        <v>-63.595013602286798</v>
      </c>
      <c r="B2415">
        <v>44.704478103955701</v>
      </c>
      <c r="C2415">
        <v>904</v>
      </c>
      <c r="D2415" t="s">
        <v>11</v>
      </c>
      <c r="E2415" t="s">
        <v>12</v>
      </c>
      <c r="F2415" t="s">
        <v>25</v>
      </c>
      <c r="G2415" t="s">
        <v>26</v>
      </c>
      <c r="H2415">
        <v>6957</v>
      </c>
      <c r="I2415" t="s">
        <v>4871</v>
      </c>
      <c r="J2415" t="s">
        <v>4872</v>
      </c>
      <c r="K2415" t="s">
        <v>17</v>
      </c>
      <c r="L2415" t="str">
        <f t="shared" si="37"/>
        <v xml:space="preserve">{ longitude: -63.5950136022868, latitude: 44.7044781039557, stopType: 'Bus Stop Non-Standard', gotime: \'6957\', location: \'ILSLEY AVE NS WRIGHT AVE\' }, </v>
      </c>
    </row>
    <row r="2416" spans="1:12" x14ac:dyDescent="0.25">
      <c r="A2416">
        <v>-63.584617711335099</v>
      </c>
      <c r="B2416">
        <v>44.697114498969903</v>
      </c>
      <c r="C2416">
        <v>905</v>
      </c>
      <c r="D2416" t="s">
        <v>18</v>
      </c>
      <c r="E2416" t="s">
        <v>12</v>
      </c>
      <c r="F2416" t="s">
        <v>25</v>
      </c>
      <c r="G2416" t="s">
        <v>19</v>
      </c>
      <c r="H2416">
        <v>6958</v>
      </c>
      <c r="I2416" t="s">
        <v>4873</v>
      </c>
      <c r="J2416" t="s">
        <v>4874</v>
      </c>
      <c r="K2416" t="s">
        <v>17</v>
      </c>
      <c r="L2416" t="str">
        <f t="shared" si="37"/>
        <v xml:space="preserve">{ longitude: -63.5846177113351, latitude: 44.6971144989699, stopType: 'Bus Stop Shelter Non-Standard', gotime: \'6958\', location: \'ILSLEY AVE OPP CIVIC 120\' }, </v>
      </c>
    </row>
    <row r="2417" spans="1:12" x14ac:dyDescent="0.25">
      <c r="A2417">
        <v>-63.583796116700597</v>
      </c>
      <c r="B2417">
        <v>44.695581562032103</v>
      </c>
      <c r="C2417">
        <v>906</v>
      </c>
      <c r="D2417" t="s">
        <v>18</v>
      </c>
      <c r="E2417" t="s">
        <v>12</v>
      </c>
      <c r="F2417" t="s">
        <v>13</v>
      </c>
      <c r="G2417" t="s">
        <v>19</v>
      </c>
      <c r="H2417">
        <v>6959</v>
      </c>
      <c r="I2417" t="s">
        <v>4875</v>
      </c>
      <c r="J2417" t="s">
        <v>4876</v>
      </c>
      <c r="K2417" t="s">
        <v>17</v>
      </c>
      <c r="L2417" t="str">
        <f t="shared" si="37"/>
        <v xml:space="preserve">{ longitude: -63.5837961167006, latitude: 44.6955815620321, stopType: 'Bus Stop Shelter Non-Standard', gotime: \'6959\', location: \'ILSLEY AVE OPP MACDONALD\' }, </v>
      </c>
    </row>
    <row r="2418" spans="1:12" x14ac:dyDescent="0.25">
      <c r="A2418">
        <v>-63.577945844090401</v>
      </c>
      <c r="B2418">
        <v>44.618238630468603</v>
      </c>
      <c r="C2418">
        <v>907</v>
      </c>
      <c r="D2418" t="s">
        <v>11</v>
      </c>
      <c r="E2418" t="s">
        <v>12</v>
      </c>
      <c r="F2418" t="s">
        <v>13</v>
      </c>
      <c r="G2418" t="s">
        <v>14</v>
      </c>
      <c r="H2418">
        <v>8096</v>
      </c>
      <c r="I2418" t="s">
        <v>4877</v>
      </c>
      <c r="J2418" t="s">
        <v>4878</v>
      </c>
      <c r="K2418" t="s">
        <v>17</v>
      </c>
      <c r="L2418" t="str">
        <f t="shared" si="37"/>
        <v xml:space="preserve">{ longitude: -63.5779458440904, latitude: 44.6182386304686, stopType: 'Bus Stop Non-Standard', gotime: \'8096\', location: \'PURCELLS COVE RD AT MELVIN RD\' }, </v>
      </c>
    </row>
    <row r="2419" spans="1:12" x14ac:dyDescent="0.25">
      <c r="A2419">
        <v>-63.608802013213499</v>
      </c>
      <c r="B2419">
        <v>44.630443254792802</v>
      </c>
      <c r="C2419">
        <v>908</v>
      </c>
      <c r="D2419" t="s">
        <v>29</v>
      </c>
      <c r="E2419" t="s">
        <v>12</v>
      </c>
      <c r="F2419" t="s">
        <v>13</v>
      </c>
      <c r="G2419" t="s">
        <v>14</v>
      </c>
      <c r="H2419">
        <v>8097</v>
      </c>
      <c r="I2419" t="s">
        <v>4879</v>
      </c>
      <c r="J2419" t="s">
        <v>4880</v>
      </c>
      <c r="K2419" t="s">
        <v>17</v>
      </c>
      <c r="L2419" t="str">
        <f t="shared" si="37"/>
        <v xml:space="preserve">{ longitude: -63.6088020132135, latitude: 44.6304432547928, stopType: 'Bus Stop Accessible', gotime: \'8097\', location: \'PURCELLS COVE RD NS CIVIC 142\' }, </v>
      </c>
    </row>
    <row r="2420" spans="1:12" x14ac:dyDescent="0.25">
      <c r="A2420">
        <v>-63.619043153402203</v>
      </c>
      <c r="B2420">
        <v>44.6343960461938</v>
      </c>
      <c r="C2420">
        <v>909</v>
      </c>
      <c r="D2420" t="s">
        <v>29</v>
      </c>
      <c r="E2420" t="s">
        <v>12</v>
      </c>
      <c r="F2420" t="s">
        <v>25</v>
      </c>
      <c r="G2420" t="s">
        <v>26</v>
      </c>
      <c r="H2420">
        <v>8098</v>
      </c>
      <c r="I2420" t="s">
        <v>4881</v>
      </c>
      <c r="J2420" t="s">
        <v>4882</v>
      </c>
      <c r="K2420" t="s">
        <v>17</v>
      </c>
      <c r="L2420" t="str">
        <f t="shared" si="37"/>
        <v xml:space="preserve">{ longitude: -63.6190431534022, latitude: 44.6343960461938, stopType: 'Bus Stop Accessible', gotime: \'8098\', location: \'PURCELLS COVE RD OPP CIVIC 45\' }, </v>
      </c>
    </row>
    <row r="2421" spans="1:12" x14ac:dyDescent="0.25">
      <c r="A2421">
        <v>-63.610652230701596</v>
      </c>
      <c r="B2421">
        <v>44.633204416070797</v>
      </c>
      <c r="C2421">
        <v>910</v>
      </c>
      <c r="D2421" t="s">
        <v>11</v>
      </c>
      <c r="E2421" t="s">
        <v>12</v>
      </c>
      <c r="F2421" t="s">
        <v>13</v>
      </c>
      <c r="G2421" t="s">
        <v>14</v>
      </c>
      <c r="H2421">
        <v>8099</v>
      </c>
      <c r="I2421" t="s">
        <v>4883</v>
      </c>
      <c r="J2421" t="s">
        <v>4884</v>
      </c>
      <c r="K2421" t="s">
        <v>17</v>
      </c>
      <c r="L2421" t="str">
        <f t="shared" si="37"/>
        <v xml:space="preserve">{ longitude: -63.6106522307016, latitude: 44.6332044160708, stopType: 'Bus Stop Non-Standard', gotime: \'8099\', location: \'PURCELLS COVE RD AT CIVIC 116A\' }, </v>
      </c>
    </row>
    <row r="2422" spans="1:12" x14ac:dyDescent="0.25">
      <c r="A2422">
        <v>-63.609757568554599</v>
      </c>
      <c r="B2422">
        <v>44.632506081180402</v>
      </c>
      <c r="C2422">
        <v>911</v>
      </c>
      <c r="D2422" t="s">
        <v>11</v>
      </c>
      <c r="E2422" t="s">
        <v>12</v>
      </c>
      <c r="F2422" t="s">
        <v>25</v>
      </c>
      <c r="G2422" t="s">
        <v>26</v>
      </c>
      <c r="H2422">
        <v>8100</v>
      </c>
      <c r="I2422" t="s">
        <v>4885</v>
      </c>
      <c r="J2422" t="s">
        <v>4886</v>
      </c>
      <c r="K2422" t="s">
        <v>17</v>
      </c>
      <c r="L2422" t="str">
        <f t="shared" si="37"/>
        <v xml:space="preserve">{ longitude: -63.6097575685546, latitude: 44.6325060811804, stopType: 'Bus Stop Non-Standard', gotime: \'8100\', location: \'PURCELLS COVE RD AT CIVIC 137\' }, </v>
      </c>
    </row>
    <row r="2423" spans="1:12" x14ac:dyDescent="0.25">
      <c r="A2423">
        <v>-63.618849245885798</v>
      </c>
      <c r="B2423">
        <v>44.634441349142797</v>
      </c>
      <c r="C2423">
        <v>912</v>
      </c>
      <c r="D2423" t="s">
        <v>11</v>
      </c>
      <c r="E2423" t="s">
        <v>12</v>
      </c>
      <c r="F2423" t="s">
        <v>13</v>
      </c>
      <c r="G2423" t="s">
        <v>14</v>
      </c>
      <c r="H2423">
        <v>8101</v>
      </c>
      <c r="I2423" t="s">
        <v>4887</v>
      </c>
      <c r="J2423" t="s">
        <v>4888</v>
      </c>
      <c r="K2423" t="s">
        <v>17</v>
      </c>
      <c r="L2423" t="str">
        <f t="shared" si="37"/>
        <v xml:space="preserve">{ longitude: -63.6188492458858, latitude: 44.6344413491428, stopType: 'Bus Stop Non-Standard', gotime: \'8101\', location: \'PURCELLS COVE RD AT CIVIC 46\' }, </v>
      </c>
    </row>
    <row r="2424" spans="1:12" x14ac:dyDescent="0.25">
      <c r="A2424">
        <v>-63.572835931170303</v>
      </c>
      <c r="B2424">
        <v>44.609874763776403</v>
      </c>
      <c r="C2424">
        <v>913</v>
      </c>
      <c r="D2424" t="s">
        <v>103</v>
      </c>
      <c r="E2424" t="s">
        <v>12</v>
      </c>
      <c r="F2424" t="s">
        <v>25</v>
      </c>
      <c r="G2424" t="s">
        <v>65</v>
      </c>
      <c r="H2424">
        <v>8102</v>
      </c>
      <c r="I2424" t="s">
        <v>4889</v>
      </c>
      <c r="J2424" t="s">
        <v>4890</v>
      </c>
      <c r="K2424" t="s">
        <v>17</v>
      </c>
      <c r="L2424" t="str">
        <f t="shared" si="37"/>
        <v xml:space="preserve">{ longitude: -63.5728359311703, latitude: 44.6098747637764, stopType: 'Bus Stop Inaccessible', gotime: \'8102\', location: \'PURCELLS COVE RD AT CIVIC 527\' }, </v>
      </c>
    </row>
    <row r="2425" spans="1:12" x14ac:dyDescent="0.25">
      <c r="A2425">
        <v>-63.591896987513401</v>
      </c>
      <c r="B2425">
        <v>44.6501646814663</v>
      </c>
      <c r="C2425">
        <v>914</v>
      </c>
      <c r="D2425" t="s">
        <v>22</v>
      </c>
      <c r="E2425" t="s">
        <v>12</v>
      </c>
      <c r="F2425" t="s">
        <v>13</v>
      </c>
      <c r="G2425" t="s">
        <v>19</v>
      </c>
      <c r="H2425">
        <v>8206</v>
      </c>
      <c r="I2425" t="s">
        <v>4891</v>
      </c>
      <c r="J2425" t="s">
        <v>4892</v>
      </c>
      <c r="K2425" t="s">
        <v>17</v>
      </c>
      <c r="L2425" t="str">
        <f t="shared" si="37"/>
        <v xml:space="preserve">{ longitude: -63.5918969875134, latitude: 44.6501646814663, stopType: 'Bus Stop Shelter Accessible', gotime: \'8206\', location: \'ROBIE ST NS CUNARD ST &lt;NB&gt;\' }, </v>
      </c>
    </row>
    <row r="2426" spans="1:12" x14ac:dyDescent="0.25">
      <c r="A2426">
        <v>-63.6098826589051</v>
      </c>
      <c r="B2426">
        <v>44.664730822770501</v>
      </c>
      <c r="C2426">
        <v>915</v>
      </c>
      <c r="D2426" t="s">
        <v>29</v>
      </c>
      <c r="E2426" t="s">
        <v>12</v>
      </c>
      <c r="F2426" t="s">
        <v>13</v>
      </c>
      <c r="G2426" t="s">
        <v>19</v>
      </c>
      <c r="H2426">
        <v>8207</v>
      </c>
      <c r="I2426" t="s">
        <v>4893</v>
      </c>
      <c r="J2426" t="s">
        <v>4894</v>
      </c>
      <c r="K2426" t="s">
        <v>17</v>
      </c>
      <c r="L2426" t="str">
        <f t="shared" si="37"/>
        <v xml:space="preserve">{ longitude: -63.6098826589051, latitude: 44.6647308227705, stopType: 'Bus Stop Accessible', gotime: \'8207\', location: \'ROBIE ST NS DUFFUS ST &lt;NB&gt;\' }, </v>
      </c>
    </row>
    <row r="2427" spans="1:12" x14ac:dyDescent="0.25">
      <c r="A2427">
        <v>-63.611042834878504</v>
      </c>
      <c r="B2427">
        <v>44.665416460457699</v>
      </c>
      <c r="C2427">
        <v>916</v>
      </c>
      <c r="D2427" t="s">
        <v>22</v>
      </c>
      <c r="E2427" t="s">
        <v>12</v>
      </c>
      <c r="F2427" t="s">
        <v>13</v>
      </c>
      <c r="G2427" t="s">
        <v>19</v>
      </c>
      <c r="H2427">
        <v>8208</v>
      </c>
      <c r="I2427" t="s">
        <v>4895</v>
      </c>
      <c r="J2427" t="s">
        <v>4896</v>
      </c>
      <c r="K2427" t="s">
        <v>17</v>
      </c>
      <c r="L2427" t="str">
        <f t="shared" si="37"/>
        <v xml:space="preserve">{ longitude: -63.6110428348785, latitude: 44.6654164604577, stopType: 'Bus Stop Shelter Accessible', gotime: \'8208\', location: \'ROBIE ST NS LADY HAMMOND RD &lt;SB&gt;\' }, </v>
      </c>
    </row>
    <row r="2428" spans="1:12" x14ac:dyDescent="0.25">
      <c r="A2428">
        <v>-63.604228259321602</v>
      </c>
      <c r="B2428">
        <v>44.660971964641099</v>
      </c>
      <c r="C2428">
        <v>917</v>
      </c>
      <c r="D2428" t="s">
        <v>29</v>
      </c>
      <c r="E2428" t="s">
        <v>12</v>
      </c>
      <c r="F2428" t="s">
        <v>13</v>
      </c>
      <c r="G2428" t="s">
        <v>19</v>
      </c>
      <c r="H2428">
        <v>8209</v>
      </c>
      <c r="I2428" t="s">
        <v>4897</v>
      </c>
      <c r="J2428" t="s">
        <v>4898</v>
      </c>
      <c r="K2428" t="s">
        <v>17</v>
      </c>
      <c r="L2428" t="str">
        <f t="shared" si="37"/>
        <v xml:space="preserve">{ longitude: -63.6042282593216, latitude: 44.6609719646411, stopType: 'Bus Stop Accessible', gotime: \'8209\', location: \'ROBIE ST NS LIVINGSTONE &lt;NB&gt;\' }, </v>
      </c>
    </row>
    <row r="2429" spans="1:12" x14ac:dyDescent="0.25">
      <c r="A2429">
        <v>-63.621584994234603</v>
      </c>
      <c r="B2429">
        <v>44.642502203521602</v>
      </c>
      <c r="C2429">
        <v>918</v>
      </c>
      <c r="D2429" t="s">
        <v>29</v>
      </c>
      <c r="E2429" t="s">
        <v>12</v>
      </c>
      <c r="F2429" t="s">
        <v>13</v>
      </c>
      <c r="G2429" t="s">
        <v>14</v>
      </c>
      <c r="H2429">
        <v>7008</v>
      </c>
      <c r="I2429" t="s">
        <v>4899</v>
      </c>
      <c r="J2429" t="s">
        <v>4900</v>
      </c>
      <c r="K2429" t="s">
        <v>17</v>
      </c>
      <c r="L2429" t="str">
        <f t="shared" si="37"/>
        <v xml:space="preserve">{ longitude: -63.6215849942346, latitude: 44.6425022035216, stopType: 'Bus Stop Accessible', gotime: \'7008\', location: \'JOSEPH HOWE DR OPP CLINTON AVE\' }, </v>
      </c>
    </row>
    <row r="2430" spans="1:12" x14ac:dyDescent="0.25">
      <c r="A2430">
        <v>-63.629676895576097</v>
      </c>
      <c r="B2430">
        <v>44.647558493693801</v>
      </c>
      <c r="C2430">
        <v>919</v>
      </c>
      <c r="D2430" t="s">
        <v>29</v>
      </c>
      <c r="E2430" t="s">
        <v>12</v>
      </c>
      <c r="F2430" t="s">
        <v>13</v>
      </c>
      <c r="G2430" t="s">
        <v>14</v>
      </c>
      <c r="H2430">
        <v>7009</v>
      </c>
      <c r="I2430" t="s">
        <v>4901</v>
      </c>
      <c r="J2430" t="s">
        <v>4902</v>
      </c>
      <c r="K2430" t="s">
        <v>17</v>
      </c>
      <c r="L2430" t="str">
        <f t="shared" si="37"/>
        <v xml:space="preserve">{ longitude: -63.6296768955761, latitude: 44.6475584936938, stopType: 'Bus Stop Accessible', gotime: \'7009\', location: \'JOSEPH HOWE DR NS SPRINGVALE AVE\' }, </v>
      </c>
    </row>
    <row r="2431" spans="1:12" x14ac:dyDescent="0.25">
      <c r="A2431">
        <v>-63.625128022087502</v>
      </c>
      <c r="B2431">
        <v>44.644246288500902</v>
      </c>
      <c r="C2431">
        <v>920</v>
      </c>
      <c r="D2431" t="s">
        <v>29</v>
      </c>
      <c r="E2431" t="s">
        <v>12</v>
      </c>
      <c r="F2431" t="s">
        <v>13</v>
      </c>
      <c r="G2431" t="s">
        <v>19</v>
      </c>
      <c r="H2431">
        <v>7010</v>
      </c>
      <c r="I2431" t="s">
        <v>4903</v>
      </c>
      <c r="J2431" t="s">
        <v>4904</v>
      </c>
      <c r="K2431" t="s">
        <v>17</v>
      </c>
      <c r="L2431" t="str">
        <f t="shared" si="37"/>
        <v xml:space="preserve">{ longitude: -63.6251280220875, latitude: 44.6442462885009, stopType: 'Bus Stop Accessible', gotime: \'7010\', location: \'JOSEPH HOWE DR OPP CIVIC 2885\' }, </v>
      </c>
    </row>
    <row r="2432" spans="1:12" x14ac:dyDescent="0.25">
      <c r="A2432">
        <v>-63.629433136034201</v>
      </c>
      <c r="B2432">
        <v>44.647647173469799</v>
      </c>
      <c r="C2432">
        <v>921</v>
      </c>
      <c r="D2432" t="s">
        <v>22</v>
      </c>
      <c r="E2432" t="s">
        <v>12</v>
      </c>
      <c r="F2432" t="s">
        <v>13</v>
      </c>
      <c r="G2432" t="s">
        <v>19</v>
      </c>
      <c r="H2432">
        <v>7011</v>
      </c>
      <c r="I2432" t="s">
        <v>4905</v>
      </c>
      <c r="J2432" t="s">
        <v>4906</v>
      </c>
      <c r="K2432" t="s">
        <v>17</v>
      </c>
      <c r="L2432" t="str">
        <f t="shared" si="37"/>
        <v xml:space="preserve">{ longitude: -63.6294331360342, latitude: 44.6476471734698, stopType: 'Bus Stop Shelter Accessible', gotime: \'7011\', location: \'JOSEPH HOWE DR FS MURDOCK AVE\' }, </v>
      </c>
    </row>
    <row r="2433" spans="1:12" x14ac:dyDescent="0.25">
      <c r="A2433">
        <v>-63.493106156903899</v>
      </c>
      <c r="B2433">
        <v>44.695363334664002</v>
      </c>
      <c r="C2433">
        <v>922</v>
      </c>
      <c r="D2433" t="s">
        <v>103</v>
      </c>
      <c r="E2433" t="s">
        <v>12</v>
      </c>
      <c r="F2433" t="s">
        <v>25</v>
      </c>
      <c r="G2433" t="s">
        <v>65</v>
      </c>
      <c r="H2433">
        <v>7012</v>
      </c>
      <c r="I2433" t="s">
        <v>4907</v>
      </c>
      <c r="J2433" t="s">
        <v>4908</v>
      </c>
      <c r="K2433" t="s">
        <v>17</v>
      </c>
      <c r="L2433" t="str">
        <f t="shared" si="37"/>
        <v xml:space="preserve">{ longitude: -63.4931061569039, latitude: 44.695363334664, stopType: 'Bus Stop Inaccessible', gotime: \'7012\', location: \'KAREN DR FS HILLSBORO DR\' }, </v>
      </c>
    </row>
    <row r="2434" spans="1:12" x14ac:dyDescent="0.25">
      <c r="A2434">
        <v>-63.493055426897399</v>
      </c>
      <c r="B2434">
        <v>44.695240041532998</v>
      </c>
      <c r="C2434">
        <v>923</v>
      </c>
      <c r="D2434" t="s">
        <v>29</v>
      </c>
      <c r="E2434" t="s">
        <v>12</v>
      </c>
      <c r="F2434" t="s">
        <v>13</v>
      </c>
      <c r="G2434" t="s">
        <v>14</v>
      </c>
      <c r="H2434">
        <v>7013</v>
      </c>
      <c r="I2434" t="s">
        <v>4909</v>
      </c>
      <c r="J2434" t="s">
        <v>4910</v>
      </c>
      <c r="K2434" t="s">
        <v>17</v>
      </c>
      <c r="L2434" t="str">
        <f t="shared" si="37"/>
        <v xml:space="preserve">{ longitude: -63.4930554268974, latitude: 44.695240041533, stopType: 'Bus Stop Accessible', gotime: \'7013\', location: \'KAREN DR NS HILLSBORO DR\' }, </v>
      </c>
    </row>
    <row r="2435" spans="1:12" x14ac:dyDescent="0.25">
      <c r="A2435">
        <v>-63.672990111617601</v>
      </c>
      <c r="B2435">
        <v>44.683680183049901</v>
      </c>
      <c r="C2435">
        <v>924</v>
      </c>
      <c r="D2435" t="s">
        <v>11</v>
      </c>
      <c r="E2435" t="s">
        <v>12</v>
      </c>
      <c r="F2435" t="s">
        <v>13</v>
      </c>
      <c r="G2435" t="s">
        <v>19</v>
      </c>
      <c r="H2435">
        <v>7015</v>
      </c>
      <c r="I2435" t="s">
        <v>4911</v>
      </c>
      <c r="J2435" s="1" t="s">
        <v>4912</v>
      </c>
      <c r="K2435" t="s">
        <v>17</v>
      </c>
      <c r="L2435" t="str">
        <f t="shared" ref="L2435:L2498" si="38">CONCATENATE( "{ longitude: ", A2435, ", latitude: ", B2435, ", stopType: '", D2435, "', gotime: \'", H2435, "\', location: \'", I2435, "\' }, ")</f>
        <v xml:space="preserve">{ longitude: -63.6729901116176, latitude: 44.6836801830499, stopType: 'Bus Stop Non-Standard', gotime: \'7015\', location: \'KEARNEY LAKE RD FS BROADHOLME LANE\' }, </v>
      </c>
    </row>
    <row r="2436" spans="1:12" x14ac:dyDescent="0.25">
      <c r="A2436">
        <v>-63.673730904593299</v>
      </c>
      <c r="B2436">
        <v>44.684067223246501</v>
      </c>
      <c r="C2436">
        <v>925</v>
      </c>
      <c r="D2436" t="s">
        <v>11</v>
      </c>
      <c r="E2436" t="s">
        <v>12</v>
      </c>
      <c r="F2436" t="s">
        <v>13</v>
      </c>
      <c r="G2436" t="s">
        <v>14</v>
      </c>
      <c r="H2436">
        <v>7016</v>
      </c>
      <c r="I2436" t="s">
        <v>4913</v>
      </c>
      <c r="J2436" t="s">
        <v>4914</v>
      </c>
      <c r="K2436" t="s">
        <v>17</v>
      </c>
      <c r="L2436" t="str">
        <f t="shared" si="38"/>
        <v xml:space="preserve">{ longitude: -63.6737309045933, latitude: 44.6840672232465, stopType: 'Bus Stop Non-Standard', gotime: \'7016\', location: \'KEARNEY LAKE RD FS CASTLE HILL DR\' }, </v>
      </c>
    </row>
    <row r="2437" spans="1:12" x14ac:dyDescent="0.25">
      <c r="A2437">
        <v>-63.6957837707698</v>
      </c>
      <c r="B2437">
        <v>44.6968624899365</v>
      </c>
      <c r="C2437">
        <v>926</v>
      </c>
      <c r="D2437" t="s">
        <v>103</v>
      </c>
      <c r="E2437" t="s">
        <v>12</v>
      </c>
      <c r="F2437" t="s">
        <v>25</v>
      </c>
      <c r="G2437" t="s">
        <v>65</v>
      </c>
      <c r="H2437">
        <v>7017</v>
      </c>
      <c r="I2437" t="s">
        <v>4915</v>
      </c>
      <c r="J2437" t="s">
        <v>4916</v>
      </c>
      <c r="K2437" t="s">
        <v>17</v>
      </c>
      <c r="L2437" t="str">
        <f t="shared" si="38"/>
        <v xml:space="preserve">{ longitude: -63.6957837707698, latitude: 44.6968624899365, stopType: 'Bus Stop Inaccessible', gotime: \'7017\', location: \'KEARNEY LAKE RD FS CIVIC 377 [OB]\' }, </v>
      </c>
    </row>
    <row r="2438" spans="1:12" x14ac:dyDescent="0.25">
      <c r="A2438">
        <v>-63.7287776990404</v>
      </c>
      <c r="B2438">
        <v>44.721677193108903</v>
      </c>
      <c r="C2438">
        <v>927</v>
      </c>
      <c r="D2438" t="s">
        <v>103</v>
      </c>
      <c r="E2438" t="s">
        <v>12</v>
      </c>
      <c r="F2438" t="s">
        <v>25</v>
      </c>
      <c r="G2438" t="s">
        <v>65</v>
      </c>
      <c r="H2438">
        <v>7018</v>
      </c>
      <c r="I2438" t="s">
        <v>4917</v>
      </c>
      <c r="J2438" t="s">
        <v>4918</v>
      </c>
      <c r="K2438" t="s">
        <v>17</v>
      </c>
      <c r="L2438" t="str">
        <f t="shared" si="38"/>
        <v xml:space="preserve">{ longitude: -63.7287776990404, latitude: 44.7216771931089, stopType: 'Bus Stop Inaccessible', gotime: \'7018\', location: \'KEARNEY LAKE RD [OB] FS FRASER CONSTRUCTION\' }, </v>
      </c>
    </row>
    <row r="2439" spans="1:12" x14ac:dyDescent="0.25">
      <c r="A2439">
        <v>-63.66813907353</v>
      </c>
      <c r="B2439">
        <v>44.681934553770297</v>
      </c>
      <c r="C2439">
        <v>928</v>
      </c>
      <c r="D2439" t="s">
        <v>29</v>
      </c>
      <c r="E2439" t="s">
        <v>12</v>
      </c>
      <c r="F2439" t="s">
        <v>13</v>
      </c>
      <c r="G2439" t="s">
        <v>14</v>
      </c>
      <c r="H2439">
        <v>7019</v>
      </c>
      <c r="I2439" t="s">
        <v>4919</v>
      </c>
      <c r="J2439" t="s">
        <v>4920</v>
      </c>
      <c r="K2439" t="s">
        <v>17</v>
      </c>
      <c r="L2439" t="str">
        <f t="shared" si="38"/>
        <v xml:space="preserve">{ longitude: -63.66813907353, latitude: 44.6819345537703, stopType: 'Bus Stop Accessible', gotime: \'7019\', location: \'KEARNEY LAKE RD FS GROSVENOR RD\' }, </v>
      </c>
    </row>
    <row r="2440" spans="1:12" x14ac:dyDescent="0.25">
      <c r="A2440">
        <v>-63.680733639055099</v>
      </c>
      <c r="B2440">
        <v>44.686819839104501</v>
      </c>
      <c r="C2440">
        <v>929</v>
      </c>
      <c r="D2440" t="s">
        <v>11</v>
      </c>
      <c r="E2440" t="s">
        <v>12</v>
      </c>
      <c r="F2440" t="s">
        <v>25</v>
      </c>
      <c r="G2440" t="s">
        <v>26</v>
      </c>
      <c r="H2440">
        <v>7020</v>
      </c>
      <c r="I2440" t="s">
        <v>4921</v>
      </c>
      <c r="J2440" t="s">
        <v>4922</v>
      </c>
      <c r="K2440" t="s">
        <v>17</v>
      </c>
      <c r="L2440" t="str">
        <f t="shared" si="38"/>
        <v xml:space="preserve">{ longitude: -63.6807336390551, latitude: 44.6868198391045, stopType: 'Bus Stop Non-Standard', gotime: \'7020\', location: \'KEARNEY LAKE RD FS HAMSHAW DR\' }, </v>
      </c>
    </row>
    <row r="2441" spans="1:12" x14ac:dyDescent="0.25">
      <c r="A2441">
        <v>-63.683524099107601</v>
      </c>
      <c r="B2441">
        <v>44.688326395821399</v>
      </c>
      <c r="C2441">
        <v>930</v>
      </c>
      <c r="D2441" t="s">
        <v>11</v>
      </c>
      <c r="E2441" t="s">
        <v>12</v>
      </c>
      <c r="F2441" t="s">
        <v>13</v>
      </c>
      <c r="G2441" t="s">
        <v>14</v>
      </c>
      <c r="H2441">
        <v>7021</v>
      </c>
      <c r="I2441" t="s">
        <v>4923</v>
      </c>
      <c r="J2441" t="s">
        <v>4924</v>
      </c>
      <c r="K2441" t="s">
        <v>17</v>
      </c>
      <c r="L2441" t="str">
        <f t="shared" si="38"/>
        <v xml:space="preserve">{ longitude: -63.6835240991076, latitude: 44.6883263958214, stopType: 'Bus Stop Non-Standard', gotime: \'7021\', location: \'KEARNEY LAKE RD FS LAFARGE [OB]\' }, </v>
      </c>
    </row>
    <row r="2442" spans="1:12" x14ac:dyDescent="0.25">
      <c r="A2442">
        <v>-63.582096962586498</v>
      </c>
      <c r="B2442">
        <v>44.638855153279799</v>
      </c>
      <c r="C2442">
        <v>931</v>
      </c>
      <c r="D2442" t="s">
        <v>29</v>
      </c>
      <c r="E2442" t="s">
        <v>12</v>
      </c>
      <c r="F2442" t="s">
        <v>13</v>
      </c>
      <c r="G2442" t="s">
        <v>19</v>
      </c>
      <c r="H2442">
        <v>8411</v>
      </c>
      <c r="I2442" t="s">
        <v>4925</v>
      </c>
      <c r="J2442" s="1" t="s">
        <v>4926</v>
      </c>
      <c r="K2442" t="s">
        <v>17</v>
      </c>
      <c r="L2442" t="str">
        <f t="shared" si="38"/>
        <v xml:space="preserve">{ longitude: -63.5820969625865, latitude: 44.6388551532798, stopType: 'Bus Stop Accessible', gotime: \'8411\', location: \'UNIVERSITY AVE OPP SUMMER ST\' }, </v>
      </c>
    </row>
    <row r="2443" spans="1:12" x14ac:dyDescent="0.25">
      <c r="A2443">
        <v>-63.5747892654257</v>
      </c>
      <c r="B2443">
        <v>44.651091674961101</v>
      </c>
      <c r="C2443">
        <v>932</v>
      </c>
      <c r="D2443" t="s">
        <v>22</v>
      </c>
      <c r="E2443" t="s">
        <v>12</v>
      </c>
      <c r="F2443" t="s">
        <v>25</v>
      </c>
      <c r="G2443" t="s">
        <v>26</v>
      </c>
      <c r="H2443">
        <v>8412</v>
      </c>
      <c r="I2443" t="s">
        <v>4927</v>
      </c>
      <c r="J2443" t="s">
        <v>4928</v>
      </c>
      <c r="K2443" t="s">
        <v>17</v>
      </c>
      <c r="L2443" t="str">
        <f t="shared" si="38"/>
        <v xml:space="preserve">{ longitude: -63.5747892654257, latitude: 44.6510916749611, stopType: 'Bus Stop Shelter Accessible', gotime: \'8412\', location: \'UPPER WATER ST AT PURDYS TOWER\' }, </v>
      </c>
    </row>
    <row r="2444" spans="1:12" x14ac:dyDescent="0.25">
      <c r="A2444">
        <v>-63.538433058516297</v>
      </c>
      <c r="B2444">
        <v>44.6706447882814</v>
      </c>
      <c r="C2444">
        <v>933</v>
      </c>
      <c r="D2444" t="s">
        <v>22</v>
      </c>
      <c r="E2444" t="s">
        <v>12</v>
      </c>
      <c r="F2444" t="s">
        <v>25</v>
      </c>
      <c r="G2444" t="s">
        <v>19</v>
      </c>
      <c r="H2444">
        <v>8645</v>
      </c>
      <c r="I2444" t="s">
        <v>4929</v>
      </c>
      <c r="J2444" t="s">
        <v>4930</v>
      </c>
      <c r="K2444" t="s">
        <v>17</v>
      </c>
      <c r="L2444" t="str">
        <f t="shared" si="38"/>
        <v xml:space="preserve">{ longitude: -63.5384330585163, latitude: 44.6706447882814, stopType: 'Bus Stop Shelter Accessible', gotime: \'8645\', location: \'PENHORN TERMINAL &lt;WB&gt; Outbound\' }, </v>
      </c>
    </row>
    <row r="2445" spans="1:12" x14ac:dyDescent="0.25">
      <c r="A2445">
        <v>-63.663387893187597</v>
      </c>
      <c r="B2445">
        <v>44.754218538376101</v>
      </c>
      <c r="C2445">
        <v>934</v>
      </c>
      <c r="D2445" t="s">
        <v>22</v>
      </c>
      <c r="E2445" t="s">
        <v>12</v>
      </c>
      <c r="F2445" t="s">
        <v>25</v>
      </c>
      <c r="G2445" t="s">
        <v>19</v>
      </c>
      <c r="H2445">
        <v>8646</v>
      </c>
      <c r="I2445" t="s">
        <v>4931</v>
      </c>
      <c r="J2445" t="s">
        <v>4932</v>
      </c>
      <c r="K2445" t="s">
        <v>17</v>
      </c>
      <c r="L2445" t="str">
        <f t="shared" si="38"/>
        <v xml:space="preserve">{ longitude: -63.6633878931876, latitude: 44.7542185383761, stopType: 'Bus Stop Shelter Accessible', gotime: \'8646\', location: \'COBEQUID TERMINAL TO DOWNTOWN (INSIDE)\' }, </v>
      </c>
    </row>
    <row r="2446" spans="1:12" x14ac:dyDescent="0.25">
      <c r="A2446">
        <v>-63.654453757604102</v>
      </c>
      <c r="B2446">
        <v>44.662653002672201</v>
      </c>
      <c r="C2446">
        <v>935</v>
      </c>
      <c r="D2446" t="s">
        <v>29</v>
      </c>
      <c r="E2446" t="s">
        <v>12</v>
      </c>
      <c r="F2446" t="s">
        <v>25</v>
      </c>
      <c r="G2446" t="s">
        <v>19</v>
      </c>
      <c r="H2446">
        <v>8647</v>
      </c>
      <c r="I2446" t="s">
        <v>448</v>
      </c>
      <c r="J2446" t="s">
        <v>4933</v>
      </c>
      <c r="K2446" t="s">
        <v>17</v>
      </c>
      <c r="L2446" t="str">
        <f t="shared" si="38"/>
        <v xml:space="preserve">{ longitude: -63.6544537576041, latitude: 44.6626530026722, stopType: 'Bus Stop Accessible', gotime: \'8647\', location: \'DUNBRACK ST FS LACEWOOD DR\' }, </v>
      </c>
    </row>
    <row r="2447" spans="1:12" x14ac:dyDescent="0.25">
      <c r="A2447">
        <v>-63.652442536273597</v>
      </c>
      <c r="B2447">
        <v>44.673029105688101</v>
      </c>
      <c r="C2447">
        <v>936</v>
      </c>
      <c r="D2447" t="s">
        <v>103</v>
      </c>
      <c r="E2447" t="s">
        <v>12</v>
      </c>
      <c r="F2447" t="s">
        <v>13</v>
      </c>
      <c r="G2447" t="s">
        <v>65</v>
      </c>
      <c r="H2447">
        <v>8415</v>
      </c>
      <c r="I2447" t="s">
        <v>4934</v>
      </c>
      <c r="J2447" t="s">
        <v>4935</v>
      </c>
      <c r="K2447" t="s">
        <v>17</v>
      </c>
      <c r="L2447" t="str">
        <f t="shared" si="38"/>
        <v xml:space="preserve">{ longitude: -63.6524425362736, latitude: 44.6730291056881, stopType: 'Bus Stop Inaccessible', gotime: \'8415\', location: \'FLAMINGO DR FS ORIOLE ST\' }, </v>
      </c>
    </row>
    <row r="2448" spans="1:12" x14ac:dyDescent="0.25">
      <c r="A2448">
        <v>-63.534820937308197</v>
      </c>
      <c r="B2448">
        <v>44.679407499801201</v>
      </c>
      <c r="C2448">
        <v>937</v>
      </c>
      <c r="D2448" t="s">
        <v>29</v>
      </c>
      <c r="E2448" t="s">
        <v>12</v>
      </c>
      <c r="F2448" t="s">
        <v>13</v>
      </c>
      <c r="G2448" t="s">
        <v>14</v>
      </c>
      <c r="H2448">
        <v>8416</v>
      </c>
      <c r="I2448" t="s">
        <v>4936</v>
      </c>
      <c r="J2448" t="s">
        <v>4937</v>
      </c>
      <c r="K2448" t="s">
        <v>17</v>
      </c>
      <c r="L2448" t="str">
        <f t="shared" si="38"/>
        <v xml:space="preserve">{ longitude: -63.5348209373082, latitude: 44.6794074998012, stopType: 'Bus Stop Accessible', gotime: \'8416\', location: \'VALLEYFIELD RD AT CIVIC 2\' }, </v>
      </c>
    </row>
    <row r="2449" spans="1:12" x14ac:dyDescent="0.25">
      <c r="A2449">
        <v>-63.607925447179802</v>
      </c>
      <c r="B2449">
        <v>44.668868031773101</v>
      </c>
      <c r="C2449">
        <v>938</v>
      </c>
      <c r="D2449" t="s">
        <v>29</v>
      </c>
      <c r="E2449" t="s">
        <v>12</v>
      </c>
      <c r="F2449" t="s">
        <v>13</v>
      </c>
      <c r="G2449" t="s">
        <v>19</v>
      </c>
      <c r="H2449">
        <v>8417</v>
      </c>
      <c r="I2449" t="s">
        <v>4938</v>
      </c>
      <c r="J2449" t="s">
        <v>4939</v>
      </c>
      <c r="K2449" t="s">
        <v>17</v>
      </c>
      <c r="L2449" t="str">
        <f t="shared" si="38"/>
        <v xml:space="preserve">{ longitude: -63.6079254471798, latitude: 44.6688680317731, stopType: 'Bus Stop Accessible', gotime: \'8417\', location: \'VESTRY ST AT NOVALEA DR\' }, </v>
      </c>
    </row>
    <row r="2450" spans="1:12" x14ac:dyDescent="0.25">
      <c r="A2450">
        <v>-63.584670217288199</v>
      </c>
      <c r="B2450">
        <v>44.679900279064697</v>
      </c>
      <c r="C2450">
        <v>939</v>
      </c>
      <c r="D2450" t="s">
        <v>29</v>
      </c>
      <c r="E2450" t="s">
        <v>12</v>
      </c>
      <c r="F2450" t="s">
        <v>13</v>
      </c>
      <c r="G2450" t="s">
        <v>19</v>
      </c>
      <c r="H2450">
        <v>8418</v>
      </c>
      <c r="I2450" t="s">
        <v>4940</v>
      </c>
      <c r="J2450" t="s">
        <v>4941</v>
      </c>
      <c r="K2450" t="s">
        <v>17</v>
      </c>
      <c r="L2450" t="str">
        <f t="shared" si="38"/>
        <v xml:space="preserve">{ longitude: -63.5846702172882, latitude: 44.6799002790647, stopType: 'Bus Stop Accessible', gotime: \'8418\', location: \'VICTORIA RD FS ALBRO LAKE RD\' }, </v>
      </c>
    </row>
    <row r="2451" spans="1:12" x14ac:dyDescent="0.25">
      <c r="A2451">
        <v>-63.577369462058897</v>
      </c>
      <c r="B2451">
        <v>44.6751715719506</v>
      </c>
      <c r="C2451">
        <v>940</v>
      </c>
      <c r="D2451" t="s">
        <v>22</v>
      </c>
      <c r="E2451" t="s">
        <v>12</v>
      </c>
      <c r="F2451" t="s">
        <v>13</v>
      </c>
      <c r="G2451" t="s">
        <v>19</v>
      </c>
      <c r="H2451">
        <v>8419</v>
      </c>
      <c r="I2451" t="s">
        <v>4942</v>
      </c>
      <c r="J2451" t="s">
        <v>4943</v>
      </c>
      <c r="K2451" t="s">
        <v>17</v>
      </c>
      <c r="L2451" t="str">
        <f t="shared" si="38"/>
        <v xml:space="preserve">{ longitude: -63.5773694620589, latitude: 44.6751715719506, stopType: 'Bus Stop Shelter Accessible', gotime: \'8419\', location: \'VICTORIA RD NS BOLAND RD\' }, </v>
      </c>
    </row>
    <row r="2452" spans="1:12" x14ac:dyDescent="0.25">
      <c r="A2452">
        <v>-63.583538023400401</v>
      </c>
      <c r="B2452">
        <v>44.679097513295197</v>
      </c>
      <c r="C2452">
        <v>941</v>
      </c>
      <c r="D2452" t="s">
        <v>29</v>
      </c>
      <c r="E2452" t="s">
        <v>12</v>
      </c>
      <c r="F2452" t="s">
        <v>13</v>
      </c>
      <c r="G2452" t="s">
        <v>19</v>
      </c>
      <c r="H2452">
        <v>8420</v>
      </c>
      <c r="I2452" t="s">
        <v>4944</v>
      </c>
      <c r="J2452" t="s">
        <v>4945</v>
      </c>
      <c r="K2452" t="s">
        <v>17</v>
      </c>
      <c r="L2452" t="str">
        <f t="shared" si="38"/>
        <v xml:space="preserve">{ longitude: -63.5835380234004, latitude: 44.6790975132952, stopType: 'Bus Stop Accessible', gotime: \'8420\', location: \'VICTORIA RD FS CHAPPELL ST\' }, </v>
      </c>
    </row>
    <row r="2453" spans="1:12" x14ac:dyDescent="0.25">
      <c r="A2453">
        <v>-63.583744643655201</v>
      </c>
      <c r="B2453">
        <v>44.678865088474602</v>
      </c>
      <c r="C2453">
        <v>942</v>
      </c>
      <c r="D2453" t="s">
        <v>29</v>
      </c>
      <c r="E2453" t="s">
        <v>12</v>
      </c>
      <c r="F2453" t="s">
        <v>25</v>
      </c>
      <c r="G2453" t="s">
        <v>19</v>
      </c>
      <c r="H2453">
        <v>8421</v>
      </c>
      <c r="I2453" t="s">
        <v>4944</v>
      </c>
      <c r="J2453" t="s">
        <v>4946</v>
      </c>
      <c r="K2453" t="s">
        <v>17</v>
      </c>
      <c r="L2453" t="str">
        <f t="shared" si="38"/>
        <v xml:space="preserve">{ longitude: -63.5837446436552, latitude: 44.6788650884746, stopType: 'Bus Stop Accessible', gotime: \'8421\', location: \'VICTORIA RD FS CHAPPELL ST\' }, </v>
      </c>
    </row>
    <row r="2454" spans="1:12" x14ac:dyDescent="0.25">
      <c r="A2454">
        <v>-63.5862384682531</v>
      </c>
      <c r="B2454">
        <v>44.680433201921602</v>
      </c>
      <c r="C2454">
        <v>943</v>
      </c>
      <c r="D2454" t="s">
        <v>22</v>
      </c>
      <c r="E2454" t="s">
        <v>12</v>
      </c>
      <c r="F2454" t="s">
        <v>13</v>
      </c>
      <c r="G2454" t="s">
        <v>19</v>
      </c>
      <c r="H2454">
        <v>8422</v>
      </c>
      <c r="I2454" t="s">
        <v>4947</v>
      </c>
      <c r="J2454" t="s">
        <v>4948</v>
      </c>
      <c r="K2454" t="s">
        <v>17</v>
      </c>
      <c r="L2454" t="str">
        <f t="shared" si="38"/>
        <v xml:space="preserve">{ longitude: -63.5862384682531, latitude: 44.6804332019216, stopType: 'Bus Stop Shelter Accessible', gotime: \'8422\', location: \'VICTORIA RD &lt;SB&gt; FS FARRELL\' }, </v>
      </c>
    </row>
    <row r="2455" spans="1:12" x14ac:dyDescent="0.25">
      <c r="A2455">
        <v>-63.578849157635403</v>
      </c>
      <c r="B2455">
        <v>44.676130828251097</v>
      </c>
      <c r="C2455">
        <v>944</v>
      </c>
      <c r="D2455" t="s">
        <v>29</v>
      </c>
      <c r="E2455" t="s">
        <v>12</v>
      </c>
      <c r="F2455" t="s">
        <v>13</v>
      </c>
      <c r="G2455" t="s">
        <v>19</v>
      </c>
      <c r="H2455">
        <v>8424</v>
      </c>
      <c r="I2455" t="s">
        <v>4949</v>
      </c>
      <c r="J2455" t="s">
        <v>4950</v>
      </c>
      <c r="K2455" t="s">
        <v>17</v>
      </c>
      <c r="L2455" t="str">
        <f t="shared" si="38"/>
        <v xml:space="preserve">{ longitude: -63.5788491576354, latitude: 44.6761308282511, stopType: 'Bus Stop Accessible', gotime: \'8424\', location: \'VICTORIA RD NS FRANCES ST\' }, </v>
      </c>
    </row>
    <row r="2456" spans="1:12" x14ac:dyDescent="0.25">
      <c r="A2456">
        <v>-63.600277763223403</v>
      </c>
      <c r="B2456">
        <v>44.644170209782203</v>
      </c>
      <c r="C2456">
        <v>945</v>
      </c>
      <c r="D2456" t="s">
        <v>22</v>
      </c>
      <c r="E2456" t="s">
        <v>12</v>
      </c>
      <c r="F2456" t="s">
        <v>13</v>
      </c>
      <c r="G2456" t="s">
        <v>19</v>
      </c>
      <c r="H2456">
        <v>7412</v>
      </c>
      <c r="I2456" t="s">
        <v>4951</v>
      </c>
      <c r="J2456" t="s">
        <v>4952</v>
      </c>
      <c r="K2456" t="s">
        <v>17</v>
      </c>
      <c r="L2456" t="str">
        <f t="shared" si="38"/>
        <v xml:space="preserve">{ longitude: -63.6002777632234, latitude: 44.6441702097822, stopType: 'Bus Stop Shelter Accessible', gotime: \'7412\', location: \'OXFORD ST FS QUINPOOL RD &lt;SB&gt;\' }, </v>
      </c>
    </row>
    <row r="2457" spans="1:12" x14ac:dyDescent="0.25">
      <c r="A2457">
        <v>-63.609999818316801</v>
      </c>
      <c r="B2457">
        <v>44.654584424416001</v>
      </c>
      <c r="C2457">
        <v>946</v>
      </c>
      <c r="D2457" t="s">
        <v>29</v>
      </c>
      <c r="E2457" t="s">
        <v>12</v>
      </c>
      <c r="F2457" t="s">
        <v>25</v>
      </c>
      <c r="G2457" t="s">
        <v>19</v>
      </c>
      <c r="H2457">
        <v>7413</v>
      </c>
      <c r="I2457" t="s">
        <v>4953</v>
      </c>
      <c r="J2457" t="s">
        <v>4954</v>
      </c>
      <c r="K2457" t="s">
        <v>17</v>
      </c>
      <c r="L2457" t="str">
        <f t="shared" si="38"/>
        <v xml:space="preserve">{ longitude: -63.6099998183168, latitude: 44.654584424416, stopType: 'Bus Stop Accessible', gotime: \'7413\', location: \'OXFORD ST FS YOUNG ST &lt;NB&gt;\' }, </v>
      </c>
    </row>
    <row r="2458" spans="1:12" x14ac:dyDescent="0.25">
      <c r="A2458">
        <v>-63.596169089166999</v>
      </c>
      <c r="B2458">
        <v>44.636110409993897</v>
      </c>
      <c r="C2458">
        <v>947</v>
      </c>
      <c r="D2458" t="s">
        <v>29</v>
      </c>
      <c r="E2458" t="s">
        <v>12</v>
      </c>
      <c r="F2458" t="s">
        <v>13</v>
      </c>
      <c r="G2458" t="s">
        <v>19</v>
      </c>
      <c r="H2458">
        <v>7414</v>
      </c>
      <c r="I2458" t="s">
        <v>4955</v>
      </c>
      <c r="J2458" t="s">
        <v>4956</v>
      </c>
      <c r="K2458" t="s">
        <v>17</v>
      </c>
      <c r="L2458" t="str">
        <f t="shared" si="38"/>
        <v xml:space="preserve">{ longitude: -63.596169089167, latitude: 44.6361104099939, stopType: 'Bus Stop Accessible', gotime: \'7414\', location: \'OXFORD ST AT ARMBRAE ACADEMY\' }, </v>
      </c>
    </row>
    <row r="2459" spans="1:12" x14ac:dyDescent="0.25">
      <c r="A2459">
        <v>-63.596109766538603</v>
      </c>
      <c r="B2459">
        <v>44.636407923479602</v>
      </c>
      <c r="C2459">
        <v>948</v>
      </c>
      <c r="D2459" t="s">
        <v>29</v>
      </c>
      <c r="E2459" t="s">
        <v>12</v>
      </c>
      <c r="F2459" t="s">
        <v>13</v>
      </c>
      <c r="G2459" t="s">
        <v>14</v>
      </c>
      <c r="H2459">
        <v>7415</v>
      </c>
      <c r="I2459" t="s">
        <v>4957</v>
      </c>
      <c r="J2459" t="s">
        <v>4958</v>
      </c>
      <c r="K2459" t="s">
        <v>17</v>
      </c>
      <c r="L2459" t="str">
        <f t="shared" si="38"/>
        <v xml:space="preserve">{ longitude: -63.5961097665386, latitude: 44.6364079234796, stopType: 'Bus Stop Accessible', gotime: \'7415\', location: \'OXFORD ST NB AT CIVIC 1411\' }, </v>
      </c>
    </row>
    <row r="2460" spans="1:12" x14ac:dyDescent="0.25">
      <c r="A2460">
        <v>-63.608556841596602</v>
      </c>
      <c r="B2460">
        <v>44.653304203386703</v>
      </c>
      <c r="C2460">
        <v>949</v>
      </c>
      <c r="D2460" t="s">
        <v>29</v>
      </c>
      <c r="E2460" t="s">
        <v>12</v>
      </c>
      <c r="F2460" t="s">
        <v>25</v>
      </c>
      <c r="G2460" t="s">
        <v>19</v>
      </c>
      <c r="H2460">
        <v>7416</v>
      </c>
      <c r="I2460" t="s">
        <v>4959</v>
      </c>
      <c r="J2460" t="s">
        <v>4960</v>
      </c>
      <c r="K2460" t="s">
        <v>17</v>
      </c>
      <c r="L2460" t="str">
        <f t="shared" si="38"/>
        <v xml:space="preserve">{ longitude: -63.6085568415966, latitude: 44.6533042033867, stopType: 'Bus Stop Accessible', gotime: \'7416\', location: \'OXFORD ST NS LIVERPOOL &lt;SB&gt;\' }, </v>
      </c>
    </row>
    <row r="2461" spans="1:12" x14ac:dyDescent="0.25">
      <c r="A2461">
        <v>-63.608167549310103</v>
      </c>
      <c r="B2461">
        <v>44.653202166554699</v>
      </c>
      <c r="C2461">
        <v>950</v>
      </c>
      <c r="D2461" t="s">
        <v>29</v>
      </c>
      <c r="E2461" t="s">
        <v>12</v>
      </c>
      <c r="F2461" t="s">
        <v>25</v>
      </c>
      <c r="G2461" t="s">
        <v>19</v>
      </c>
      <c r="H2461">
        <v>7417</v>
      </c>
      <c r="I2461" t="s">
        <v>4961</v>
      </c>
      <c r="J2461" t="s">
        <v>4962</v>
      </c>
      <c r="K2461" t="s">
        <v>17</v>
      </c>
      <c r="L2461" t="str">
        <f t="shared" si="38"/>
        <v xml:space="preserve">{ longitude: -63.6081675493101, latitude: 44.6532021665547, stopType: 'Bus Stop Accessible', gotime: \'7417\', location: \'OXFORD ST NS LIVERPOOL &lt;NB&gt;\' }, </v>
      </c>
    </row>
    <row r="2462" spans="1:12" x14ac:dyDescent="0.25">
      <c r="A2462">
        <v>-63.602921993472897</v>
      </c>
      <c r="B2462">
        <v>44.649147186309797</v>
      </c>
      <c r="C2462">
        <v>951</v>
      </c>
      <c r="D2462" t="s">
        <v>22</v>
      </c>
      <c r="E2462" t="s">
        <v>12</v>
      </c>
      <c r="F2462" t="s">
        <v>25</v>
      </c>
      <c r="G2462" t="s">
        <v>19</v>
      </c>
      <c r="H2462">
        <v>7418</v>
      </c>
      <c r="I2462" t="s">
        <v>4963</v>
      </c>
      <c r="J2462" t="s">
        <v>4964</v>
      </c>
      <c r="K2462" t="s">
        <v>17</v>
      </c>
      <c r="L2462" t="str">
        <f t="shared" si="38"/>
        <v xml:space="preserve">{ longitude: -63.6029219934729, latitude: 44.6491471863098, stopType: 'Bus Stop Shelter Accessible', gotime: \'7418\', location: \'OXFORD ST NS NORTH &lt;SB&gt;\' }, </v>
      </c>
    </row>
    <row r="2463" spans="1:12" x14ac:dyDescent="0.25">
      <c r="A2463">
        <v>-63.599588730844999</v>
      </c>
      <c r="B2463">
        <v>44.6428482917784</v>
      </c>
      <c r="C2463">
        <v>952</v>
      </c>
      <c r="D2463" t="s">
        <v>29</v>
      </c>
      <c r="E2463" t="s">
        <v>12</v>
      </c>
      <c r="F2463" t="s">
        <v>13</v>
      </c>
      <c r="G2463" t="s">
        <v>14</v>
      </c>
      <c r="H2463">
        <v>7419</v>
      </c>
      <c r="I2463" t="s">
        <v>4965</v>
      </c>
      <c r="J2463" t="s">
        <v>4966</v>
      </c>
      <c r="K2463" t="s">
        <v>17</v>
      </c>
      <c r="L2463" t="str">
        <f t="shared" si="38"/>
        <v xml:space="preserve">{ longitude: -63.599588730845, latitude: 44.6428482917784, stopType: 'Bus Stop Accessible', gotime: \'7419\', location: \'OXFORD ST NS NORWOOD &lt;SB&gt;\' }, </v>
      </c>
    </row>
    <row r="2464" spans="1:12" x14ac:dyDescent="0.25">
      <c r="A2464">
        <v>-63.601569864441501</v>
      </c>
      <c r="B2464">
        <v>44.646827215837902</v>
      </c>
      <c r="C2464">
        <v>953</v>
      </c>
      <c r="D2464" t="s">
        <v>29</v>
      </c>
      <c r="E2464" t="s">
        <v>12</v>
      </c>
      <c r="F2464" t="s">
        <v>13</v>
      </c>
      <c r="G2464" t="s">
        <v>14</v>
      </c>
      <c r="H2464">
        <v>7420</v>
      </c>
      <c r="I2464" t="s">
        <v>4967</v>
      </c>
      <c r="J2464" t="s">
        <v>4968</v>
      </c>
      <c r="K2464" t="s">
        <v>17</v>
      </c>
      <c r="L2464" t="str">
        <f t="shared" si="38"/>
        <v xml:space="preserve">{ longitude: -63.6015698644415, latitude: 44.6468272158379, stopType: 'Bus Stop Accessible', gotime: \'7420\', location: \'OXFORD ST NS OAK &lt;SB&gt;\' }, </v>
      </c>
    </row>
    <row r="2465" spans="1:12" x14ac:dyDescent="0.25">
      <c r="A2465">
        <v>-63.600171545424402</v>
      </c>
      <c r="B2465">
        <v>44.644354318312999</v>
      </c>
      <c r="C2465">
        <v>954</v>
      </c>
      <c r="D2465" t="s">
        <v>29</v>
      </c>
      <c r="E2465" t="s">
        <v>12</v>
      </c>
      <c r="F2465" t="s">
        <v>13</v>
      </c>
      <c r="G2465" t="s">
        <v>14</v>
      </c>
      <c r="H2465">
        <v>7421</v>
      </c>
      <c r="I2465" t="s">
        <v>4969</v>
      </c>
      <c r="J2465" t="s">
        <v>4970</v>
      </c>
      <c r="K2465" t="s">
        <v>17</v>
      </c>
      <c r="L2465" t="str">
        <f t="shared" si="38"/>
        <v xml:space="preserve">{ longitude: -63.6001715454244, latitude: 44.644354318313, stopType: 'Bus Stop Accessible', gotime: \'7421\', location: \'OXFORD ST NS QUINPOOL RD &lt;NB&gt;\' }, </v>
      </c>
    </row>
    <row r="2466" spans="1:12" x14ac:dyDescent="0.25">
      <c r="A2466">
        <v>-63.604318335620697</v>
      </c>
      <c r="B2466">
        <v>44.650166120416998</v>
      </c>
      <c r="C2466">
        <v>955</v>
      </c>
      <c r="D2466" t="s">
        <v>29</v>
      </c>
      <c r="E2466" t="s">
        <v>12</v>
      </c>
      <c r="F2466" t="s">
        <v>25</v>
      </c>
      <c r="G2466" t="s">
        <v>19</v>
      </c>
      <c r="H2466">
        <v>7422</v>
      </c>
      <c r="I2466" t="s">
        <v>4971</v>
      </c>
      <c r="J2466" t="s">
        <v>4972</v>
      </c>
      <c r="K2466" t="s">
        <v>17</v>
      </c>
      <c r="L2466" t="str">
        <f t="shared" si="38"/>
        <v xml:space="preserve">{ longitude: -63.6043183356207, latitude: 44.650166120417, stopType: 'Bus Stop Accessible', gotime: \'7422\', location: \'OXFORD ST NS SUMMIT &lt;SB&gt;\' }, </v>
      </c>
    </row>
    <row r="2467" spans="1:12" x14ac:dyDescent="0.25">
      <c r="A2467">
        <v>-63.584875671617397</v>
      </c>
      <c r="B2467">
        <v>44.622211629478798</v>
      </c>
      <c r="C2467">
        <v>956</v>
      </c>
      <c r="D2467" t="s">
        <v>11</v>
      </c>
      <c r="E2467" t="s">
        <v>12</v>
      </c>
      <c r="F2467" t="s">
        <v>25</v>
      </c>
      <c r="G2467" t="s">
        <v>26</v>
      </c>
      <c r="H2467">
        <v>8082</v>
      </c>
      <c r="I2467" t="s">
        <v>4973</v>
      </c>
      <c r="J2467" t="s">
        <v>4974</v>
      </c>
      <c r="K2467" t="s">
        <v>17</v>
      </c>
      <c r="L2467" t="str">
        <f t="shared" si="38"/>
        <v xml:space="preserve">{ longitude: -63.5848756716174, latitude: 44.6222116294788, stopType: 'Bus Stop Non-Standard', gotime: \'8082\', location: \'PURCELLS COVE RD OPP SARAGUAY\' }, </v>
      </c>
    </row>
    <row r="2468" spans="1:12" x14ac:dyDescent="0.25">
      <c r="A2468">
        <v>-63.586772613267399</v>
      </c>
      <c r="B2468">
        <v>44.699696663931697</v>
      </c>
      <c r="C2468">
        <v>957</v>
      </c>
      <c r="D2468" t="s">
        <v>29</v>
      </c>
      <c r="E2468" t="s">
        <v>12</v>
      </c>
      <c r="F2468" t="s">
        <v>25</v>
      </c>
      <c r="G2468" t="s">
        <v>19</v>
      </c>
      <c r="H2468">
        <v>6952</v>
      </c>
      <c r="I2468" t="s">
        <v>4975</v>
      </c>
      <c r="J2468" t="s">
        <v>4976</v>
      </c>
      <c r="K2468" t="s">
        <v>17</v>
      </c>
      <c r="L2468" t="str">
        <f t="shared" si="38"/>
        <v xml:space="preserve">{ longitude: -63.5867726132674, latitude: 44.6996966639317, stopType: 'Bus Stop Accessible', gotime: \'6952\', location: \'ILSLEY AVE AT CIVIC 100\' }, </v>
      </c>
    </row>
    <row r="2469" spans="1:12" x14ac:dyDescent="0.25">
      <c r="A2469">
        <v>-63.589783641213401</v>
      </c>
      <c r="B2469">
        <v>44.701610637486702</v>
      </c>
      <c r="C2469">
        <v>958</v>
      </c>
      <c r="D2469" t="s">
        <v>11</v>
      </c>
      <c r="E2469" t="s">
        <v>12</v>
      </c>
      <c r="F2469" t="s">
        <v>25</v>
      </c>
      <c r="G2469" t="s">
        <v>26</v>
      </c>
      <c r="H2469">
        <v>6953</v>
      </c>
      <c r="I2469" t="s">
        <v>4977</v>
      </c>
      <c r="J2469" t="s">
        <v>4978</v>
      </c>
      <c r="K2469" t="s">
        <v>17</v>
      </c>
      <c r="L2469" t="str">
        <f t="shared" si="38"/>
        <v xml:space="preserve">{ longitude: -63.5897836412134, latitude: 44.7016106374867, stopType: 'Bus Stop Non-Standard', gotime: \'6953\', location: \'ILSLEY AVE AT CIVIC 81\' }, </v>
      </c>
    </row>
    <row r="2470" spans="1:12" x14ac:dyDescent="0.25">
      <c r="A2470">
        <v>-63.590500283978301</v>
      </c>
      <c r="B2470">
        <v>44.701778341558096</v>
      </c>
      <c r="C2470">
        <v>959</v>
      </c>
      <c r="D2470" t="s">
        <v>29</v>
      </c>
      <c r="E2470" t="s">
        <v>12</v>
      </c>
      <c r="F2470" t="s">
        <v>25</v>
      </c>
      <c r="G2470" t="s">
        <v>26</v>
      </c>
      <c r="H2470">
        <v>6954</v>
      </c>
      <c r="I2470" t="s">
        <v>4979</v>
      </c>
      <c r="J2470" t="s">
        <v>4980</v>
      </c>
      <c r="K2470" t="s">
        <v>17</v>
      </c>
      <c r="L2470" t="str">
        <f t="shared" si="38"/>
        <v xml:space="preserve">{ longitude: -63.5905002839783, latitude: 44.7017783415581, stopType: 'Bus Stop Accessible', gotime: \'6954\', location: \'ILSLEY AVE AT DOT STORAGE\' }, </v>
      </c>
    </row>
    <row r="2471" spans="1:12" x14ac:dyDescent="0.25">
      <c r="A2471">
        <v>-63.591685692324702</v>
      </c>
      <c r="B2471">
        <v>44.702633746721801</v>
      </c>
      <c r="C2471">
        <v>960</v>
      </c>
      <c r="D2471" t="s">
        <v>18</v>
      </c>
      <c r="E2471" t="s">
        <v>12</v>
      </c>
      <c r="F2471" t="s">
        <v>25</v>
      </c>
      <c r="G2471" t="s">
        <v>26</v>
      </c>
      <c r="H2471">
        <v>6955</v>
      </c>
      <c r="I2471" t="s">
        <v>4981</v>
      </c>
      <c r="J2471" t="s">
        <v>4982</v>
      </c>
      <c r="K2471" t="s">
        <v>17</v>
      </c>
      <c r="L2471" t="str">
        <f t="shared" si="38"/>
        <v xml:space="preserve">{ longitude: -63.5916856923247, latitude: 44.7026337467218, stopType: 'Bus Stop Shelter Non-Standard', gotime: \'6955\', location: \'ILSLEY AVE NS CIVIC 41\' }, </v>
      </c>
    </row>
    <row r="2472" spans="1:12" x14ac:dyDescent="0.25">
      <c r="A2472">
        <v>-63.568070719766403</v>
      </c>
      <c r="B2472">
        <v>44.674616382404103</v>
      </c>
      <c r="C2472">
        <v>961</v>
      </c>
      <c r="D2472" t="s">
        <v>11</v>
      </c>
      <c r="E2472" t="s">
        <v>12</v>
      </c>
      <c r="F2472" t="s">
        <v>25</v>
      </c>
      <c r="G2472" t="s">
        <v>26</v>
      </c>
      <c r="H2472">
        <v>8390</v>
      </c>
      <c r="I2472" t="s">
        <v>4983</v>
      </c>
      <c r="J2472" t="s">
        <v>4984</v>
      </c>
      <c r="K2472" t="s">
        <v>17</v>
      </c>
      <c r="L2472" t="str">
        <f t="shared" si="38"/>
        <v xml:space="preserve">{ longitude: -63.5680707197664, latitude: 44.6746163824041, stopType: 'Bus Stop Non-Standard', gotime: \'8390\', location: \'THISTLE ST NS BEECH ST\' }, </v>
      </c>
    </row>
    <row r="2473" spans="1:12" x14ac:dyDescent="0.25">
      <c r="A2473">
        <v>-63.493820752915902</v>
      </c>
      <c r="B2473">
        <v>44.691985747155599</v>
      </c>
      <c r="C2473">
        <v>962</v>
      </c>
      <c r="D2473" t="s">
        <v>11</v>
      </c>
      <c r="E2473" t="s">
        <v>12</v>
      </c>
      <c r="F2473" t="s">
        <v>25</v>
      </c>
      <c r="G2473" t="s">
        <v>26</v>
      </c>
      <c r="H2473">
        <v>8377</v>
      </c>
      <c r="I2473" t="s">
        <v>4985</v>
      </c>
      <c r="J2473" t="s">
        <v>4986</v>
      </c>
      <c r="K2473" t="s">
        <v>17</v>
      </c>
      <c r="L2473" t="str">
        <f t="shared" si="38"/>
        <v xml:space="preserve">{ longitude: -63.4938207529159, latitude: 44.6919857471556, stopType: 'Bus Stop Non-Standard', gotime: \'8377\', location: \'TARANAKI DR AT CIVIC 251\' }, </v>
      </c>
    </row>
    <row r="2474" spans="1:12" x14ac:dyDescent="0.25">
      <c r="A2474">
        <v>-63.4940426842346</v>
      </c>
      <c r="B2474">
        <v>44.690826741022001</v>
      </c>
      <c r="C2474">
        <v>963</v>
      </c>
      <c r="D2474" t="s">
        <v>11</v>
      </c>
      <c r="E2474" t="s">
        <v>12</v>
      </c>
      <c r="F2474" t="s">
        <v>25</v>
      </c>
      <c r="G2474" t="s">
        <v>26</v>
      </c>
      <c r="H2474">
        <v>8378</v>
      </c>
      <c r="I2474" t="s">
        <v>4987</v>
      </c>
      <c r="J2474" s="1" t="s">
        <v>4988</v>
      </c>
      <c r="K2474" t="s">
        <v>17</v>
      </c>
      <c r="L2474" t="str">
        <f t="shared" si="38"/>
        <v xml:space="preserve">{ longitude: -63.4940426842346, latitude: 44.690826741022, stopType: 'Bus Stop Non-Standard', gotime: \'8378\', location: \'TARANAKI DR AT CIVIC 289\' }, </v>
      </c>
    </row>
    <row r="2475" spans="1:12" x14ac:dyDescent="0.25">
      <c r="A2475">
        <v>-63.494689309682499</v>
      </c>
      <c r="B2475">
        <v>44.693559344075403</v>
      </c>
      <c r="C2475">
        <v>964</v>
      </c>
      <c r="D2475" t="s">
        <v>11</v>
      </c>
      <c r="E2475" t="s">
        <v>12</v>
      </c>
      <c r="F2475" t="s">
        <v>25</v>
      </c>
      <c r="G2475" t="s">
        <v>26</v>
      </c>
      <c r="H2475">
        <v>8379</v>
      </c>
      <c r="I2475" t="s">
        <v>4989</v>
      </c>
      <c r="J2475" t="s">
        <v>4990</v>
      </c>
      <c r="K2475" t="s">
        <v>17</v>
      </c>
      <c r="L2475" t="str">
        <f t="shared" si="38"/>
        <v xml:space="preserve">{ longitude: -63.4946893096825, latitude: 44.6935593440754, stopType: 'Bus Stop Non-Standard', gotime: \'8379\', location: \'TARANAKI DR NS CIVIC 192\' }, </v>
      </c>
    </row>
    <row r="2476" spans="1:12" x14ac:dyDescent="0.25">
      <c r="A2476">
        <v>-63.493981331721699</v>
      </c>
      <c r="B2476">
        <v>44.690726843854399</v>
      </c>
      <c r="C2476">
        <v>965</v>
      </c>
      <c r="D2476" t="s">
        <v>11</v>
      </c>
      <c r="E2476" t="s">
        <v>12</v>
      </c>
      <c r="F2476" t="s">
        <v>13</v>
      </c>
      <c r="G2476" t="s">
        <v>14</v>
      </c>
      <c r="H2476">
        <v>8380</v>
      </c>
      <c r="I2476" t="s">
        <v>4991</v>
      </c>
      <c r="J2476" t="s">
        <v>4992</v>
      </c>
      <c r="K2476" t="s">
        <v>17</v>
      </c>
      <c r="L2476" t="str">
        <f t="shared" si="38"/>
        <v xml:space="preserve">{ longitude: -63.4939813317217, latitude: 44.6907268438544, stopType: 'Bus Stop Non-Standard', gotime: \'8380\', location: \'TARANAKI DR NS CIVIC 278\' }, </v>
      </c>
    </row>
    <row r="2477" spans="1:12" x14ac:dyDescent="0.25">
      <c r="A2477">
        <v>-63.494547431887398</v>
      </c>
      <c r="B2477">
        <v>44.694467064317799</v>
      </c>
      <c r="C2477">
        <v>966</v>
      </c>
      <c r="D2477" t="s">
        <v>103</v>
      </c>
      <c r="E2477" t="s">
        <v>12</v>
      </c>
      <c r="F2477" t="s">
        <v>25</v>
      </c>
      <c r="G2477" t="s">
        <v>65</v>
      </c>
      <c r="H2477">
        <v>8381</v>
      </c>
      <c r="I2477" t="s">
        <v>4993</v>
      </c>
      <c r="J2477" t="s">
        <v>4994</v>
      </c>
      <c r="K2477" t="s">
        <v>17</v>
      </c>
      <c r="L2477" t="str">
        <f t="shared" si="38"/>
        <v xml:space="preserve">{ longitude: -63.4945474318874, latitude: 44.6944670643178, stopType: 'Bus Stop Inaccessible', gotime: \'8381\', location: \'TARANAKI DR OPP CIVIC 171\' }, </v>
      </c>
    </row>
    <row r="2478" spans="1:12" x14ac:dyDescent="0.25">
      <c r="A2478">
        <v>-63.588163505732503</v>
      </c>
      <c r="B2478">
        <v>44.684237289711902</v>
      </c>
      <c r="C2478">
        <v>967</v>
      </c>
      <c r="D2478" t="s">
        <v>29</v>
      </c>
      <c r="E2478" t="s">
        <v>12</v>
      </c>
      <c r="F2478" t="s">
        <v>25</v>
      </c>
      <c r="G2478" t="s">
        <v>19</v>
      </c>
      <c r="H2478">
        <v>8382</v>
      </c>
      <c r="I2478" t="s">
        <v>4995</v>
      </c>
      <c r="J2478" t="s">
        <v>4996</v>
      </c>
      <c r="K2478" t="s">
        <v>17</v>
      </c>
      <c r="L2478" t="str">
        <f t="shared" si="38"/>
        <v xml:space="preserve">{ longitude: -63.5881635057325, latitude: 44.6842372897119, stopType: 'Bus Stop Accessible', gotime: \'8382\', location: \'HIGHFIELD TERMINAL EXIT NS PINECREST DR\' }, </v>
      </c>
    </row>
    <row r="2479" spans="1:12" x14ac:dyDescent="0.25">
      <c r="A2479">
        <v>-63.5651455871309</v>
      </c>
      <c r="B2479">
        <v>44.677688380068901</v>
      </c>
      <c r="C2479">
        <v>968</v>
      </c>
      <c r="D2479" t="s">
        <v>29</v>
      </c>
      <c r="E2479" t="s">
        <v>12</v>
      </c>
      <c r="F2479" t="s">
        <v>25</v>
      </c>
      <c r="G2479" t="s">
        <v>26</v>
      </c>
      <c r="H2479">
        <v>8384</v>
      </c>
      <c r="I2479" t="s">
        <v>4997</v>
      </c>
      <c r="J2479" t="s">
        <v>4998</v>
      </c>
      <c r="K2479" t="s">
        <v>17</v>
      </c>
      <c r="L2479" t="str">
        <f t="shared" si="38"/>
        <v xml:space="preserve">{ longitude: -63.5651455871309, latitude: 44.6776883800689, stopType: 'Bus Stop Accessible', gotime: \'8384\', location: \'THISTLE ST FS CHRICHTON PK RD\' }, </v>
      </c>
    </row>
    <row r="2480" spans="1:12" x14ac:dyDescent="0.25">
      <c r="A2480">
        <v>-63.5690342845948</v>
      </c>
      <c r="B2480">
        <v>44.673517274823901</v>
      </c>
      <c r="C2480">
        <v>969</v>
      </c>
      <c r="D2480" t="s">
        <v>11</v>
      </c>
      <c r="E2480" t="s">
        <v>12</v>
      </c>
      <c r="F2480" t="s">
        <v>25</v>
      </c>
      <c r="G2480" t="s">
        <v>26</v>
      </c>
      <c r="H2480">
        <v>8385</v>
      </c>
      <c r="I2480" t="s">
        <v>4999</v>
      </c>
      <c r="J2480" t="s">
        <v>5000</v>
      </c>
      <c r="K2480" t="s">
        <v>17</v>
      </c>
      <c r="L2480" t="str">
        <f t="shared" si="38"/>
        <v xml:space="preserve">{ longitude: -63.5690342845948, latitude: 44.6735172748239, stopType: 'Bus Stop Non-Standard', gotime: \'8385\', location: \'THISTLE ST FS MAPLE ST\' }, </v>
      </c>
    </row>
    <row r="2481" spans="1:12" x14ac:dyDescent="0.25">
      <c r="A2481">
        <v>-63.566794142522198</v>
      </c>
      <c r="B2481">
        <v>44.675568928589101</v>
      </c>
      <c r="C2481">
        <v>970</v>
      </c>
      <c r="D2481" t="s">
        <v>11</v>
      </c>
      <c r="E2481" t="s">
        <v>12</v>
      </c>
      <c r="F2481" t="s">
        <v>25</v>
      </c>
      <c r="G2481" t="s">
        <v>26</v>
      </c>
      <c r="H2481">
        <v>8386</v>
      </c>
      <c r="I2481" t="s">
        <v>5001</v>
      </c>
      <c r="J2481" t="s">
        <v>5002</v>
      </c>
      <c r="K2481" t="s">
        <v>17</v>
      </c>
      <c r="L2481" t="str">
        <f t="shared" si="38"/>
        <v xml:space="preserve">{ longitude: -63.5667941425222, latitude: 44.6755689285891, stopType: 'Bus Stop Non-Standard', gotime: \'8386\', location: \'THISTLE ST FS MAYFLOWER ST\' }, </v>
      </c>
    </row>
    <row r="2482" spans="1:12" x14ac:dyDescent="0.25">
      <c r="A2482">
        <v>-63.570143817660302</v>
      </c>
      <c r="B2482">
        <v>44.672752337591298</v>
      </c>
      <c r="C2482">
        <v>971</v>
      </c>
      <c r="D2482" t="s">
        <v>103</v>
      </c>
      <c r="E2482" t="s">
        <v>12</v>
      </c>
      <c r="F2482" t="s">
        <v>25</v>
      </c>
      <c r="G2482" t="s">
        <v>65</v>
      </c>
      <c r="H2482">
        <v>8387</v>
      </c>
      <c r="I2482" t="s">
        <v>5003</v>
      </c>
      <c r="J2482" t="s">
        <v>5004</v>
      </c>
      <c r="K2482" t="s">
        <v>17</v>
      </c>
      <c r="L2482" t="str">
        <f t="shared" si="38"/>
        <v xml:space="preserve">{ longitude: -63.5701438176603, latitude: 44.6727523375913, stopType: 'Bus Stop Inaccessible', gotime: \'8387\', location: \'THISTLE ST AT CIVIC 23\' }, </v>
      </c>
    </row>
    <row r="2483" spans="1:12" x14ac:dyDescent="0.25">
      <c r="A2483">
        <v>-63.566893156574999</v>
      </c>
      <c r="B2483">
        <v>44.675686734110499</v>
      </c>
      <c r="C2483">
        <v>972</v>
      </c>
      <c r="D2483" t="s">
        <v>103</v>
      </c>
      <c r="E2483" t="s">
        <v>12</v>
      </c>
      <c r="F2483" t="s">
        <v>25</v>
      </c>
      <c r="G2483" t="s">
        <v>65</v>
      </c>
      <c r="H2483">
        <v>8388</v>
      </c>
      <c r="I2483" t="s">
        <v>5005</v>
      </c>
      <c r="J2483" t="s">
        <v>5006</v>
      </c>
      <c r="K2483" t="s">
        <v>17</v>
      </c>
      <c r="L2483" t="str">
        <f t="shared" si="38"/>
        <v xml:space="preserve">{ longitude: -63.566893156575, latitude: 44.6756867341105, stopType: 'Bus Stop Inaccessible', gotime: \'8388\', location: \'THISTLE ST AT CIVIC 99\' }, </v>
      </c>
    </row>
    <row r="2484" spans="1:12" x14ac:dyDescent="0.25">
      <c r="A2484">
        <v>-63.5719999634846</v>
      </c>
      <c r="B2484">
        <v>44.671039487227503</v>
      </c>
      <c r="C2484">
        <v>973</v>
      </c>
      <c r="D2484" t="s">
        <v>22</v>
      </c>
      <c r="E2484" t="s">
        <v>12</v>
      </c>
      <c r="F2484" t="s">
        <v>25</v>
      </c>
      <c r="G2484" t="s">
        <v>19</v>
      </c>
      <c r="H2484">
        <v>8389</v>
      </c>
      <c r="I2484" t="s">
        <v>5007</v>
      </c>
      <c r="J2484" t="s">
        <v>5008</v>
      </c>
      <c r="K2484" t="s">
        <v>17</v>
      </c>
      <c r="L2484" t="str">
        <f t="shared" si="38"/>
        <v xml:space="preserve">{ longitude: -63.5719999634846, latitude: 44.6710394872275, stopType: 'Bus Stop Shelter Accessible', gotime: \'8389\', location: \'THISTLE ST AT DARTMOUTH HIGH\' }, </v>
      </c>
    </row>
    <row r="2485" spans="1:12" x14ac:dyDescent="0.25">
      <c r="A2485">
        <v>-63.564920020452099</v>
      </c>
      <c r="B2485">
        <v>44.677596536084501</v>
      </c>
      <c r="C2485">
        <v>974</v>
      </c>
      <c r="D2485" t="s">
        <v>29</v>
      </c>
      <c r="E2485" t="s">
        <v>12</v>
      </c>
      <c r="F2485" t="s">
        <v>25</v>
      </c>
      <c r="G2485" t="s">
        <v>26</v>
      </c>
      <c r="H2485">
        <v>8391</v>
      </c>
      <c r="I2485" t="s">
        <v>5009</v>
      </c>
      <c r="J2485" t="s">
        <v>5010</v>
      </c>
      <c r="K2485" t="s">
        <v>17</v>
      </c>
      <c r="L2485" t="str">
        <f t="shared" si="38"/>
        <v xml:space="preserve">{ longitude: -63.5649200204521, latitude: 44.6775965360845, stopType: 'Bus Stop Accessible', gotime: \'8391\', location: \'THISTLE ST NS CRICHTON PARK RD\' }, </v>
      </c>
    </row>
    <row r="2486" spans="1:12" x14ac:dyDescent="0.25">
      <c r="A2486">
        <v>-63.571915484690997</v>
      </c>
      <c r="B2486">
        <v>44.670919554233599</v>
      </c>
      <c r="C2486">
        <v>975</v>
      </c>
      <c r="D2486" t="s">
        <v>11</v>
      </c>
      <c r="E2486" t="s">
        <v>12</v>
      </c>
      <c r="F2486" t="s">
        <v>13</v>
      </c>
      <c r="G2486" t="s">
        <v>14</v>
      </c>
      <c r="H2486">
        <v>8393</v>
      </c>
      <c r="I2486" t="s">
        <v>5011</v>
      </c>
      <c r="J2486" t="s">
        <v>5012</v>
      </c>
      <c r="K2486" t="s">
        <v>17</v>
      </c>
      <c r="L2486" t="str">
        <f t="shared" si="38"/>
        <v xml:space="preserve">{ longitude: -63.571915484691, latitude: 44.6709195542336, stopType: 'Bus Stop Non-Standard', gotime: \'8393\', location: \'THISTLE ST OPP DARTMOUTH HIGH SCHOOL\' }, </v>
      </c>
    </row>
    <row r="2487" spans="1:12" x14ac:dyDescent="0.25">
      <c r="A2487">
        <v>-63.6348945239545</v>
      </c>
      <c r="B2487">
        <v>44.660154246582501</v>
      </c>
      <c r="C2487">
        <v>976</v>
      </c>
      <c r="D2487" t="s">
        <v>18</v>
      </c>
      <c r="E2487" t="s">
        <v>12</v>
      </c>
      <c r="F2487" t="s">
        <v>13</v>
      </c>
      <c r="G2487" t="s">
        <v>65</v>
      </c>
      <c r="H2487">
        <v>8396</v>
      </c>
      <c r="I2487" t="s">
        <v>5013</v>
      </c>
      <c r="J2487" t="s">
        <v>5014</v>
      </c>
      <c r="K2487" t="s">
        <v>17</v>
      </c>
      <c r="L2487" t="str">
        <f t="shared" si="38"/>
        <v xml:space="preserve">{ longitude: -63.6348945239545, latitude: 44.6601542465825, stopType: 'Bus Stop Shelter Non-Standard', gotime: \'8396\', location: \'TITUS ST NS EVANS AVE TO VIC MANOR\' }, </v>
      </c>
    </row>
    <row r="2488" spans="1:12" x14ac:dyDescent="0.25">
      <c r="A2488">
        <v>-63.6059191568392</v>
      </c>
      <c r="B2488">
        <v>44.714157660288599</v>
      </c>
      <c r="C2488">
        <v>977</v>
      </c>
      <c r="D2488" t="s">
        <v>18</v>
      </c>
      <c r="E2488" t="s">
        <v>12</v>
      </c>
      <c r="F2488" t="s">
        <v>25</v>
      </c>
      <c r="G2488" t="s">
        <v>26</v>
      </c>
      <c r="H2488">
        <v>8398</v>
      </c>
      <c r="I2488" t="s">
        <v>5015</v>
      </c>
      <c r="J2488" t="s">
        <v>5016</v>
      </c>
      <c r="K2488" t="s">
        <v>17</v>
      </c>
      <c r="L2488" t="str">
        <f t="shared" si="38"/>
        <v xml:space="preserve">{ longitude: -63.6059191568392, latitude: 44.7141576602886, stopType: 'Bus Stop Shelter Non-Standard', gotime: \'8398\', location: \'TOPPLE DR FS MTT DRIVEWAY\' }, </v>
      </c>
    </row>
    <row r="2489" spans="1:12" x14ac:dyDescent="0.25">
      <c r="A2489">
        <v>-63.607994141436201</v>
      </c>
      <c r="B2489">
        <v>44.712184959633198</v>
      </c>
      <c r="C2489">
        <v>978</v>
      </c>
      <c r="D2489" t="s">
        <v>11</v>
      </c>
      <c r="E2489" t="s">
        <v>12</v>
      </c>
      <c r="F2489" t="s">
        <v>25</v>
      </c>
      <c r="G2489" t="s">
        <v>26</v>
      </c>
      <c r="H2489">
        <v>8399</v>
      </c>
      <c r="I2489" t="s">
        <v>5017</v>
      </c>
      <c r="J2489" t="s">
        <v>5018</v>
      </c>
      <c r="K2489" t="s">
        <v>17</v>
      </c>
      <c r="L2489" t="str">
        <f t="shared" si="38"/>
        <v xml:space="preserve">{ longitude: -63.6079941414362, latitude: 44.7121849596332, stopType: 'Bus Stop Non-Standard', gotime: \'8399\', location: \'TOPPLE DR NS VIDITO DR\' }, </v>
      </c>
    </row>
    <row r="2490" spans="1:12" x14ac:dyDescent="0.25">
      <c r="A2490">
        <v>-63.514191753021102</v>
      </c>
      <c r="B2490">
        <v>44.682605727347699</v>
      </c>
      <c r="C2490">
        <v>979</v>
      </c>
      <c r="D2490" t="s">
        <v>29</v>
      </c>
      <c r="E2490" t="s">
        <v>12</v>
      </c>
      <c r="F2490" t="s">
        <v>25</v>
      </c>
      <c r="G2490" t="s">
        <v>26</v>
      </c>
      <c r="H2490">
        <v>8400</v>
      </c>
      <c r="I2490" t="s">
        <v>5019</v>
      </c>
      <c r="J2490" t="s">
        <v>5020</v>
      </c>
      <c r="K2490" t="s">
        <v>17</v>
      </c>
      <c r="L2490" t="str">
        <f t="shared" si="38"/>
        <v xml:space="preserve">{ longitude: -63.5141917530211, latitude: 44.6826057273477, stopType: 'Bus Stop Accessible', gotime: \'8400\', location: \'TOPSAIL OPP CIVIC 17\' }, </v>
      </c>
    </row>
    <row r="2491" spans="1:12" x14ac:dyDescent="0.25">
      <c r="A2491">
        <v>-63.577465752755202</v>
      </c>
      <c r="B2491">
        <v>44.629513311436803</v>
      </c>
      <c r="C2491">
        <v>980</v>
      </c>
      <c r="D2491" t="s">
        <v>29</v>
      </c>
      <c r="E2491" t="s">
        <v>12</v>
      </c>
      <c r="F2491" t="s">
        <v>13</v>
      </c>
      <c r="G2491" t="s">
        <v>14</v>
      </c>
      <c r="H2491">
        <v>8401</v>
      </c>
      <c r="I2491" t="s">
        <v>5021</v>
      </c>
      <c r="J2491" t="s">
        <v>5022</v>
      </c>
      <c r="K2491" t="s">
        <v>17</v>
      </c>
      <c r="L2491" t="str">
        <f t="shared" si="38"/>
        <v xml:space="preserve">{ longitude: -63.5774657527552, latitude: 44.6295133114368, stopType: 'Bus Stop Accessible', gotime: \'8401\', location: \'TOWER RD FS ROGERS DR\' }, </v>
      </c>
    </row>
    <row r="2492" spans="1:12" x14ac:dyDescent="0.25">
      <c r="A2492">
        <v>-63.578039871375999</v>
      </c>
      <c r="B2492">
        <v>44.631580071236598</v>
      </c>
      <c r="C2492">
        <v>981</v>
      </c>
      <c r="D2492" t="s">
        <v>29</v>
      </c>
      <c r="E2492" t="s">
        <v>12</v>
      </c>
      <c r="F2492" t="s">
        <v>13</v>
      </c>
      <c r="G2492" t="s">
        <v>14</v>
      </c>
      <c r="H2492">
        <v>8402</v>
      </c>
      <c r="I2492" t="s">
        <v>5023</v>
      </c>
      <c r="J2492" t="s">
        <v>5024</v>
      </c>
      <c r="K2492" t="s">
        <v>17</v>
      </c>
      <c r="L2492" t="str">
        <f t="shared" si="38"/>
        <v xml:space="preserve">{ longitude: -63.578039871376, latitude: 44.6315800712366, stopType: 'Bus Stop Accessible', gotime: \'8402\', location: \'TOWER RD FS OPP ATLANTIC\' }, </v>
      </c>
    </row>
    <row r="2493" spans="1:12" x14ac:dyDescent="0.25">
      <c r="A2493">
        <v>-63.577878420486101</v>
      </c>
      <c r="B2493">
        <v>44.631580027682503</v>
      </c>
      <c r="C2493">
        <v>982</v>
      </c>
      <c r="D2493" t="s">
        <v>22</v>
      </c>
      <c r="E2493" t="s">
        <v>12</v>
      </c>
      <c r="F2493" t="s">
        <v>13</v>
      </c>
      <c r="G2493" t="s">
        <v>14</v>
      </c>
      <c r="H2493">
        <v>8403</v>
      </c>
      <c r="I2493" t="s">
        <v>5025</v>
      </c>
      <c r="J2493" t="s">
        <v>5026</v>
      </c>
      <c r="K2493" t="s">
        <v>17</v>
      </c>
      <c r="L2493" t="str">
        <f t="shared" si="38"/>
        <v xml:space="preserve">{ longitude: -63.5778784204861, latitude: 44.6315800276825, stopType: 'Bus Stop Shelter Accessible', gotime: \'8403\', location: \'TOWER RD NS ATLANTIC\' }, </v>
      </c>
    </row>
    <row r="2494" spans="1:12" x14ac:dyDescent="0.25">
      <c r="A2494">
        <v>-63.576120060348998</v>
      </c>
      <c r="B2494">
        <v>44.627912258239803</v>
      </c>
      <c r="C2494">
        <v>983</v>
      </c>
      <c r="D2494" t="s">
        <v>29</v>
      </c>
      <c r="E2494" t="s">
        <v>12</v>
      </c>
      <c r="F2494" t="s">
        <v>13</v>
      </c>
      <c r="G2494" t="s">
        <v>14</v>
      </c>
      <c r="H2494">
        <v>8404</v>
      </c>
      <c r="I2494" t="s">
        <v>5027</v>
      </c>
      <c r="J2494" t="s">
        <v>5028</v>
      </c>
      <c r="K2494" t="s">
        <v>17</v>
      </c>
      <c r="L2494" t="str">
        <f t="shared" si="38"/>
        <v xml:space="preserve">{ longitude: -63.576120060349, latitude: 44.6279122582398, stopType: 'Bus Stop Accessible', gotime: \'8404\', location: \'TOWER RD NS HARBORVIEW\' }, </v>
      </c>
    </row>
    <row r="2495" spans="1:12" x14ac:dyDescent="0.25">
      <c r="A2495">
        <v>-63.575260269735899</v>
      </c>
      <c r="B2495">
        <v>44.627025208786598</v>
      </c>
      <c r="C2495">
        <v>984</v>
      </c>
      <c r="D2495" t="s">
        <v>29</v>
      </c>
      <c r="E2495" t="s">
        <v>12</v>
      </c>
      <c r="F2495" t="s">
        <v>13</v>
      </c>
      <c r="G2495" t="s">
        <v>14</v>
      </c>
      <c r="H2495">
        <v>8405</v>
      </c>
      <c r="I2495" t="s">
        <v>5029</v>
      </c>
      <c r="J2495" t="s">
        <v>5030</v>
      </c>
      <c r="K2495" t="s">
        <v>17</v>
      </c>
      <c r="L2495" t="str">
        <f t="shared" si="38"/>
        <v xml:space="preserve">{ longitude: -63.5752602697359, latitude: 44.6270252087866, stopType: 'Bus Stop Accessible', gotime: \'8405\', location: \'TOWER RD NS OGILVIE\' }, </v>
      </c>
    </row>
    <row r="2496" spans="1:12" x14ac:dyDescent="0.25">
      <c r="A2496">
        <v>-63.5746778894759</v>
      </c>
      <c r="B2496">
        <v>44.626201239467797</v>
      </c>
      <c r="C2496">
        <v>985</v>
      </c>
      <c r="D2496" t="s">
        <v>29</v>
      </c>
      <c r="E2496" t="s">
        <v>12</v>
      </c>
      <c r="F2496" t="s">
        <v>13</v>
      </c>
      <c r="G2496" t="s">
        <v>19</v>
      </c>
      <c r="H2496">
        <v>8406</v>
      </c>
      <c r="I2496" t="s">
        <v>5031</v>
      </c>
      <c r="J2496" t="s">
        <v>5032</v>
      </c>
      <c r="K2496" t="s">
        <v>17</v>
      </c>
      <c r="L2496" t="str">
        <f t="shared" si="38"/>
        <v xml:space="preserve">{ longitude: -63.5746778894759, latitude: 44.6262012394678, stopType: 'Bus Stop Accessible', gotime: \'8406\', location: \'TOWER RD NS POINT PLEASANT AV\' }, </v>
      </c>
    </row>
    <row r="2497" spans="1:12" x14ac:dyDescent="0.25">
      <c r="A2497">
        <v>-63.576387419289397</v>
      </c>
      <c r="B2497">
        <v>44.627964459730499</v>
      </c>
      <c r="C2497">
        <v>986</v>
      </c>
      <c r="D2497" t="s">
        <v>29</v>
      </c>
      <c r="E2497" t="s">
        <v>12</v>
      </c>
      <c r="F2497" t="s">
        <v>13</v>
      </c>
      <c r="G2497" t="s">
        <v>14</v>
      </c>
      <c r="H2497">
        <v>8407</v>
      </c>
      <c r="I2497" t="s">
        <v>5033</v>
      </c>
      <c r="J2497" t="s">
        <v>5034</v>
      </c>
      <c r="K2497" t="s">
        <v>17</v>
      </c>
      <c r="L2497" t="str">
        <f t="shared" si="38"/>
        <v xml:space="preserve">{ longitude: -63.5763874192894, latitude: 44.6279644597305, stopType: 'Bus Stop Accessible', gotime: \'8407\', location: \'TOWER RD OPP HARBOURVIEW\' }, </v>
      </c>
    </row>
    <row r="2498" spans="1:12" x14ac:dyDescent="0.25">
      <c r="A2498">
        <v>-63.578144998887097</v>
      </c>
      <c r="B2498">
        <v>44.632725603732297</v>
      </c>
      <c r="C2498">
        <v>987</v>
      </c>
      <c r="D2498" t="s">
        <v>29</v>
      </c>
      <c r="E2498" t="s">
        <v>12</v>
      </c>
      <c r="F2498" t="s">
        <v>13</v>
      </c>
      <c r="G2498" t="s">
        <v>14</v>
      </c>
      <c r="H2498">
        <v>8408</v>
      </c>
      <c r="I2498" t="s">
        <v>5035</v>
      </c>
      <c r="J2498" t="s">
        <v>5036</v>
      </c>
      <c r="K2498" t="s">
        <v>17</v>
      </c>
      <c r="L2498" t="str">
        <f t="shared" si="38"/>
        <v xml:space="preserve">{ longitude: -63.5781449988871, latitude: 44.6327256037323, stopType: 'Bus Stop Accessible', gotime: \'8408\', location: \'TOWER RD OPP SMU RINK\' }, </v>
      </c>
    </row>
    <row r="2499" spans="1:12" x14ac:dyDescent="0.25">
      <c r="A2499">
        <v>-63.5743304759499</v>
      </c>
      <c r="B2499">
        <v>44.626032557628399</v>
      </c>
      <c r="C2499">
        <v>988</v>
      </c>
      <c r="D2499" t="s">
        <v>29</v>
      </c>
      <c r="E2499" t="s">
        <v>12</v>
      </c>
      <c r="F2499" t="s">
        <v>25</v>
      </c>
      <c r="G2499" t="s">
        <v>160</v>
      </c>
      <c r="H2499">
        <v>8409</v>
      </c>
      <c r="I2499" t="s">
        <v>5037</v>
      </c>
      <c r="J2499" t="s">
        <v>5038</v>
      </c>
      <c r="K2499" t="s">
        <v>17</v>
      </c>
      <c r="L2499" t="str">
        <f t="shared" ref="L2499:L2511" si="39">CONCATENATE( "{ longitude: ", A2499, ", latitude: ", B2499, ", stopType: '", D2499, "', gotime: \'", H2499, "\', location: \'", I2499, "\' }, ")</f>
        <v xml:space="preserve">{ longitude: -63.5743304759499, latitude: 44.6260325576284, stopType: 'Bus Stop Accessible', gotime: \'8409\', location: \'TOWER RD LOOP AT POINT PLEASANT PARK\' }, </v>
      </c>
    </row>
    <row r="2500" spans="1:12" x14ac:dyDescent="0.25">
      <c r="A2500">
        <v>-63.581988083681303</v>
      </c>
      <c r="B2500">
        <v>44.639117071792903</v>
      </c>
      <c r="C2500">
        <v>989</v>
      </c>
      <c r="D2500" t="s">
        <v>29</v>
      </c>
      <c r="E2500" t="s">
        <v>12</v>
      </c>
      <c r="F2500" t="s">
        <v>25</v>
      </c>
      <c r="G2500" t="s">
        <v>19</v>
      </c>
      <c r="H2500">
        <v>8410</v>
      </c>
      <c r="I2500" t="s">
        <v>5039</v>
      </c>
      <c r="J2500" t="s">
        <v>5040</v>
      </c>
      <c r="K2500" t="s">
        <v>17</v>
      </c>
      <c r="L2500" t="str">
        <f t="shared" si="39"/>
        <v xml:space="preserve">{ longitude: -63.5819880836813, latitude: 44.6391170717929, stopType: 'Bus Stop Accessible', gotime: \'8410\', location: \'UNIVERSITY AVE NS SUMMER ST\' }, </v>
      </c>
    </row>
    <row r="2501" spans="1:12" x14ac:dyDescent="0.25">
      <c r="A2501">
        <v>-63.576928394520202</v>
      </c>
      <c r="B2501">
        <v>44.577391444520799</v>
      </c>
      <c r="C2501">
        <v>990</v>
      </c>
      <c r="D2501" t="s">
        <v>103</v>
      </c>
      <c r="E2501" t="s">
        <v>12</v>
      </c>
      <c r="F2501" t="s">
        <v>25</v>
      </c>
      <c r="G2501" t="s">
        <v>65</v>
      </c>
      <c r="H2501">
        <v>6912</v>
      </c>
      <c r="I2501" t="s">
        <v>5041</v>
      </c>
      <c r="J2501" t="s">
        <v>5042</v>
      </c>
      <c r="K2501" t="s">
        <v>17</v>
      </c>
      <c r="L2501" t="str">
        <f t="shared" si="39"/>
        <v xml:space="preserve">{ longitude: -63.5769283945202, latitude: 44.5773914445208, stopType: 'Bus Stop Inaccessible', gotime: \'6912\', location: \'HERRING COVE RD OPP CIVIC 894\' }, </v>
      </c>
    </row>
    <row r="2502" spans="1:12" x14ac:dyDescent="0.25">
      <c r="A2502">
        <v>-63.586854037616803</v>
      </c>
      <c r="B2502">
        <v>44.583618153085403</v>
      </c>
      <c r="C2502">
        <v>991</v>
      </c>
      <c r="D2502" t="s">
        <v>11</v>
      </c>
      <c r="E2502" t="s">
        <v>12</v>
      </c>
      <c r="F2502" t="s">
        <v>25</v>
      </c>
      <c r="G2502" t="s">
        <v>26</v>
      </c>
      <c r="H2502">
        <v>6913</v>
      </c>
      <c r="I2502" t="s">
        <v>5043</v>
      </c>
      <c r="J2502" t="s">
        <v>5044</v>
      </c>
      <c r="K2502" t="s">
        <v>17</v>
      </c>
      <c r="L2502" t="str">
        <f t="shared" si="39"/>
        <v xml:space="preserve">{ longitude: -63.5868540376168, latitude: 44.5836181530854, stopType: 'Bus Stop Non-Standard', gotime: \'6913\', location: \'HERRING COVE RD FS BARRY CR\' }, </v>
      </c>
    </row>
    <row r="2503" spans="1:12" x14ac:dyDescent="0.25">
      <c r="A2503">
        <v>-63.586743390099301</v>
      </c>
      <c r="B2503">
        <v>44.583446270796003</v>
      </c>
      <c r="C2503">
        <v>992</v>
      </c>
      <c r="D2503" t="s">
        <v>103</v>
      </c>
      <c r="E2503" t="s">
        <v>12</v>
      </c>
      <c r="F2503" t="s">
        <v>25</v>
      </c>
      <c r="G2503" t="s">
        <v>65</v>
      </c>
      <c r="H2503">
        <v>6914</v>
      </c>
      <c r="I2503" t="s">
        <v>5045</v>
      </c>
      <c r="J2503" s="1" t="s">
        <v>5046</v>
      </c>
      <c r="K2503" t="s">
        <v>17</v>
      </c>
      <c r="L2503" t="str">
        <f t="shared" si="39"/>
        <v xml:space="preserve">{ longitude: -63.5867433900993, latitude: 44.583446270796, stopType: 'Bus Stop Inaccessible', gotime: \'6914\', location: \'HERRING COVE RD OPP BARRY CR\' }, </v>
      </c>
    </row>
    <row r="2504" spans="1:12" x14ac:dyDescent="0.25">
      <c r="A2504">
        <v>-63.607349039690298</v>
      </c>
      <c r="B2504">
        <v>44.600388253832797</v>
      </c>
      <c r="C2504">
        <v>993</v>
      </c>
      <c r="D2504" t="s">
        <v>11</v>
      </c>
      <c r="E2504" t="s">
        <v>12</v>
      </c>
      <c r="F2504" t="s">
        <v>13</v>
      </c>
      <c r="G2504" t="s">
        <v>14</v>
      </c>
      <c r="H2504">
        <v>6915</v>
      </c>
      <c r="I2504" t="s">
        <v>5047</v>
      </c>
      <c r="J2504" t="s">
        <v>5048</v>
      </c>
      <c r="K2504" t="s">
        <v>17</v>
      </c>
      <c r="L2504" t="str">
        <f t="shared" si="39"/>
        <v xml:space="preserve">{ longitude: -63.6073490396903, latitude: 44.6003882538328, stopType: 'Bus Stop Non-Standard', gotime: \'6915\', location: \'HERRING COVE RD AT CIVIC 543\' }, </v>
      </c>
    </row>
    <row r="2505" spans="1:12" x14ac:dyDescent="0.25">
      <c r="A2505">
        <v>-63.6175157610921</v>
      </c>
      <c r="B2505">
        <v>44.626612927841101</v>
      </c>
      <c r="C2505">
        <v>994</v>
      </c>
      <c r="D2505" t="s">
        <v>11</v>
      </c>
      <c r="E2505" t="s">
        <v>12</v>
      </c>
      <c r="F2505" t="s">
        <v>13</v>
      </c>
      <c r="G2505" t="s">
        <v>19</v>
      </c>
      <c r="H2505">
        <v>6916</v>
      </c>
      <c r="I2505" t="s">
        <v>5049</v>
      </c>
      <c r="J2505" t="s">
        <v>5050</v>
      </c>
      <c r="K2505" t="s">
        <v>17</v>
      </c>
      <c r="L2505" t="str">
        <f t="shared" si="39"/>
        <v xml:space="preserve">{ longitude: -63.6175157610921, latitude: 44.6266129278411, stopType: 'Bus Stop Non-Standard', gotime: \'6916\', location: \'HIGHFIELD NS PUNCH BOWL DR\' }, </v>
      </c>
    </row>
    <row r="2506" spans="1:12" x14ac:dyDescent="0.25">
      <c r="A2506">
        <v>-63.590209988978003</v>
      </c>
      <c r="B2506">
        <v>44.685666566659499</v>
      </c>
      <c r="C2506">
        <v>995</v>
      </c>
      <c r="D2506" t="s">
        <v>29</v>
      </c>
      <c r="E2506" t="s">
        <v>12</v>
      </c>
      <c r="F2506" t="s">
        <v>25</v>
      </c>
      <c r="G2506" t="s">
        <v>19</v>
      </c>
      <c r="H2506">
        <v>6917</v>
      </c>
      <c r="I2506" t="s">
        <v>5051</v>
      </c>
      <c r="J2506" t="s">
        <v>5052</v>
      </c>
      <c r="K2506" t="s">
        <v>17</v>
      </c>
      <c r="L2506" t="str">
        <f t="shared" si="39"/>
        <v xml:space="preserve">{ longitude: -63.590209988978, latitude: 44.6856665666595, stopType: 'Bus Stop Accessible', gotime: \'6917\', location: \'HIGHFIELD PARK DR AT CIVIC 90\' }, </v>
      </c>
    </row>
    <row r="2507" spans="1:12" x14ac:dyDescent="0.25">
      <c r="A2507">
        <v>-63.589860746389</v>
      </c>
      <c r="B2507">
        <v>44.683800843110298</v>
      </c>
      <c r="C2507">
        <v>996</v>
      </c>
      <c r="D2507" t="s">
        <v>29</v>
      </c>
      <c r="E2507" t="s">
        <v>12</v>
      </c>
      <c r="F2507" t="s">
        <v>25</v>
      </c>
      <c r="G2507" t="s">
        <v>26</v>
      </c>
      <c r="H2507">
        <v>6918</v>
      </c>
      <c r="I2507" t="s">
        <v>5053</v>
      </c>
      <c r="J2507" t="s">
        <v>5054</v>
      </c>
      <c r="K2507" t="s">
        <v>17</v>
      </c>
      <c r="L2507" t="str">
        <f t="shared" si="39"/>
        <v xml:space="preserve">{ longitude: -63.589860746389, latitude: 44.6838008431103, stopType: 'Bus Stop Accessible', gotime: \'6918\', location: \'HIGHFIELD PARK DR FS OPP TERMINAL\' }, </v>
      </c>
    </row>
    <row r="2508" spans="1:12" x14ac:dyDescent="0.25">
      <c r="A2508">
        <v>-63.590655436637803</v>
      </c>
      <c r="B2508">
        <v>44.687029070902803</v>
      </c>
      <c r="C2508">
        <v>997</v>
      </c>
      <c r="D2508" t="s">
        <v>29</v>
      </c>
      <c r="E2508" t="s">
        <v>12</v>
      </c>
      <c r="F2508" t="s">
        <v>25</v>
      </c>
      <c r="G2508" t="s">
        <v>19</v>
      </c>
      <c r="H2508">
        <v>6919</v>
      </c>
      <c r="I2508" t="s">
        <v>5055</v>
      </c>
      <c r="J2508" t="s">
        <v>5056</v>
      </c>
      <c r="K2508" t="s">
        <v>17</v>
      </c>
      <c r="L2508" t="str">
        <f t="shared" si="39"/>
        <v xml:space="preserve">{ longitude: -63.5906554366378, latitude: 44.6870290709028, stopType: 'Bus Stop Accessible', gotime: \'6919\', location: \'HIGHFIELD PARK DR AT COVENTRY APTS\' }, </v>
      </c>
    </row>
    <row r="2509" spans="1:12" x14ac:dyDescent="0.25">
      <c r="A2509">
        <v>-63.588946539740299</v>
      </c>
      <c r="B2509">
        <v>44.688203412190198</v>
      </c>
      <c r="C2509">
        <v>998</v>
      </c>
      <c r="D2509" t="s">
        <v>22</v>
      </c>
      <c r="E2509" t="s">
        <v>12</v>
      </c>
      <c r="F2509" t="s">
        <v>25</v>
      </c>
      <c r="G2509" t="s">
        <v>19</v>
      </c>
      <c r="H2509">
        <v>6920</v>
      </c>
      <c r="I2509" t="s">
        <v>5057</v>
      </c>
      <c r="J2509" t="s">
        <v>5058</v>
      </c>
      <c r="K2509" t="s">
        <v>17</v>
      </c>
      <c r="L2509" t="str">
        <f t="shared" si="39"/>
        <v xml:space="preserve">{ longitude: -63.5889465397403, latitude: 44.6882034121902, stopType: 'Bus Stop Shelter Accessible', gotime: \'6920\', location: \'HIGHFIELD PARK DR AT CIVIC 60\' }, </v>
      </c>
    </row>
    <row r="2510" spans="1:12" x14ac:dyDescent="0.25">
      <c r="A2510">
        <v>-63.590105416507001</v>
      </c>
      <c r="B2510">
        <v>44.685899726030797</v>
      </c>
      <c r="C2510">
        <v>999</v>
      </c>
      <c r="D2510" t="s">
        <v>29</v>
      </c>
      <c r="E2510" t="s">
        <v>12</v>
      </c>
      <c r="F2510" t="s">
        <v>25</v>
      </c>
      <c r="G2510" t="s">
        <v>19</v>
      </c>
      <c r="H2510">
        <v>6921</v>
      </c>
      <c r="I2510" t="s">
        <v>5059</v>
      </c>
      <c r="J2510" t="s">
        <v>5060</v>
      </c>
      <c r="K2510" t="s">
        <v>17</v>
      </c>
      <c r="L2510" t="str">
        <f t="shared" si="39"/>
        <v xml:space="preserve">{ longitude: -63.590105416507, latitude: 44.6858997260308, stopType: 'Bus Stop Accessible', gotime: \'6921\', location: \'HIGHFIELD PARK DR FS JOSEPH YOUNG ST\' }, </v>
      </c>
    </row>
    <row r="2511" spans="1:12" x14ac:dyDescent="0.25">
      <c r="A2511">
        <v>-63.587779672163101</v>
      </c>
      <c r="B2511">
        <v>44.6885990841321</v>
      </c>
      <c r="C2511">
        <v>1000</v>
      </c>
      <c r="D2511" t="s">
        <v>29</v>
      </c>
      <c r="E2511" t="s">
        <v>12</v>
      </c>
      <c r="F2511" t="s">
        <v>25</v>
      </c>
      <c r="G2511" t="s">
        <v>26</v>
      </c>
      <c r="H2511">
        <v>6922</v>
      </c>
      <c r="I2511" t="s">
        <v>5061</v>
      </c>
      <c r="J2511" t="s">
        <v>5062</v>
      </c>
      <c r="K2511" t="s">
        <v>17</v>
      </c>
      <c r="L2511" t="str">
        <f t="shared" si="39"/>
        <v xml:space="preserve">{ longitude: -63.5877796721631, latitude: 44.6885990841321, stopType: 'Bus Stop Accessible', gotime: \'6922\', location: \'HIGHFIELD PARK DR AT CIVIC 35\' }, </v>
      </c>
    </row>
    <row r="2512" spans="1:12" x14ac:dyDescent="0.25">
      <c r="A2512">
        <f>MIN(A2:A2511)</f>
        <v>-63.858572819182697</v>
      </c>
      <c r="B2512">
        <f>MIN(B2:B2511)</f>
        <v>44.478787034076099</v>
      </c>
    </row>
    <row r="2513" spans="1:2" x14ac:dyDescent="0.25">
      <c r="A2513">
        <f>MAX(A3:A2512)</f>
        <v>-63.2559001270496</v>
      </c>
      <c r="B2513">
        <f>MAX(B3:B2512)</f>
        <v>44.903823901694402</v>
      </c>
    </row>
    <row r="2514" spans="1:2" x14ac:dyDescent="0.25">
      <c r="A2514">
        <f>(A2513-A2512)</f>
        <v>0.6026726921330976</v>
      </c>
      <c r="B2514">
        <f>(B2513-B2512)</f>
        <v>0.42503686761830295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BusStops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2015-11-08T01:42:43Z</dcterms:created>
  <dcterms:modified xsi:type="dcterms:W3CDTF">2015-11-08T02:33:41Z</dcterms:modified>
</cp:coreProperties>
</file>